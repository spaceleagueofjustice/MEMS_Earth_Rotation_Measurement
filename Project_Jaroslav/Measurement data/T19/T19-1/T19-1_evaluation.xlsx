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9\T19-1\"/>
    </mc:Choice>
  </mc:AlternateContent>
  <xr:revisionPtr revIDLastSave="0" documentId="13_ncr:1_{9CCC14D7-97C9-40A6-BC38-6B738087C08C}" xr6:coauthVersionLast="47" xr6:coauthVersionMax="47" xr10:uidLastSave="{00000000-0000-0000-0000-000000000000}"/>
  <bookViews>
    <workbookView xWindow="-120" yWindow="-120" windowWidth="38640" windowHeight="21120" xr2:uid="{0C4992B2-34A0-4179-B002-07A58BC14391}"/>
  </bookViews>
  <sheets>
    <sheet name="Main" sheetId="2" r:id="rId1"/>
    <sheet name="T19-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G10" i="2" s="1"/>
  <c r="X17" i="2"/>
  <c r="V17" i="2"/>
  <c r="T17" i="2"/>
  <c r="R17" i="2"/>
  <c r="V77" i="1"/>
  <c r="AD112" i="1"/>
  <c r="AC112" i="1"/>
  <c r="V112" i="1"/>
  <c r="U112" i="1"/>
  <c r="L112" i="1"/>
  <c r="K112" i="1"/>
  <c r="M112" i="1" s="1"/>
  <c r="AD111" i="1"/>
  <c r="AC111" i="1"/>
  <c r="V111" i="1"/>
  <c r="U111" i="1"/>
  <c r="M111" i="1"/>
  <c r="L111" i="1"/>
  <c r="K111" i="1"/>
  <c r="AD110" i="1"/>
  <c r="AC110" i="1"/>
  <c r="V110" i="1"/>
  <c r="U110" i="1"/>
  <c r="L110" i="1"/>
  <c r="K110" i="1"/>
  <c r="M110" i="1" s="1"/>
  <c r="AD109" i="1"/>
  <c r="AC109" i="1"/>
  <c r="V109" i="1"/>
  <c r="U109" i="1"/>
  <c r="L109" i="1"/>
  <c r="K109" i="1"/>
  <c r="M109" i="1" s="1"/>
  <c r="AD108" i="1"/>
  <c r="AC108" i="1"/>
  <c r="V108" i="1"/>
  <c r="U108" i="1"/>
  <c r="L108" i="1"/>
  <c r="K108" i="1"/>
  <c r="M108" i="1" s="1"/>
  <c r="AD107" i="1"/>
  <c r="AC107" i="1"/>
  <c r="V107" i="1"/>
  <c r="U107" i="1"/>
  <c r="M107" i="1"/>
  <c r="L107" i="1"/>
  <c r="K107" i="1"/>
  <c r="AD106" i="1"/>
  <c r="AC106" i="1"/>
  <c r="V106" i="1"/>
  <c r="U106" i="1"/>
  <c r="L106" i="1"/>
  <c r="M106" i="1" s="1"/>
  <c r="K106" i="1"/>
  <c r="AD105" i="1"/>
  <c r="AC105" i="1"/>
  <c r="V105" i="1"/>
  <c r="U105" i="1"/>
  <c r="L105" i="1"/>
  <c r="K105" i="1"/>
  <c r="M105" i="1" s="1"/>
  <c r="AD104" i="1"/>
  <c r="AC104" i="1"/>
  <c r="V104" i="1"/>
  <c r="U104" i="1"/>
  <c r="L104" i="1"/>
  <c r="K104" i="1"/>
  <c r="M104" i="1" s="1"/>
  <c r="AD103" i="1"/>
  <c r="AC103" i="1"/>
  <c r="V103" i="1"/>
  <c r="U103" i="1"/>
  <c r="L103" i="1"/>
  <c r="K103" i="1"/>
  <c r="M103" i="1" s="1"/>
  <c r="AD102" i="1"/>
  <c r="AC102" i="1"/>
  <c r="V102" i="1"/>
  <c r="U102" i="1"/>
  <c r="L102" i="1"/>
  <c r="M102" i="1" s="1"/>
  <c r="K102" i="1"/>
  <c r="AD101" i="1"/>
  <c r="AC101" i="1"/>
  <c r="V101" i="1"/>
  <c r="U101" i="1"/>
  <c r="L101" i="1"/>
  <c r="K101" i="1"/>
  <c r="M101" i="1" s="1"/>
  <c r="AD100" i="1"/>
  <c r="AC100" i="1"/>
  <c r="V100" i="1"/>
  <c r="U100" i="1"/>
  <c r="L100" i="1"/>
  <c r="K100" i="1"/>
  <c r="M100" i="1" s="1"/>
  <c r="AD99" i="1"/>
  <c r="AC99" i="1"/>
  <c r="V99" i="1"/>
  <c r="U99" i="1"/>
  <c r="M99" i="1"/>
  <c r="L99" i="1"/>
  <c r="K99" i="1"/>
  <c r="AD98" i="1"/>
  <c r="AC98" i="1"/>
  <c r="V98" i="1"/>
  <c r="U98" i="1"/>
  <c r="L98" i="1"/>
  <c r="K98" i="1"/>
  <c r="M98" i="1" s="1"/>
  <c r="AD97" i="1"/>
  <c r="AC97" i="1"/>
  <c r="V97" i="1"/>
  <c r="U97" i="1"/>
  <c r="L97" i="1"/>
  <c r="K97" i="1"/>
  <c r="M97" i="1" s="1"/>
  <c r="AD96" i="1"/>
  <c r="AC96" i="1"/>
  <c r="V96" i="1"/>
  <c r="U96" i="1"/>
  <c r="L96" i="1"/>
  <c r="K96" i="1"/>
  <c r="M96" i="1" s="1"/>
  <c r="AD95" i="1"/>
  <c r="AC95" i="1"/>
  <c r="V95" i="1"/>
  <c r="U95" i="1"/>
  <c r="M95" i="1"/>
  <c r="L95" i="1"/>
  <c r="K95" i="1"/>
  <c r="AD94" i="1"/>
  <c r="AC94" i="1"/>
  <c r="V94" i="1"/>
  <c r="U94" i="1"/>
  <c r="L94" i="1"/>
  <c r="M94" i="1" s="1"/>
  <c r="K94" i="1"/>
  <c r="AD93" i="1"/>
  <c r="AC93" i="1"/>
  <c r="V93" i="1"/>
  <c r="U93" i="1"/>
  <c r="L93" i="1"/>
  <c r="K93" i="1"/>
  <c r="M93" i="1" s="1"/>
  <c r="AD92" i="1"/>
  <c r="AC92" i="1"/>
  <c r="V92" i="1"/>
  <c r="U92" i="1"/>
  <c r="L92" i="1"/>
  <c r="K92" i="1"/>
  <c r="M92" i="1" s="1"/>
  <c r="AD91" i="1"/>
  <c r="AC91" i="1"/>
  <c r="V91" i="1"/>
  <c r="U91" i="1"/>
  <c r="L91" i="1"/>
  <c r="K91" i="1"/>
  <c r="M91" i="1" s="1"/>
  <c r="AD90" i="1"/>
  <c r="AC90" i="1"/>
  <c r="V90" i="1"/>
  <c r="U90" i="1"/>
  <c r="L90" i="1"/>
  <c r="M90" i="1" s="1"/>
  <c r="K90" i="1"/>
  <c r="AD89" i="1"/>
  <c r="AC89" i="1"/>
  <c r="V89" i="1"/>
  <c r="U89" i="1"/>
  <c r="L89" i="1"/>
  <c r="K89" i="1"/>
  <c r="M89" i="1" s="1"/>
  <c r="AD88" i="1"/>
  <c r="AC88" i="1"/>
  <c r="V88" i="1"/>
  <c r="U88" i="1"/>
  <c r="L88" i="1"/>
  <c r="K88" i="1"/>
  <c r="M88" i="1" s="1"/>
  <c r="AD87" i="1"/>
  <c r="AC87" i="1"/>
  <c r="V87" i="1"/>
  <c r="U87" i="1"/>
  <c r="M87" i="1"/>
  <c r="L87" i="1"/>
  <c r="K87" i="1"/>
  <c r="AD86" i="1"/>
  <c r="AC86" i="1"/>
  <c r="V86" i="1"/>
  <c r="U86" i="1"/>
  <c r="L86" i="1"/>
  <c r="K86" i="1"/>
  <c r="M86" i="1" s="1"/>
  <c r="AD85" i="1"/>
  <c r="AC85" i="1"/>
  <c r="V85" i="1"/>
  <c r="U85" i="1"/>
  <c r="L85" i="1"/>
  <c r="K85" i="1"/>
  <c r="M85" i="1" s="1"/>
  <c r="AD84" i="1"/>
  <c r="AC84" i="1"/>
  <c r="V84" i="1"/>
  <c r="U84" i="1"/>
  <c r="L84" i="1"/>
  <c r="K84" i="1"/>
  <c r="M84" i="1" s="1"/>
  <c r="AD83" i="1"/>
  <c r="AC83" i="1"/>
  <c r="V83" i="1"/>
  <c r="U83" i="1"/>
  <c r="M83" i="1"/>
  <c r="L83" i="1"/>
  <c r="K83" i="1"/>
  <c r="AD82" i="1"/>
  <c r="AC82" i="1"/>
  <c r="V82" i="1"/>
  <c r="U82" i="1"/>
  <c r="L82" i="1"/>
  <c r="M82" i="1" s="1"/>
  <c r="K82" i="1"/>
  <c r="AD81" i="1"/>
  <c r="AC81" i="1"/>
  <c r="V81" i="1"/>
  <c r="U81" i="1"/>
  <c r="L81" i="1"/>
  <c r="K81" i="1"/>
  <c r="M81" i="1" s="1"/>
  <c r="AD80" i="1"/>
  <c r="AC80" i="1"/>
  <c r="V80" i="1"/>
  <c r="U80" i="1"/>
  <c r="L80" i="1"/>
  <c r="K80" i="1"/>
  <c r="M80" i="1" s="1"/>
  <c r="AD79" i="1"/>
  <c r="AC79" i="1"/>
  <c r="V79" i="1"/>
  <c r="U79" i="1"/>
  <c r="L79" i="1"/>
  <c r="K79" i="1"/>
  <c r="M79" i="1" s="1"/>
  <c r="AD78" i="1"/>
  <c r="AC78" i="1"/>
  <c r="V78" i="1"/>
  <c r="U78" i="1"/>
  <c r="L78" i="1"/>
  <c r="M78" i="1" s="1"/>
  <c r="K78" i="1"/>
  <c r="AD77" i="1"/>
  <c r="AC77" i="1"/>
  <c r="U77" i="1"/>
  <c r="L77" i="1"/>
  <c r="K77" i="1"/>
  <c r="AD74" i="1"/>
  <c r="AB74" i="1"/>
  <c r="AA74" i="1"/>
  <c r="Z74" i="1"/>
  <c r="Y74" i="1"/>
  <c r="V74" i="1"/>
  <c r="U74" i="1"/>
  <c r="AE73" i="1"/>
  <c r="AF73" i="1" s="1"/>
  <c r="AC73" i="1"/>
  <c r="AB73" i="1"/>
  <c r="AA73" i="1"/>
  <c r="AD73" i="1" s="1"/>
  <c r="Z73" i="1"/>
  <c r="Y73" i="1"/>
  <c r="V73" i="1"/>
  <c r="U73" i="1"/>
  <c r="AC72" i="1"/>
  <c r="AB72" i="1"/>
  <c r="AA72" i="1"/>
  <c r="AD72" i="1" s="1"/>
  <c r="Z72" i="1"/>
  <c r="AE72" i="1" s="1"/>
  <c r="Y72" i="1"/>
  <c r="AF72" i="1" s="1"/>
  <c r="V72" i="1"/>
  <c r="U72" i="1"/>
  <c r="AB71" i="1"/>
  <c r="AA71" i="1"/>
  <c r="AD71" i="1" s="1"/>
  <c r="Z71" i="1"/>
  <c r="Y71" i="1"/>
  <c r="V71" i="1"/>
  <c r="U71" i="1"/>
  <c r="AB70" i="1"/>
  <c r="AA70" i="1"/>
  <c r="AD70" i="1" s="1"/>
  <c r="Z70" i="1"/>
  <c r="Y70" i="1"/>
  <c r="V70" i="1"/>
  <c r="U70" i="1"/>
  <c r="AB69" i="1"/>
  <c r="AA69" i="1"/>
  <c r="AD69" i="1" s="1"/>
  <c r="Z69" i="1"/>
  <c r="Y69" i="1"/>
  <c r="AE69" i="1" s="1"/>
  <c r="AF69" i="1" s="1"/>
  <c r="V69" i="1"/>
  <c r="U69" i="1"/>
  <c r="AE68" i="1"/>
  <c r="AD68" i="1"/>
  <c r="AB68" i="1"/>
  <c r="AA68" i="1"/>
  <c r="Z68" i="1"/>
  <c r="Y68" i="1"/>
  <c r="AF68" i="1" s="1"/>
  <c r="V68" i="1"/>
  <c r="U68" i="1"/>
  <c r="AE67" i="1"/>
  <c r="AF67" i="1" s="1"/>
  <c r="AC67" i="1"/>
  <c r="AB67" i="1"/>
  <c r="AA67" i="1"/>
  <c r="AD67" i="1" s="1"/>
  <c r="Z67" i="1"/>
  <c r="Y67" i="1"/>
  <c r="V67" i="1"/>
  <c r="U67" i="1"/>
  <c r="AC66" i="1"/>
  <c r="AB66" i="1"/>
  <c r="AA66" i="1"/>
  <c r="AD66" i="1" s="1"/>
  <c r="Z66" i="1"/>
  <c r="AE66" i="1" s="1"/>
  <c r="Y66" i="1"/>
  <c r="V66" i="1"/>
  <c r="U66" i="1"/>
  <c r="AB65" i="1"/>
  <c r="AA65" i="1"/>
  <c r="AD65" i="1" s="1"/>
  <c r="Z65" i="1"/>
  <c r="Y65" i="1"/>
  <c r="V65" i="1"/>
  <c r="U65" i="1"/>
  <c r="AB64" i="1"/>
  <c r="AA64" i="1"/>
  <c r="AD64" i="1" s="1"/>
  <c r="Z64" i="1"/>
  <c r="Y64" i="1"/>
  <c r="V64" i="1"/>
  <c r="U64" i="1"/>
  <c r="AB63" i="1"/>
  <c r="AA63" i="1"/>
  <c r="AD63" i="1" s="1"/>
  <c r="Z63" i="1"/>
  <c r="Y63" i="1"/>
  <c r="AE63" i="1" s="1"/>
  <c r="AF63" i="1" s="1"/>
  <c r="V63" i="1"/>
  <c r="U63" i="1"/>
  <c r="AE62" i="1"/>
  <c r="AD62" i="1"/>
  <c r="AB62" i="1"/>
  <c r="AA62" i="1"/>
  <c r="Z62" i="1"/>
  <c r="Y62" i="1"/>
  <c r="AF62" i="1" s="1"/>
  <c r="V62" i="1"/>
  <c r="U62" i="1"/>
  <c r="AE61" i="1"/>
  <c r="AF61" i="1" s="1"/>
  <c r="AC61" i="1"/>
  <c r="AB61" i="1"/>
  <c r="AA61" i="1"/>
  <c r="AD61" i="1" s="1"/>
  <c r="Z61" i="1"/>
  <c r="Y61" i="1"/>
  <c r="V61" i="1"/>
  <c r="U61" i="1"/>
  <c r="AC60" i="1"/>
  <c r="AB60" i="1"/>
  <c r="AA60" i="1"/>
  <c r="AD60" i="1" s="1"/>
  <c r="Z60" i="1"/>
  <c r="AE60" i="1" s="1"/>
  <c r="AF60" i="1" s="1"/>
  <c r="Y60" i="1"/>
  <c r="V60" i="1"/>
  <c r="U60" i="1"/>
  <c r="AB59" i="1"/>
  <c r="AA59" i="1"/>
  <c r="AD59" i="1" s="1"/>
  <c r="Z59" i="1"/>
  <c r="Y59" i="1"/>
  <c r="V59" i="1"/>
  <c r="U59" i="1"/>
  <c r="AB58" i="1"/>
  <c r="AA58" i="1"/>
  <c r="AD58" i="1" s="1"/>
  <c r="Z58" i="1"/>
  <c r="Y58" i="1"/>
  <c r="V58" i="1"/>
  <c r="U58" i="1"/>
  <c r="AB57" i="1"/>
  <c r="AA57" i="1"/>
  <c r="AD57" i="1" s="1"/>
  <c r="Z57" i="1"/>
  <c r="Y57" i="1"/>
  <c r="AE57" i="1" s="1"/>
  <c r="AF57" i="1" s="1"/>
  <c r="V57" i="1"/>
  <c r="U57" i="1"/>
  <c r="AE56" i="1"/>
  <c r="AD56" i="1"/>
  <c r="AB56" i="1"/>
  <c r="AA56" i="1"/>
  <c r="Z56" i="1"/>
  <c r="Y56" i="1"/>
  <c r="AF56" i="1" s="1"/>
  <c r="V56" i="1"/>
  <c r="U56" i="1"/>
  <c r="AE55" i="1"/>
  <c r="AF55" i="1" s="1"/>
  <c r="AC55" i="1"/>
  <c r="AB55" i="1"/>
  <c r="AA55" i="1"/>
  <c r="AD55" i="1" s="1"/>
  <c r="Z55" i="1"/>
  <c r="Y55" i="1"/>
  <c r="V55" i="1"/>
  <c r="U55" i="1"/>
  <c r="AC54" i="1"/>
  <c r="AB54" i="1"/>
  <c r="AA54" i="1"/>
  <c r="AD54" i="1" s="1"/>
  <c r="Z54" i="1"/>
  <c r="AE54" i="1" s="1"/>
  <c r="AF54" i="1" s="1"/>
  <c r="Y54" i="1"/>
  <c r="V54" i="1"/>
  <c r="U54" i="1"/>
  <c r="AB53" i="1"/>
  <c r="AA53" i="1"/>
  <c r="AD53" i="1" s="1"/>
  <c r="Z53" i="1"/>
  <c r="Y53" i="1"/>
  <c r="V53" i="1"/>
  <c r="U53" i="1"/>
  <c r="AB52" i="1"/>
  <c r="AA52" i="1"/>
  <c r="AD52" i="1" s="1"/>
  <c r="Z52" i="1"/>
  <c r="Y52" i="1"/>
  <c r="V52" i="1"/>
  <c r="U52" i="1"/>
  <c r="AB51" i="1"/>
  <c r="AA51" i="1"/>
  <c r="AD51" i="1" s="1"/>
  <c r="Z51" i="1"/>
  <c r="Y51" i="1"/>
  <c r="AE51" i="1" s="1"/>
  <c r="AF51" i="1" s="1"/>
  <c r="V51" i="1"/>
  <c r="U51" i="1"/>
  <c r="AE50" i="1"/>
  <c r="AD50" i="1"/>
  <c r="AB50" i="1"/>
  <c r="AA50" i="1"/>
  <c r="Z50" i="1"/>
  <c r="Y50" i="1"/>
  <c r="AF50" i="1" s="1"/>
  <c r="V50" i="1"/>
  <c r="U50" i="1"/>
  <c r="AE49" i="1"/>
  <c r="AF49" i="1" s="1"/>
  <c r="AC49" i="1"/>
  <c r="AB49" i="1"/>
  <c r="AA49" i="1"/>
  <c r="AD49" i="1" s="1"/>
  <c r="Z49" i="1"/>
  <c r="Y49" i="1"/>
  <c r="V49" i="1"/>
  <c r="U49" i="1"/>
  <c r="AC48" i="1"/>
  <c r="AB48" i="1"/>
  <c r="AA48" i="1"/>
  <c r="AD48" i="1" s="1"/>
  <c r="Z48" i="1"/>
  <c r="AE48" i="1" s="1"/>
  <c r="AF48" i="1" s="1"/>
  <c r="Y48" i="1"/>
  <c r="V48" i="1"/>
  <c r="U48" i="1"/>
  <c r="AB47" i="1"/>
  <c r="AA47" i="1"/>
  <c r="AD47" i="1" s="1"/>
  <c r="Z47" i="1"/>
  <c r="Y47" i="1"/>
  <c r="AC47" i="1" s="1"/>
  <c r="V47" i="1"/>
  <c r="U47" i="1"/>
  <c r="AB46" i="1"/>
  <c r="AA46" i="1"/>
  <c r="AD46" i="1" s="1"/>
  <c r="Z46" i="1"/>
  <c r="Y46" i="1"/>
  <c r="V46" i="1"/>
  <c r="U46" i="1"/>
  <c r="AB45" i="1"/>
  <c r="AA45" i="1"/>
  <c r="AD45" i="1" s="1"/>
  <c r="Z45" i="1"/>
  <c r="Y45" i="1"/>
  <c r="AE45" i="1" s="1"/>
  <c r="AF45" i="1" s="1"/>
  <c r="V45" i="1"/>
  <c r="U45" i="1"/>
  <c r="AE44" i="1"/>
  <c r="AD44" i="1"/>
  <c r="AB44" i="1"/>
  <c r="AA44" i="1"/>
  <c r="Z44" i="1"/>
  <c r="Y44" i="1"/>
  <c r="AF44" i="1" s="1"/>
  <c r="V44" i="1"/>
  <c r="U44" i="1"/>
  <c r="AE43" i="1"/>
  <c r="AF43" i="1" s="1"/>
  <c r="AC43" i="1"/>
  <c r="AB43" i="1"/>
  <c r="AA43" i="1"/>
  <c r="AD43" i="1" s="1"/>
  <c r="Z43" i="1"/>
  <c r="Y43" i="1"/>
  <c r="V43" i="1"/>
  <c r="U43" i="1"/>
  <c r="AC42" i="1"/>
  <c r="AB42" i="1"/>
  <c r="AA42" i="1"/>
  <c r="AD42" i="1" s="1"/>
  <c r="Z42" i="1"/>
  <c r="AE42" i="1" s="1"/>
  <c r="Y42" i="1"/>
  <c r="AF42" i="1" s="1"/>
  <c r="V42" i="1"/>
  <c r="U42" i="1"/>
  <c r="AB41" i="1"/>
  <c r="AA41" i="1"/>
  <c r="AD41" i="1" s="1"/>
  <c r="Z41" i="1"/>
  <c r="Y41" i="1"/>
  <c r="AC41" i="1" s="1"/>
  <c r="V41" i="1"/>
  <c r="U41" i="1"/>
  <c r="AB40" i="1"/>
  <c r="AA40" i="1"/>
  <c r="AD40" i="1" s="1"/>
  <c r="Z40" i="1"/>
  <c r="Y40" i="1"/>
  <c r="V40" i="1"/>
  <c r="U40" i="1"/>
  <c r="AB39" i="1"/>
  <c r="AA39" i="1"/>
  <c r="AD39" i="1" s="1"/>
  <c r="Z39" i="1"/>
  <c r="Y39" i="1"/>
  <c r="AE39" i="1" s="1"/>
  <c r="AF39" i="1" s="1"/>
  <c r="V39" i="1"/>
  <c r="U39" i="1"/>
  <c r="AE38" i="1"/>
  <c r="AD38" i="1"/>
  <c r="AC38" i="1"/>
  <c r="AB38" i="1"/>
  <c r="AA38" i="1"/>
  <c r="Z38" i="1"/>
  <c r="Y38" i="1"/>
  <c r="AF38" i="1" s="1"/>
  <c r="V38" i="1"/>
  <c r="U38" i="1"/>
  <c r="AE37" i="1"/>
  <c r="AF37" i="1" s="1"/>
  <c r="AC37" i="1"/>
  <c r="AB37" i="1"/>
  <c r="AA37" i="1"/>
  <c r="AD37" i="1" s="1"/>
  <c r="Z37" i="1"/>
  <c r="Y37" i="1"/>
  <c r="V37" i="1"/>
  <c r="U37" i="1"/>
  <c r="AC36" i="1"/>
  <c r="AB36" i="1"/>
  <c r="AA36" i="1"/>
  <c r="AD36" i="1" s="1"/>
  <c r="Z36" i="1"/>
  <c r="AE36" i="1" s="1"/>
  <c r="Y36" i="1"/>
  <c r="AF36" i="1" s="1"/>
  <c r="V36" i="1"/>
  <c r="U36" i="1"/>
  <c r="AB35" i="1"/>
  <c r="AA35" i="1"/>
  <c r="AD35" i="1" s="1"/>
  <c r="Z35" i="1"/>
  <c r="Y35" i="1"/>
  <c r="V35" i="1"/>
  <c r="U35" i="1"/>
  <c r="M77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D34" i="1" s="1"/>
  <c r="AA33" i="1"/>
  <c r="AA32" i="1"/>
  <c r="AA31" i="1"/>
  <c r="AA30" i="1"/>
  <c r="AA29" i="1"/>
  <c r="AA28" i="1"/>
  <c r="AA27" i="1"/>
  <c r="AD27" i="1" s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D8" i="1" s="1"/>
  <c r="AA7" i="1"/>
  <c r="AA6" i="1"/>
  <c r="AA5" i="1"/>
  <c r="AA4" i="1"/>
  <c r="AA3" i="1"/>
  <c r="Z34" i="1"/>
  <c r="Z33" i="1"/>
  <c r="Z32" i="1"/>
  <c r="Z31" i="1"/>
  <c r="Z30" i="1"/>
  <c r="Z29" i="1"/>
  <c r="Z28" i="1"/>
  <c r="AE28" i="1" s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AF59" i="1" l="1"/>
  <c r="AF74" i="1"/>
  <c r="AF46" i="1"/>
  <c r="AF71" i="1"/>
  <c r="AF64" i="1"/>
  <c r="AF66" i="1"/>
  <c r="AC53" i="1"/>
  <c r="AC59" i="1"/>
  <c r="AC65" i="1"/>
  <c r="AC71" i="1"/>
  <c r="AE35" i="1"/>
  <c r="AF35" i="1" s="1"/>
  <c r="AC40" i="1"/>
  <c r="AC46" i="1"/>
  <c r="AE47" i="1"/>
  <c r="AC52" i="1"/>
  <c r="AE53" i="1"/>
  <c r="AF53" i="1" s="1"/>
  <c r="AC58" i="1"/>
  <c r="AE59" i="1"/>
  <c r="AC64" i="1"/>
  <c r="AE65" i="1"/>
  <c r="AF65" i="1" s="1"/>
  <c r="AC70" i="1"/>
  <c r="AE71" i="1"/>
  <c r="AC35" i="1"/>
  <c r="AE41" i="1"/>
  <c r="AF41" i="1"/>
  <c r="AF47" i="1"/>
  <c r="AC39" i="1"/>
  <c r="AE40" i="1"/>
  <c r="AF40" i="1" s="1"/>
  <c r="AC45" i="1"/>
  <c r="AE46" i="1"/>
  <c r="AC51" i="1"/>
  <c r="AE52" i="1"/>
  <c r="AF52" i="1" s="1"/>
  <c r="AC57" i="1"/>
  <c r="AE58" i="1"/>
  <c r="AF58" i="1" s="1"/>
  <c r="AC63" i="1"/>
  <c r="AE64" i="1"/>
  <c r="AC69" i="1"/>
  <c r="AE70" i="1"/>
  <c r="AF70" i="1" s="1"/>
  <c r="AC44" i="1"/>
  <c r="AC50" i="1"/>
  <c r="AC56" i="1"/>
  <c r="AC62" i="1"/>
  <c r="AC68" i="1"/>
  <c r="AC74" i="1"/>
  <c r="AE74" i="1"/>
  <c r="AD33" i="1"/>
  <c r="AD4" i="1"/>
  <c r="AC34" i="1"/>
  <c r="AD28" i="1"/>
  <c r="AD19" i="1"/>
  <c r="AE25" i="1"/>
  <c r="AF25" i="1" s="1"/>
  <c r="AE31" i="1"/>
  <c r="AF31" i="1" s="1"/>
  <c r="AE21" i="1"/>
  <c r="AF21" i="1" s="1"/>
  <c r="AD32" i="1"/>
  <c r="AD18" i="1"/>
  <c r="AD24" i="1"/>
  <c r="AD22" i="1"/>
  <c r="AD11" i="1"/>
  <c r="AD14" i="1"/>
  <c r="AD23" i="1"/>
  <c r="AD26" i="1"/>
  <c r="AC24" i="1"/>
  <c r="AC27" i="1"/>
  <c r="AD3" i="1"/>
  <c r="AD6" i="1"/>
  <c r="AD9" i="1"/>
  <c r="AD12" i="1"/>
  <c r="AD15" i="1"/>
  <c r="AD21" i="1"/>
  <c r="AC18" i="1"/>
  <c r="AE30" i="1"/>
  <c r="AF30" i="1" s="1"/>
  <c r="AD30" i="1"/>
  <c r="AD25" i="1"/>
  <c r="AE22" i="1"/>
  <c r="AF22" i="1" s="1"/>
  <c r="AD31" i="1"/>
  <c r="AD20" i="1"/>
  <c r="AE3" i="1"/>
  <c r="AF3" i="1" s="1"/>
  <c r="AC6" i="1"/>
  <c r="AC12" i="1"/>
  <c r="AC15" i="1"/>
  <c r="AC21" i="1"/>
  <c r="AE29" i="1"/>
  <c r="AF29" i="1" s="1"/>
  <c r="AE34" i="1"/>
  <c r="AF34" i="1" s="1"/>
  <c r="AE23" i="1"/>
  <c r="AF23" i="1" s="1"/>
  <c r="AE33" i="1"/>
  <c r="AF33" i="1" s="1"/>
  <c r="AF28" i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E20" i="1"/>
  <c r="AF20" i="1" s="1"/>
  <c r="AC30" i="1"/>
  <c r="AE32" i="1"/>
  <c r="AF32" i="1" s="1"/>
  <c r="AC33" i="1"/>
  <c r="AC20" i="1"/>
  <c r="AC23" i="1"/>
  <c r="AC26" i="1"/>
  <c r="AC29" i="1"/>
  <c r="AC32" i="1"/>
  <c r="AC22" i="1"/>
  <c r="AC25" i="1"/>
  <c r="AC28" i="1"/>
  <c r="AC31" i="1"/>
  <c r="AD13" i="1"/>
  <c r="AD16" i="1"/>
  <c r="AD7" i="1"/>
  <c r="AD10" i="1"/>
  <c r="AD5" i="1"/>
  <c r="AC9" i="1"/>
  <c r="AD17" i="1"/>
  <c r="AC5" i="1"/>
  <c r="AC8" i="1"/>
  <c r="AC11" i="1"/>
  <c r="AC14" i="1"/>
  <c r="AC17" i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</calcChain>
</file>

<file path=xl/sharedStrings.xml><?xml version="1.0" encoding="utf-8"?>
<sst xmlns="http://schemas.openxmlformats.org/spreadsheetml/2006/main" count="155" uniqueCount="68">
  <si>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</si>
  <si>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</si>
  <si>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</si>
  <si>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</si>
  <si>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</si>
  <si>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</si>
  <si>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</si>
  <si>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</si>
  <si>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</si>
  <si>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</si>
  <si>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</si>
  <si>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</si>
  <si>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</si>
  <si>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</si>
  <si>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</si>
  <si>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</si>
  <si>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</si>
  <si>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</si>
  <si>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</si>
  <si>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</si>
  <si>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</si>
  <si>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</si>
  <si>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</si>
  <si>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</si>
  <si>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</si>
  <si>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</si>
  <si>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</si>
  <si>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</si>
  <si>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</si>
  <si>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</si>
  <si>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</si>
  <si>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</si>
  <si>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</si>
  <si>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</si>
  <si>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</si>
  <si>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</si>
  <si>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</si>
  <si>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</si>
  <si>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</si>
  <si>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</si>
  <si>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</si>
  <si>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</si>
  <si>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</si>
  <si>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</si>
  <si>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</si>
  <si>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</si>
  <si>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</si>
  <si>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</si>
  <si>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</si>
  <si>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</si>
  <si>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</si>
  <si>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</si>
  <si>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</si>
  <si>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</si>
  <si>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</si>
  <si>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</si>
  <si>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</si>
  <si>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</si>
  <si>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living room</t>
  </si>
  <si>
    <t>CCW</t>
  </si>
  <si>
    <t>CW</t>
  </si>
  <si>
    <t>(xC-xA)/2</t>
  </si>
  <si>
    <t>T19-1</t>
  </si>
  <si>
    <t>HORIZONTAL slepý test 360-kontrola accel-lepší csv-azimut parametr-fixed trim settle-s navratem do A-antibacklash-CW-CCW-I2Coprava-název testu-teplota-oprava2-watchdog.py</t>
  </si>
  <si>
    <t xml:space="preserve">Test (Randomized 360° Step Scan) </t>
  </si>
  <si>
    <t>- Rotace ramene CW/CCW
- Náhodné azimuty pro celých 360°
- Azimut ramene při startu vžy 0° (sever)
- Kalibrace do nulového náklony do 0,5° (přibližně)
- Oprava xA-xC na správný směr xC-xA</t>
  </si>
  <si>
    <t>0 lehce vlevo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</si>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</sst>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  <font>
      <b/>
      <sz val="24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0" fillId="2" borderId="0" xfId="0" applyFill="1"/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'T19-1'!$U$2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'T19-1'!$C$3:$C$38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'T19-1'!$U$3:$U$38</c:f>
              <c:numCache>
                <c:formatCode>0.000000</c:formatCode>
                <c:ptCount val="36"/>
                <c:pt idx="0">
                  <c:v>1.5583399999999914E-3</c:v>
                </c:pt>
                <c:pt idx="1">
                  <c:v>-5.7487999999999984E-4</c:v>
                </c:pt>
                <c:pt idx="2">
                  <c:v>1.2031399999999914E-3</c:v>
                </c:pt>
                <c:pt idx="3">
                  <c:v>3.1107000000000218E-3</c:v>
                </c:pt>
                <c:pt idx="4">
                  <c:v>5.7833399999999979E-3</c:v>
                </c:pt>
                <c:pt idx="5">
                  <c:v>3.418729999999981E-3</c:v>
                </c:pt>
                <c:pt idx="6">
                  <c:v>8.3600000000128016E-6</c:v>
                </c:pt>
                <c:pt idx="7">
                  <c:v>4.4642000000000293E-4</c:v>
                </c:pt>
                <c:pt idx="8">
                  <c:v>2.2449900000000023E-3</c:v>
                </c:pt>
                <c:pt idx="9">
                  <c:v>8.5630000000000428E-4</c:v>
                </c:pt>
                <c:pt idx="10">
                  <c:v>-2.1874699999999969E-3</c:v>
                </c:pt>
                <c:pt idx="11">
                  <c:v>-2.5450000000000195E-3</c:v>
                </c:pt>
                <c:pt idx="12">
                  <c:v>-1.6300099999999873E-3</c:v>
                </c:pt>
                <c:pt idx="13">
                  <c:v>-1.7535899999999993E-3</c:v>
                </c:pt>
                <c:pt idx="14">
                  <c:v>-3.0964500000000006E-3</c:v>
                </c:pt>
                <c:pt idx="15">
                  <c:v>-3.2900000000000151E-3</c:v>
                </c:pt>
                <c:pt idx="16">
                  <c:v>-6.0000000000000053E-3</c:v>
                </c:pt>
                <c:pt idx="17">
                  <c:v>-3.8035999999999903E-3</c:v>
                </c:pt>
                <c:pt idx="18">
                  <c:v>-3.7187399999999982E-3</c:v>
                </c:pt>
                <c:pt idx="19">
                  <c:v>-8.718400000000126E-4</c:v>
                </c:pt>
                <c:pt idx="20">
                  <c:v>-1.7916199999999938E-3</c:v>
                </c:pt>
                <c:pt idx="21">
                  <c:v>-2.3792200000000152E-3</c:v>
                </c:pt>
                <c:pt idx="22">
                  <c:v>5.5314000000000751E-4</c:v>
                </c:pt>
                <c:pt idx="23">
                  <c:v>-2.0000000000000573E-4</c:v>
                </c:pt>
                <c:pt idx="24">
                  <c:v>6.7274999999999974E-4</c:v>
                </c:pt>
                <c:pt idx="25">
                  <c:v>1.730079999999995E-3</c:v>
                </c:pt>
                <c:pt idx="26">
                  <c:v>-1.5464500000000048E-3</c:v>
                </c:pt>
                <c:pt idx="27">
                  <c:v>-6.3999000000000694E-4</c:v>
                </c:pt>
                <c:pt idx="28">
                  <c:v>1.9055699999999953E-3</c:v>
                </c:pt>
                <c:pt idx="29">
                  <c:v>1.4499999999999791E-3</c:v>
                </c:pt>
                <c:pt idx="30">
                  <c:v>1.4525300000000074E-3</c:v>
                </c:pt>
                <c:pt idx="31">
                  <c:v>5.0700600000000151E-3</c:v>
                </c:pt>
                <c:pt idx="32">
                  <c:v>3.9450200000000213E-3</c:v>
                </c:pt>
                <c:pt idx="33">
                  <c:v>2.2750600000000232E-3</c:v>
                </c:pt>
                <c:pt idx="34">
                  <c:v>-2.6258999999997923E-4</c:v>
                </c:pt>
                <c:pt idx="35">
                  <c:v>1.3291799999999854E-3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'T19-1'!$V$2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'T19-1'!$C$3:$C$38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'T19-1'!$V$3:$V$38</c:f>
              <c:numCache>
                <c:formatCode>0.000000</c:formatCode>
                <c:ptCount val="36"/>
                <c:pt idx="0">
                  <c:v>-1.6625299999999954E-3</c:v>
                </c:pt>
                <c:pt idx="1">
                  <c:v>-4.2501999999999818E-4</c:v>
                </c:pt>
                <c:pt idx="2">
                  <c:v>-8.7490000000023382E-5</c:v>
                </c:pt>
                <c:pt idx="3">
                  <c:v>-1.6431999999999558E-4</c:v>
                </c:pt>
                <c:pt idx="4">
                  <c:v>6.0958099999999793E-3</c:v>
                </c:pt>
                <c:pt idx="5">
                  <c:v>2.9750399999999844E-3</c:v>
                </c:pt>
                <c:pt idx="6">
                  <c:v>2.4208400000000352E-3</c:v>
                </c:pt>
                <c:pt idx="7">
                  <c:v>2.9642999999999753E-3</c:v>
                </c:pt>
                <c:pt idx="8">
                  <c:v>-1.0497999999997676E-4</c:v>
                </c:pt>
                <c:pt idx="9">
                  <c:v>1.3843300000000447E-3</c:v>
                </c:pt>
                <c:pt idx="10">
                  <c:v>2.000029999999986E-3</c:v>
                </c:pt>
                <c:pt idx="11">
                  <c:v>-6.400199999999634E-4</c:v>
                </c:pt>
                <c:pt idx="12">
                  <c:v>1.2124500000000316E-3</c:v>
                </c:pt>
                <c:pt idx="13">
                  <c:v>2.5107499999999505E-3</c:v>
                </c:pt>
                <c:pt idx="14">
                  <c:v>-1.9000000000000128E-3</c:v>
                </c:pt>
                <c:pt idx="15">
                  <c:v>-6.0000000000004494E-5</c:v>
                </c:pt>
                <c:pt idx="16">
                  <c:v>-9.3124999999999458E-4</c:v>
                </c:pt>
                <c:pt idx="17">
                  <c:v>2.4071299999999796E-3</c:v>
                </c:pt>
                <c:pt idx="18">
                  <c:v>-5.9996000000001048E-4</c:v>
                </c:pt>
                <c:pt idx="19">
                  <c:v>-9.7812999999996597E-4</c:v>
                </c:pt>
                <c:pt idx="20">
                  <c:v>-1.3167299999999882E-3</c:v>
                </c:pt>
                <c:pt idx="21">
                  <c:v>-1.4082599999999945E-3</c:v>
                </c:pt>
                <c:pt idx="22">
                  <c:v>-1.5812599999999732E-3</c:v>
                </c:pt>
                <c:pt idx="23">
                  <c:v>7.1001999999997789E-4</c:v>
                </c:pt>
                <c:pt idx="24">
                  <c:v>-5.80685000000003E-3</c:v>
                </c:pt>
                <c:pt idx="25">
                  <c:v>-6.2300000000000133E-3</c:v>
                </c:pt>
                <c:pt idx="26">
                  <c:v>-3.7643299999999824E-3</c:v>
                </c:pt>
                <c:pt idx="27">
                  <c:v>-1.7350299999999708E-3</c:v>
                </c:pt>
                <c:pt idx="28">
                  <c:v>-4.2777600000000193E-3</c:v>
                </c:pt>
                <c:pt idx="29">
                  <c:v>-2.2678499999999602E-3</c:v>
                </c:pt>
                <c:pt idx="30">
                  <c:v>-3.8700700000000032E-3</c:v>
                </c:pt>
                <c:pt idx="31">
                  <c:v>5.7000000000001494E-4</c:v>
                </c:pt>
                <c:pt idx="32">
                  <c:v>-9.5000000000011742E-5</c:v>
                </c:pt>
                <c:pt idx="33">
                  <c:v>1.0024929999999987E-2</c:v>
                </c:pt>
                <c:pt idx="34">
                  <c:v>-2.8874799999999978E-3</c:v>
                </c:pt>
                <c:pt idx="35">
                  <c:v>-1.2917000000001178E-4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'T19-1'!$U$2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'T19-1'!$C$3:$C$38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'T19-1'!$U$39:$U$74</c:f>
              <c:numCache>
                <c:formatCode>0.000000</c:formatCode>
                <c:ptCount val="36"/>
                <c:pt idx="0">
                  <c:v>2.4582800000000071E-3</c:v>
                </c:pt>
                <c:pt idx="1">
                  <c:v>3.397260000000013E-3</c:v>
                </c:pt>
                <c:pt idx="2">
                  <c:v>6.3200999999999952E-3</c:v>
                </c:pt>
                <c:pt idx="3">
                  <c:v>1.8834199999999968E-3</c:v>
                </c:pt>
                <c:pt idx="4">
                  <c:v>3.1437800000000127E-3</c:v>
                </c:pt>
                <c:pt idx="5">
                  <c:v>2.8132999999999631E-4</c:v>
                </c:pt>
                <c:pt idx="6">
                  <c:v>1.3916600000000168E-3</c:v>
                </c:pt>
                <c:pt idx="7">
                  <c:v>3.6002999999998342E-4</c:v>
                </c:pt>
                <c:pt idx="8">
                  <c:v>-7.4995999999999396E-4</c:v>
                </c:pt>
                <c:pt idx="9">
                  <c:v>-5.2250200000000246E-3</c:v>
                </c:pt>
                <c:pt idx="10">
                  <c:v>-9.4382000000001187E-4</c:v>
                </c:pt>
                <c:pt idx="11">
                  <c:v>1.7714500000000077E-3</c:v>
                </c:pt>
                <c:pt idx="12">
                  <c:v>2.9290000000001259E-4</c:v>
                </c:pt>
                <c:pt idx="13">
                  <c:v>-2.5639100000000026E-3</c:v>
                </c:pt>
                <c:pt idx="14">
                  <c:v>-2.4250399999999894E-3</c:v>
                </c:pt>
                <c:pt idx="15">
                  <c:v>-2.0000499999999755E-3</c:v>
                </c:pt>
                <c:pt idx="16">
                  <c:v>-1.0003000000000095E-4</c:v>
                </c:pt>
                <c:pt idx="17">
                  <c:v>-1.7499800000000121E-3</c:v>
                </c:pt>
                <c:pt idx="18">
                  <c:v>-1.2699599999999867E-3</c:v>
                </c:pt>
                <c:pt idx="19">
                  <c:v>-2.508360000000015E-3</c:v>
                </c:pt>
                <c:pt idx="20">
                  <c:v>-7.8897999999999469E-4</c:v>
                </c:pt>
                <c:pt idx="21">
                  <c:v>-9.5258000000000842E-4</c:v>
                </c:pt>
                <c:pt idx="22">
                  <c:v>-3.0786100000000094E-3</c:v>
                </c:pt>
                <c:pt idx="23">
                  <c:v>1.3197199999999965E-3</c:v>
                </c:pt>
                <c:pt idx="24">
                  <c:v>-2.2281200000000001E-3</c:v>
                </c:pt>
                <c:pt idx="25">
                  <c:v>-4.8755999999999799E-4</c:v>
                </c:pt>
                <c:pt idx="26">
                  <c:v>-1.1615100000000045E-3</c:v>
                </c:pt>
                <c:pt idx="27">
                  <c:v>6.5000000000009495E-5</c:v>
                </c:pt>
                <c:pt idx="28">
                  <c:v>5.9003999999998613E-4</c:v>
                </c:pt>
                <c:pt idx="29">
                  <c:v>1.6124999999999889E-3</c:v>
                </c:pt>
                <c:pt idx="30">
                  <c:v>-2.082999999999946E-4</c:v>
                </c:pt>
                <c:pt idx="31">
                  <c:v>-6.9163999999999337E-4</c:v>
                </c:pt>
                <c:pt idx="32">
                  <c:v>4.9500799999999956E-3</c:v>
                </c:pt>
                <c:pt idx="33">
                  <c:v>2.7341099999999841E-3</c:v>
                </c:pt>
                <c:pt idx="34">
                  <c:v>4.5800599999999969E-3</c:v>
                </c:pt>
                <c:pt idx="35">
                  <c:v>3.7937999999999861E-3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6-4536-9F5F-FF569D95390C}"/>
            </c:ext>
          </c:extLst>
        </c:ser>
        <c:ser>
          <c:idx val="3"/>
          <c:order val="3"/>
          <c:tx>
            <c:strRef>
              <c:f>'T19-1'!$V$2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'T19-1'!$C$3:$C$38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'T19-1'!$V$39:$V$74</c:f>
              <c:numCache>
                <c:formatCode>0.000000</c:formatCode>
                <c:ptCount val="36"/>
                <c:pt idx="0">
                  <c:v>-1.6041800000000106E-3</c:v>
                </c:pt>
                <c:pt idx="1">
                  <c:v>2.1638800000000069E-3</c:v>
                </c:pt>
                <c:pt idx="2">
                  <c:v>-9.6495000000001996E-4</c:v>
                </c:pt>
                <c:pt idx="3">
                  <c:v>8.8752000000003051E-4</c:v>
                </c:pt>
                <c:pt idx="4">
                  <c:v>3.2250500000000071E-3</c:v>
                </c:pt>
                <c:pt idx="5">
                  <c:v>2.9374499999999526E-3</c:v>
                </c:pt>
                <c:pt idx="6">
                  <c:v>1.9417800000000041E-3</c:v>
                </c:pt>
                <c:pt idx="7">
                  <c:v>2.8650199999999959E-3</c:v>
                </c:pt>
                <c:pt idx="8">
                  <c:v>1.495880000000005E-3</c:v>
                </c:pt>
                <c:pt idx="9">
                  <c:v>2.892899999999976E-3</c:v>
                </c:pt>
                <c:pt idx="10">
                  <c:v>2.0937500000000053E-3</c:v>
                </c:pt>
                <c:pt idx="11">
                  <c:v>-5.2861999999997966E-4</c:v>
                </c:pt>
                <c:pt idx="12">
                  <c:v>2.0714800000000144E-3</c:v>
                </c:pt>
                <c:pt idx="13">
                  <c:v>2.6360699999999904E-3</c:v>
                </c:pt>
                <c:pt idx="14">
                  <c:v>2.0541900000000113E-3</c:v>
                </c:pt>
                <c:pt idx="15">
                  <c:v>1.7187499999999911E-3</c:v>
                </c:pt>
                <c:pt idx="16">
                  <c:v>2.4638699999999791E-3</c:v>
                </c:pt>
                <c:pt idx="17">
                  <c:v>-1.8686800000000114E-3</c:v>
                </c:pt>
                <c:pt idx="18">
                  <c:v>-1.774999999999971E-3</c:v>
                </c:pt>
                <c:pt idx="19">
                  <c:v>-3.1416999999999695E-3</c:v>
                </c:pt>
                <c:pt idx="20">
                  <c:v>-8.3612999999999049E-4</c:v>
                </c:pt>
                <c:pt idx="21">
                  <c:v>-4.9750199999999967E-3</c:v>
                </c:pt>
                <c:pt idx="22">
                  <c:v>-1.999799999999885E-4</c:v>
                </c:pt>
                <c:pt idx="23">
                  <c:v>-1.8285499999999844E-3</c:v>
                </c:pt>
                <c:pt idx="24">
                  <c:v>-2.6437200000000161E-3</c:v>
                </c:pt>
                <c:pt idx="25">
                  <c:v>-4.3916600000000194E-3</c:v>
                </c:pt>
                <c:pt idx="26">
                  <c:v>-2.9154000000000124E-3</c:v>
                </c:pt>
                <c:pt idx="27">
                  <c:v>-3.2005999999995538E-4</c:v>
                </c:pt>
                <c:pt idx="28">
                  <c:v>-2.1849899999999978E-3</c:v>
                </c:pt>
                <c:pt idx="29">
                  <c:v>-1.5499800000000064E-3</c:v>
                </c:pt>
                <c:pt idx="30">
                  <c:v>-3.0500299999999814E-3</c:v>
                </c:pt>
                <c:pt idx="31">
                  <c:v>-3.608250000000035E-3</c:v>
                </c:pt>
                <c:pt idx="32">
                  <c:v>-2.9208499999999749E-3</c:v>
                </c:pt>
                <c:pt idx="33">
                  <c:v>-1.8568399999999707E-3</c:v>
                </c:pt>
                <c:pt idx="34">
                  <c:v>-1.4449999999999741E-3</c:v>
                </c:pt>
                <c:pt idx="35">
                  <c:v>3.2874999999999988E-3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6-4536-9F5F-FF569D95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'T19-1'!$AC$2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'T19-1'!$C$77:$C$112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'T19-1'!$AC$77:$AC$112</c:f>
              <c:numCache>
                <c:formatCode>General</c:formatCode>
                <c:ptCount val="36"/>
                <c:pt idx="0">
                  <c:v>3.6549297345139964</c:v>
                </c:pt>
                <c:pt idx="1">
                  <c:v>3.7109124777735136</c:v>
                </c:pt>
                <c:pt idx="2">
                  <c:v>3.7471728041850096</c:v>
                </c:pt>
                <c:pt idx="3">
                  <c:v>3.7328545183273962</c:v>
                </c:pt>
                <c:pt idx="4">
                  <c:v>3.7053553684500882</c:v>
                </c:pt>
                <c:pt idx="5">
                  <c:v>3.6327343787097428</c:v>
                </c:pt>
                <c:pt idx="6">
                  <c:v>3.585252501743061</c:v>
                </c:pt>
                <c:pt idx="7">
                  <c:v>3.4472230337136676</c:v>
                </c:pt>
                <c:pt idx="8">
                  <c:v>3.314035524813491</c:v>
                </c:pt>
                <c:pt idx="9">
                  <c:v>3.174442392855561</c:v>
                </c:pt>
                <c:pt idx="10">
                  <c:v>2.9657430021269615</c:v>
                </c:pt>
                <c:pt idx="11">
                  <c:v>2.7753985293290246</c:v>
                </c:pt>
                <c:pt idx="12">
                  <c:v>2.5635469602719061</c:v>
                </c:pt>
                <c:pt idx="13">
                  <c:v>2.3010564544696948</c:v>
                </c:pt>
                <c:pt idx="14">
                  <c:v>2.1078567670506656</c:v>
                </c:pt>
                <c:pt idx="15">
                  <c:v>1.8320937916738917</c:v>
                </c:pt>
                <c:pt idx="16">
                  <c:v>1.5801331623152337</c:v>
                </c:pt>
                <c:pt idx="17">
                  <c:v>1.352289910525508</c:v>
                </c:pt>
                <c:pt idx="18">
                  <c:v>1.1282818033773632</c:v>
                </c:pt>
                <c:pt idx="19">
                  <c:v>0.97342503785006451</c:v>
                </c:pt>
                <c:pt idx="20">
                  <c:v>0.91768222794850685</c:v>
                </c:pt>
                <c:pt idx="21">
                  <c:v>0.95523969686195853</c:v>
                </c:pt>
                <c:pt idx="22">
                  <c:v>1.0587091759027314</c:v>
                </c:pt>
                <c:pt idx="23">
                  <c:v>1.2584320217560649</c:v>
                </c:pt>
                <c:pt idx="24">
                  <c:v>1.5032106940243408</c:v>
                </c:pt>
                <c:pt idx="25">
                  <c:v>1.7393455949818202</c:v>
                </c:pt>
                <c:pt idx="26">
                  <c:v>1.9979199524906135</c:v>
                </c:pt>
                <c:pt idx="27">
                  <c:v>2.2398786034583091</c:v>
                </c:pt>
                <c:pt idx="28">
                  <c:v>2.4731073528473964</c:v>
                </c:pt>
                <c:pt idx="29">
                  <c:v>2.6881705643210769</c:v>
                </c:pt>
                <c:pt idx="30">
                  <c:v>2.9014073977980801</c:v>
                </c:pt>
                <c:pt idx="31">
                  <c:v>3.1052463142389652</c:v>
                </c:pt>
                <c:pt idx="32">
                  <c:v>3.2752014622827001</c:v>
                </c:pt>
                <c:pt idx="33">
                  <c:v>3.408258477810874</c:v>
                </c:pt>
                <c:pt idx="34">
                  <c:v>3.5659861691460497</c:v>
                </c:pt>
                <c:pt idx="35">
                  <c:v>3.5928855875403967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'T19-1'!$AD$2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'T19-1'!$C$77:$C$112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'T19-1'!$AD$77:$AD$112</c:f>
              <c:numCache>
                <c:formatCode>General</c:formatCode>
                <c:ptCount val="36"/>
                <c:pt idx="0">
                  <c:v>1.1438770531956139</c:v>
                </c:pt>
                <c:pt idx="1">
                  <c:v>0.95165073905369435</c:v>
                </c:pt>
                <c:pt idx="2">
                  <c:v>0.89139217730344211</c:v>
                </c:pt>
                <c:pt idx="3">
                  <c:v>0.95656424234467574</c:v>
                </c:pt>
                <c:pt idx="4">
                  <c:v>1.0727796313924625</c:v>
                </c:pt>
                <c:pt idx="5">
                  <c:v>1.2674448191626404</c:v>
                </c:pt>
                <c:pt idx="6">
                  <c:v>1.5136426129633516</c:v>
                </c:pt>
                <c:pt idx="7">
                  <c:v>1.7128316104361472</c:v>
                </c:pt>
                <c:pt idx="8">
                  <c:v>1.9781582945872205</c:v>
                </c:pt>
                <c:pt idx="9">
                  <c:v>2.2563123686069853</c:v>
                </c:pt>
                <c:pt idx="10">
                  <c:v>2.5322242954607228</c:v>
                </c:pt>
                <c:pt idx="11">
                  <c:v>2.7022706943118173</c:v>
                </c:pt>
                <c:pt idx="12">
                  <c:v>2.9125173717201642</c:v>
                </c:pt>
                <c:pt idx="13">
                  <c:v>3.0885465606882123</c:v>
                </c:pt>
                <c:pt idx="14">
                  <c:v>3.2630752690164111</c:v>
                </c:pt>
                <c:pt idx="15">
                  <c:v>3.4477260450886504</c:v>
                </c:pt>
                <c:pt idx="16">
                  <c:v>3.5670065676087956</c:v>
                </c:pt>
                <c:pt idx="17">
                  <c:v>3.6688292767453015</c:v>
                </c:pt>
                <c:pt idx="18">
                  <c:v>3.721719678687653</c:v>
                </c:pt>
                <c:pt idx="19">
                  <c:v>3.7894158174572219</c:v>
                </c:pt>
                <c:pt idx="20">
                  <c:v>3.7935813157865095</c:v>
                </c:pt>
                <c:pt idx="21">
                  <c:v>3.7813952563108457</c:v>
                </c:pt>
                <c:pt idx="22">
                  <c:v>3.6933216903235575</c:v>
                </c:pt>
                <c:pt idx="23">
                  <c:v>3.6555128378987964</c:v>
                </c:pt>
                <c:pt idx="24">
                  <c:v>3.5883001995951425</c:v>
                </c:pt>
                <c:pt idx="25">
                  <c:v>3.4665849153700785</c:v>
                </c:pt>
                <c:pt idx="26">
                  <c:v>3.3497156107027171</c:v>
                </c:pt>
                <c:pt idx="27">
                  <c:v>3.1839983375740717</c:v>
                </c:pt>
                <c:pt idx="28">
                  <c:v>3.0143333729975836</c:v>
                </c:pt>
                <c:pt idx="29">
                  <c:v>2.7872227230377655</c:v>
                </c:pt>
                <c:pt idx="30">
                  <c:v>2.5857389735928225</c:v>
                </c:pt>
                <c:pt idx="31">
                  <c:v>2.346855642573213</c:v>
                </c:pt>
                <c:pt idx="32">
                  <c:v>2.1080037823479723</c:v>
                </c:pt>
                <c:pt idx="33">
                  <c:v>1.9269229243571389</c:v>
                </c:pt>
                <c:pt idx="34">
                  <c:v>1.6352789574680624</c:v>
                </c:pt>
                <c:pt idx="35">
                  <c:v>1.3801042471510432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'T19-1'!$K$2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'T19-1'!$C$77:$C$112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'T19-1'!$K$77:$K$112</c:f>
              <c:numCache>
                <c:formatCode>General</c:formatCode>
                <c:ptCount val="36"/>
                <c:pt idx="0">
                  <c:v>23.164999999999999</c:v>
                </c:pt>
                <c:pt idx="1">
                  <c:v>23.195</c:v>
                </c:pt>
                <c:pt idx="2">
                  <c:v>23.14</c:v>
                </c:pt>
                <c:pt idx="3">
                  <c:v>23.125</c:v>
                </c:pt>
                <c:pt idx="4">
                  <c:v>22.994999999999997</c:v>
                </c:pt>
                <c:pt idx="5">
                  <c:v>22.975000000000001</c:v>
                </c:pt>
                <c:pt idx="6">
                  <c:v>22.93</c:v>
                </c:pt>
                <c:pt idx="7">
                  <c:v>23.045000000000002</c:v>
                </c:pt>
                <c:pt idx="8">
                  <c:v>23.145</c:v>
                </c:pt>
                <c:pt idx="9">
                  <c:v>22.945</c:v>
                </c:pt>
                <c:pt idx="10">
                  <c:v>22.93</c:v>
                </c:pt>
                <c:pt idx="11">
                  <c:v>23.105</c:v>
                </c:pt>
                <c:pt idx="12">
                  <c:v>23.024999999999999</c:v>
                </c:pt>
                <c:pt idx="13">
                  <c:v>23.164999999999999</c:v>
                </c:pt>
                <c:pt idx="14">
                  <c:v>23.004999999999999</c:v>
                </c:pt>
                <c:pt idx="15">
                  <c:v>22.995000000000001</c:v>
                </c:pt>
                <c:pt idx="16">
                  <c:v>22.95</c:v>
                </c:pt>
                <c:pt idx="17">
                  <c:v>22.89</c:v>
                </c:pt>
                <c:pt idx="18">
                  <c:v>22.935000000000002</c:v>
                </c:pt>
                <c:pt idx="19">
                  <c:v>23</c:v>
                </c:pt>
                <c:pt idx="20">
                  <c:v>22.895</c:v>
                </c:pt>
                <c:pt idx="21">
                  <c:v>22.85</c:v>
                </c:pt>
                <c:pt idx="22">
                  <c:v>23.1</c:v>
                </c:pt>
                <c:pt idx="23">
                  <c:v>23.195</c:v>
                </c:pt>
                <c:pt idx="24">
                  <c:v>22.914999999999999</c:v>
                </c:pt>
                <c:pt idx="25">
                  <c:v>22.995000000000001</c:v>
                </c:pt>
                <c:pt idx="26">
                  <c:v>23.02</c:v>
                </c:pt>
                <c:pt idx="27">
                  <c:v>23.105</c:v>
                </c:pt>
                <c:pt idx="28">
                  <c:v>23.11</c:v>
                </c:pt>
                <c:pt idx="29">
                  <c:v>23.134999999999998</c:v>
                </c:pt>
                <c:pt idx="30">
                  <c:v>23.1</c:v>
                </c:pt>
                <c:pt idx="31">
                  <c:v>23.074999999999999</c:v>
                </c:pt>
                <c:pt idx="32">
                  <c:v>22.96</c:v>
                </c:pt>
                <c:pt idx="33">
                  <c:v>23.414999999999999</c:v>
                </c:pt>
                <c:pt idx="34">
                  <c:v>22.950000000000003</c:v>
                </c:pt>
                <c:pt idx="3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'T19-1'!$L$2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'T19-1'!$C$77:$C$112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'T19-1'!$L$77:$L$112</c:f>
              <c:numCache>
                <c:formatCode>General</c:formatCode>
                <c:ptCount val="36"/>
                <c:pt idx="0">
                  <c:v>23.16</c:v>
                </c:pt>
                <c:pt idx="1">
                  <c:v>23.184999999999999</c:v>
                </c:pt>
                <c:pt idx="2">
                  <c:v>23.145</c:v>
                </c:pt>
                <c:pt idx="3">
                  <c:v>23.11</c:v>
                </c:pt>
                <c:pt idx="4">
                  <c:v>23.005000000000003</c:v>
                </c:pt>
                <c:pt idx="5">
                  <c:v>22.990000000000002</c:v>
                </c:pt>
                <c:pt idx="6">
                  <c:v>22.935000000000002</c:v>
                </c:pt>
                <c:pt idx="7">
                  <c:v>23.04</c:v>
                </c:pt>
                <c:pt idx="8">
                  <c:v>23.145</c:v>
                </c:pt>
                <c:pt idx="9">
                  <c:v>22.93</c:v>
                </c:pt>
                <c:pt idx="10">
                  <c:v>22.914999999999999</c:v>
                </c:pt>
                <c:pt idx="11">
                  <c:v>23.1</c:v>
                </c:pt>
                <c:pt idx="12">
                  <c:v>23.04</c:v>
                </c:pt>
                <c:pt idx="13">
                  <c:v>23.15</c:v>
                </c:pt>
                <c:pt idx="14">
                  <c:v>23.015000000000001</c:v>
                </c:pt>
                <c:pt idx="15">
                  <c:v>23.009999999999998</c:v>
                </c:pt>
                <c:pt idx="16">
                  <c:v>22.939999999999998</c:v>
                </c:pt>
                <c:pt idx="17">
                  <c:v>22.880000000000003</c:v>
                </c:pt>
                <c:pt idx="18">
                  <c:v>22.94</c:v>
                </c:pt>
                <c:pt idx="19">
                  <c:v>23</c:v>
                </c:pt>
                <c:pt idx="20">
                  <c:v>22.905000000000001</c:v>
                </c:pt>
                <c:pt idx="21">
                  <c:v>22.854999999999997</c:v>
                </c:pt>
                <c:pt idx="22">
                  <c:v>23.11</c:v>
                </c:pt>
                <c:pt idx="23">
                  <c:v>23.189999999999998</c:v>
                </c:pt>
                <c:pt idx="24">
                  <c:v>22.925000000000001</c:v>
                </c:pt>
                <c:pt idx="25">
                  <c:v>23</c:v>
                </c:pt>
                <c:pt idx="26">
                  <c:v>23.009999999999998</c:v>
                </c:pt>
                <c:pt idx="27">
                  <c:v>23.11</c:v>
                </c:pt>
                <c:pt idx="28">
                  <c:v>23.130000000000003</c:v>
                </c:pt>
                <c:pt idx="29">
                  <c:v>23.134999999999998</c:v>
                </c:pt>
                <c:pt idx="30">
                  <c:v>23.07</c:v>
                </c:pt>
                <c:pt idx="31">
                  <c:v>23.08</c:v>
                </c:pt>
                <c:pt idx="32">
                  <c:v>22.965</c:v>
                </c:pt>
                <c:pt idx="33">
                  <c:v>23.4</c:v>
                </c:pt>
                <c:pt idx="34">
                  <c:v>22.96</c:v>
                </c:pt>
                <c:pt idx="35">
                  <c:v>22.990000000000002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'T19-1'!$D$2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'T19-1'!$C$3:$C$38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'T19-1'!$D$3:$D$38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  <c:pt idx="9">
                  <c:v>8</c:v>
                </c:pt>
                <c:pt idx="10">
                  <c:v>2</c:v>
                </c:pt>
                <c:pt idx="11">
                  <c:v>10</c:v>
                </c:pt>
                <c:pt idx="12">
                  <c:v>10</c:v>
                </c:pt>
                <c:pt idx="13">
                  <c:v>7</c:v>
                </c:pt>
                <c:pt idx="14">
                  <c:v>7</c:v>
                </c:pt>
                <c:pt idx="15">
                  <c:v>10</c:v>
                </c:pt>
                <c:pt idx="16">
                  <c:v>4</c:v>
                </c:pt>
                <c:pt idx="17">
                  <c:v>7</c:v>
                </c:pt>
                <c:pt idx="18">
                  <c:v>8</c:v>
                </c:pt>
                <c:pt idx="19">
                  <c:v>8</c:v>
                </c:pt>
                <c:pt idx="20">
                  <c:v>3</c:v>
                </c:pt>
                <c:pt idx="21">
                  <c:v>6</c:v>
                </c:pt>
                <c:pt idx="22">
                  <c:v>8</c:v>
                </c:pt>
                <c:pt idx="23">
                  <c:v>5</c:v>
                </c:pt>
                <c:pt idx="24">
                  <c:v>11</c:v>
                </c:pt>
                <c:pt idx="25">
                  <c:v>5</c:v>
                </c:pt>
                <c:pt idx="26">
                  <c:v>7</c:v>
                </c:pt>
                <c:pt idx="27">
                  <c:v>5</c:v>
                </c:pt>
                <c:pt idx="28">
                  <c:v>9</c:v>
                </c:pt>
                <c:pt idx="29">
                  <c:v>7</c:v>
                </c:pt>
                <c:pt idx="30">
                  <c:v>10</c:v>
                </c:pt>
                <c:pt idx="31">
                  <c:v>5</c:v>
                </c:pt>
                <c:pt idx="32">
                  <c:v>10</c:v>
                </c:pt>
                <c:pt idx="33">
                  <c:v>1</c:v>
                </c:pt>
                <c:pt idx="34">
                  <c:v>4</c:v>
                </c:pt>
                <c:pt idx="3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'T19-1'!$D$2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'T19-1'!$C$3:$C$38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'T19-1'!$D$39:$D$74</c:f>
              <c:numCache>
                <c:formatCode>General</c:formatCode>
                <c:ptCount val="36"/>
                <c:pt idx="0">
                  <c:v>6</c:v>
                </c:pt>
                <c:pt idx="1">
                  <c:v>9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10</c:v>
                </c:pt>
                <c:pt idx="8">
                  <c:v>6</c:v>
                </c:pt>
                <c:pt idx="9">
                  <c:v>7</c:v>
                </c:pt>
                <c:pt idx="10">
                  <c:v>4</c:v>
                </c:pt>
                <c:pt idx="11">
                  <c:v>7</c:v>
                </c:pt>
                <c:pt idx="12">
                  <c:v>7</c:v>
                </c:pt>
                <c:pt idx="13">
                  <c:v>9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9</c:v>
                </c:pt>
                <c:pt idx="21">
                  <c:v>10</c:v>
                </c:pt>
                <c:pt idx="22">
                  <c:v>7</c:v>
                </c:pt>
                <c:pt idx="23">
                  <c:v>14</c:v>
                </c:pt>
                <c:pt idx="24">
                  <c:v>8</c:v>
                </c:pt>
                <c:pt idx="25">
                  <c:v>6</c:v>
                </c:pt>
                <c:pt idx="26">
                  <c:v>13</c:v>
                </c:pt>
                <c:pt idx="27">
                  <c:v>5</c:v>
                </c:pt>
                <c:pt idx="28">
                  <c:v>5</c:v>
                </c:pt>
                <c:pt idx="29">
                  <c:v>8</c:v>
                </c:pt>
                <c:pt idx="30">
                  <c:v>3</c:v>
                </c:pt>
                <c:pt idx="31">
                  <c:v>9</c:v>
                </c:pt>
                <c:pt idx="32">
                  <c:v>6</c:v>
                </c:pt>
                <c:pt idx="33">
                  <c:v>11</c:v>
                </c:pt>
                <c:pt idx="34">
                  <c:v>5</c:v>
                </c:pt>
                <c:pt idx="3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2-4DA1-AC3C-2B7B8362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'T19-1'!$M$2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'T19-1'!$C$77:$C$112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'T19-1'!$M$77:$M$112</c:f>
              <c:numCache>
                <c:formatCode>General</c:formatCode>
                <c:ptCount val="36"/>
                <c:pt idx="0">
                  <c:v>4.9999999999990052E-3</c:v>
                </c:pt>
                <c:pt idx="1">
                  <c:v>1.0000000000001563E-2</c:v>
                </c:pt>
                <c:pt idx="2">
                  <c:v>-4.9999999999990052E-3</c:v>
                </c:pt>
                <c:pt idx="3">
                  <c:v>1.5000000000000568E-2</c:v>
                </c:pt>
                <c:pt idx="4">
                  <c:v>-1.0000000000005116E-2</c:v>
                </c:pt>
                <c:pt idx="5">
                  <c:v>-1.5000000000000568E-2</c:v>
                </c:pt>
                <c:pt idx="6">
                  <c:v>-5.000000000002558E-3</c:v>
                </c:pt>
                <c:pt idx="7">
                  <c:v>5.000000000002558E-3</c:v>
                </c:pt>
                <c:pt idx="8">
                  <c:v>0</c:v>
                </c:pt>
                <c:pt idx="9">
                  <c:v>1.5000000000000568E-2</c:v>
                </c:pt>
                <c:pt idx="10">
                  <c:v>1.5000000000000568E-2</c:v>
                </c:pt>
                <c:pt idx="11">
                  <c:v>4.9999999999990052E-3</c:v>
                </c:pt>
                <c:pt idx="12">
                  <c:v>-1.5000000000000568E-2</c:v>
                </c:pt>
                <c:pt idx="13">
                  <c:v>1.5000000000000568E-2</c:v>
                </c:pt>
                <c:pt idx="14">
                  <c:v>-1.0000000000001563E-2</c:v>
                </c:pt>
                <c:pt idx="15">
                  <c:v>-1.4999999999997016E-2</c:v>
                </c:pt>
                <c:pt idx="16">
                  <c:v>1.0000000000001563E-2</c:v>
                </c:pt>
                <c:pt idx="17">
                  <c:v>9.9999999999980105E-3</c:v>
                </c:pt>
                <c:pt idx="18">
                  <c:v>-4.9999999999990052E-3</c:v>
                </c:pt>
                <c:pt idx="19">
                  <c:v>0</c:v>
                </c:pt>
                <c:pt idx="20">
                  <c:v>-1.0000000000001563E-2</c:v>
                </c:pt>
                <c:pt idx="21">
                  <c:v>-4.9999999999954525E-3</c:v>
                </c:pt>
                <c:pt idx="22">
                  <c:v>-9.9999999999980105E-3</c:v>
                </c:pt>
                <c:pt idx="23">
                  <c:v>5.000000000002558E-3</c:v>
                </c:pt>
                <c:pt idx="24">
                  <c:v>-1.0000000000001563E-2</c:v>
                </c:pt>
                <c:pt idx="25">
                  <c:v>-4.9999999999990052E-3</c:v>
                </c:pt>
                <c:pt idx="26">
                  <c:v>1.0000000000001563E-2</c:v>
                </c:pt>
                <c:pt idx="27">
                  <c:v>-4.9999999999990052E-3</c:v>
                </c:pt>
                <c:pt idx="28">
                  <c:v>-2.0000000000003126E-2</c:v>
                </c:pt>
                <c:pt idx="29">
                  <c:v>0</c:v>
                </c:pt>
                <c:pt idx="30">
                  <c:v>3.0000000000001137E-2</c:v>
                </c:pt>
                <c:pt idx="31">
                  <c:v>-4.9999999999990052E-3</c:v>
                </c:pt>
                <c:pt idx="32">
                  <c:v>-4.9999999999990052E-3</c:v>
                </c:pt>
                <c:pt idx="33">
                  <c:v>1.5000000000000568E-2</c:v>
                </c:pt>
                <c:pt idx="34">
                  <c:v>-9.9999999999980105E-3</c:v>
                </c:pt>
                <c:pt idx="35">
                  <c:v>9.9999999999980105E-3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'T19-1'!$U$2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'T19-1'!$C$77:$C$112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'T19-1'!$U$77:$U$112</c:f>
              <c:numCache>
                <c:formatCode>General</c:formatCode>
                <c:ptCount val="36"/>
                <c:pt idx="0">
                  <c:v>2.0083099999999993E-3</c:v>
                </c:pt>
                <c:pt idx="1">
                  <c:v>1.4111900000000066E-3</c:v>
                </c:pt>
                <c:pt idx="2">
                  <c:v>3.7616199999999933E-3</c:v>
                </c:pt>
                <c:pt idx="3">
                  <c:v>2.4970600000000093E-3</c:v>
                </c:pt>
                <c:pt idx="4">
                  <c:v>4.4635600000000053E-3</c:v>
                </c:pt>
                <c:pt idx="5">
                  <c:v>1.8500299999999886E-3</c:v>
                </c:pt>
                <c:pt idx="6">
                  <c:v>7.0001000000001479E-4</c:v>
                </c:pt>
                <c:pt idx="7">
                  <c:v>4.0322499999999317E-4</c:v>
                </c:pt>
                <c:pt idx="8">
                  <c:v>7.4751500000000415E-4</c:v>
                </c:pt>
                <c:pt idx="9">
                  <c:v>-2.1843600000000102E-3</c:v>
                </c:pt>
                <c:pt idx="10">
                  <c:v>-1.5656450000000044E-3</c:v>
                </c:pt>
                <c:pt idx="11">
                  <c:v>-3.8677500000000586E-4</c:v>
                </c:pt>
                <c:pt idx="12">
                  <c:v>-6.6855499999998735E-4</c:v>
                </c:pt>
                <c:pt idx="13">
                  <c:v>-2.1587500000000009E-3</c:v>
                </c:pt>
                <c:pt idx="14">
                  <c:v>-2.760744999999995E-3</c:v>
                </c:pt>
                <c:pt idx="15">
                  <c:v>-2.6450249999999953E-3</c:v>
                </c:pt>
                <c:pt idx="16">
                  <c:v>-3.0500150000000031E-3</c:v>
                </c:pt>
                <c:pt idx="17">
                  <c:v>-2.7767900000000012E-3</c:v>
                </c:pt>
                <c:pt idx="18">
                  <c:v>-2.4943499999999924E-3</c:v>
                </c:pt>
                <c:pt idx="19">
                  <c:v>-1.6901000000000138E-3</c:v>
                </c:pt>
                <c:pt idx="20">
                  <c:v>-1.2902999999999942E-3</c:v>
                </c:pt>
                <c:pt idx="21">
                  <c:v>-1.6659000000000118E-3</c:v>
                </c:pt>
                <c:pt idx="22">
                  <c:v>-1.2627350000000009E-3</c:v>
                </c:pt>
                <c:pt idx="23">
                  <c:v>5.5985999999999536E-4</c:v>
                </c:pt>
                <c:pt idx="24">
                  <c:v>-7.7768500000000018E-4</c:v>
                </c:pt>
                <c:pt idx="25">
                  <c:v>6.2125999999999848E-4</c:v>
                </c:pt>
                <c:pt idx="26">
                  <c:v>-1.3539800000000046E-3</c:v>
                </c:pt>
                <c:pt idx="27">
                  <c:v>-2.8749499999999872E-4</c:v>
                </c:pt>
                <c:pt idx="28">
                  <c:v>1.2478049999999907E-3</c:v>
                </c:pt>
                <c:pt idx="29">
                  <c:v>1.531249999999984E-3</c:v>
                </c:pt>
                <c:pt idx="30">
                  <c:v>6.2211500000000641E-4</c:v>
                </c:pt>
                <c:pt idx="31">
                  <c:v>2.1892100000000109E-3</c:v>
                </c:pt>
                <c:pt idx="32">
                  <c:v>4.4475500000000084E-3</c:v>
                </c:pt>
                <c:pt idx="33">
                  <c:v>2.5045850000000036E-3</c:v>
                </c:pt>
                <c:pt idx="34">
                  <c:v>2.1587350000000088E-3</c:v>
                </c:pt>
                <c:pt idx="35">
                  <c:v>2.5614899999999857E-3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A84-4C1B-B53C-514DBB4B0305}"/>
            </c:ext>
          </c:extLst>
        </c:ser>
        <c:ser>
          <c:idx val="1"/>
          <c:order val="1"/>
          <c:tx>
            <c:strRef>
              <c:f>'T19-1'!$V$2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'T19-1'!$C$77:$C$112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'T19-1'!$V$77:$V$112</c:f>
              <c:numCache>
                <c:formatCode>General</c:formatCode>
                <c:ptCount val="36"/>
                <c:pt idx="0">
                  <c:v>-1.633355000000003E-3</c:v>
                </c:pt>
                <c:pt idx="1">
                  <c:v>8.6943000000000437E-4</c:v>
                </c:pt>
                <c:pt idx="2">
                  <c:v>-5.2622000000002167E-4</c:v>
                </c:pt>
                <c:pt idx="3">
                  <c:v>3.6160000000001746E-4</c:v>
                </c:pt>
                <c:pt idx="4">
                  <c:v>4.6604299999999932E-3</c:v>
                </c:pt>
                <c:pt idx="5">
                  <c:v>2.9562449999999685E-3</c:v>
                </c:pt>
                <c:pt idx="6">
                  <c:v>2.1813100000000196E-3</c:v>
                </c:pt>
                <c:pt idx="7">
                  <c:v>2.9146599999999856E-3</c:v>
                </c:pt>
                <c:pt idx="8">
                  <c:v>6.9545000000001411E-4</c:v>
                </c:pt>
                <c:pt idx="9">
                  <c:v>2.1386150000000104E-3</c:v>
                </c:pt>
                <c:pt idx="10">
                  <c:v>2.0468899999999957E-3</c:v>
                </c:pt>
                <c:pt idx="11">
                  <c:v>-5.8431999999997153E-4</c:v>
                </c:pt>
                <c:pt idx="12">
                  <c:v>1.641965000000023E-3</c:v>
                </c:pt>
                <c:pt idx="13">
                  <c:v>2.5734099999999704E-3</c:v>
                </c:pt>
                <c:pt idx="14">
                  <c:v>7.7094999999999247E-5</c:v>
                </c:pt>
                <c:pt idx="15">
                  <c:v>8.2937499999999331E-4</c:v>
                </c:pt>
                <c:pt idx="16">
                  <c:v>7.6630999999999228E-4</c:v>
                </c:pt>
                <c:pt idx="17">
                  <c:v>2.6922499999998406E-4</c:v>
                </c:pt>
                <c:pt idx="18">
                  <c:v>-1.1874799999999908E-3</c:v>
                </c:pt>
                <c:pt idx="19">
                  <c:v>-2.0599149999999677E-3</c:v>
                </c:pt>
                <c:pt idx="20">
                  <c:v>-1.0764299999999893E-3</c:v>
                </c:pt>
                <c:pt idx="21">
                  <c:v>-3.1916399999999956E-3</c:v>
                </c:pt>
                <c:pt idx="22">
                  <c:v>-8.9061999999998087E-4</c:v>
                </c:pt>
                <c:pt idx="23">
                  <c:v>-5.5926500000000323E-4</c:v>
                </c:pt>
                <c:pt idx="24">
                  <c:v>-4.2252850000000231E-3</c:v>
                </c:pt>
                <c:pt idx="25">
                  <c:v>-5.3108300000000164E-3</c:v>
                </c:pt>
                <c:pt idx="26">
                  <c:v>-3.3398649999999974E-3</c:v>
                </c:pt>
                <c:pt idx="27">
                  <c:v>-1.0275449999999631E-3</c:v>
                </c:pt>
                <c:pt idx="28">
                  <c:v>-3.2313750000000085E-3</c:v>
                </c:pt>
                <c:pt idx="29">
                  <c:v>-1.9089149999999833E-3</c:v>
                </c:pt>
                <c:pt idx="30">
                  <c:v>-3.4600499999999923E-3</c:v>
                </c:pt>
                <c:pt idx="31">
                  <c:v>-1.5191250000000101E-3</c:v>
                </c:pt>
                <c:pt idx="32">
                  <c:v>-1.5079249999999933E-3</c:v>
                </c:pt>
                <c:pt idx="33">
                  <c:v>4.0840450000000084E-3</c:v>
                </c:pt>
                <c:pt idx="34">
                  <c:v>-2.166239999999986E-3</c:v>
                </c:pt>
                <c:pt idx="35">
                  <c:v>1.5791649999999935E-3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A84-4C1B-B53C-514DBB4B0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55</xdr:row>
      <xdr:rowOff>0</xdr:rowOff>
    </xdr:from>
    <xdr:to>
      <xdr:col>25</xdr:col>
      <xdr:colOff>0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1</xdr:rowOff>
    </xdr:from>
    <xdr:to>
      <xdr:col>25</xdr:col>
      <xdr:colOff>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592A88-6ADD-474A-BDCB-BBE97CBB0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G22"/>
  <sheetViews>
    <sheetView tabSelected="1" zoomScale="70" zoomScaleNormal="70" workbookViewId="0">
      <selection activeCell="AE7" sqref="AE7:AE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33" ht="15.75" customHeight="1" x14ac:dyDescent="0.25">
      <c r="A1" s="73" t="s">
        <v>29</v>
      </c>
      <c r="B1" s="73"/>
      <c r="C1" s="73" t="s">
        <v>62</v>
      </c>
      <c r="D1" s="73"/>
      <c r="E1" s="73" t="s">
        <v>64</v>
      </c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AC1" s="24" t="s">
        <v>52</v>
      </c>
      <c r="AD1" s="25"/>
      <c r="AE1" s="25"/>
      <c r="AF1" s="25"/>
      <c r="AG1" s="26"/>
    </row>
    <row r="2" spans="1:33" ht="15.7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AC2" s="27"/>
      <c r="AD2" s="28"/>
      <c r="AE2" s="28"/>
      <c r="AF2" s="28"/>
      <c r="AG2" s="29"/>
    </row>
    <row r="4" spans="1:33" x14ac:dyDescent="0.25">
      <c r="A4" s="72" t="s">
        <v>30</v>
      </c>
      <c r="B4" s="72"/>
      <c r="C4" s="72"/>
      <c r="D4" s="72"/>
      <c r="E4" s="72"/>
      <c r="F4" s="72"/>
      <c r="G4" s="35" t="s">
        <v>67</v>
      </c>
      <c r="H4" s="36"/>
      <c r="I4" s="2" t="s">
        <v>18</v>
      </c>
      <c r="K4" s="74" t="s">
        <v>45</v>
      </c>
      <c r="L4" s="74"/>
      <c r="M4" s="74"/>
      <c r="N4" s="74"/>
      <c r="O4" s="74"/>
      <c r="P4" s="74"/>
      <c r="R4" s="74" t="s">
        <v>46</v>
      </c>
      <c r="S4" s="74"/>
      <c r="T4" s="74"/>
      <c r="U4" s="74"/>
      <c r="V4" s="74"/>
      <c r="W4" s="74"/>
      <c r="X4" s="74"/>
      <c r="Y4" s="74"/>
      <c r="AC4" s="58"/>
      <c r="AD4" s="61"/>
      <c r="AE4" s="62" t="s">
        <v>67</v>
      </c>
      <c r="AF4" s="61"/>
      <c r="AG4" s="58"/>
    </row>
    <row r="5" spans="1:33" ht="15.75" customHeight="1" x14ac:dyDescent="0.25">
      <c r="A5" s="32" t="s">
        <v>31</v>
      </c>
      <c r="B5" s="33"/>
      <c r="C5" s="33"/>
      <c r="D5" s="33"/>
      <c r="E5" s="33"/>
      <c r="F5" s="34"/>
      <c r="G5" s="35" t="s">
        <v>66</v>
      </c>
      <c r="H5" s="36"/>
      <c r="I5" s="2" t="s">
        <v>18</v>
      </c>
      <c r="K5" s="44" t="s">
        <v>65</v>
      </c>
      <c r="L5" s="45"/>
      <c r="M5" s="45"/>
      <c r="N5" s="45"/>
      <c r="O5" s="45"/>
      <c r="P5" s="46"/>
      <c r="R5" s="75" t="s">
        <v>63</v>
      </c>
      <c r="S5" s="75"/>
      <c r="T5" s="75"/>
      <c r="U5" s="75"/>
      <c r="V5" s="75"/>
      <c r="W5" s="75"/>
      <c r="X5" s="75"/>
      <c r="Y5" s="75"/>
      <c r="AC5" s="58"/>
      <c r="AD5" s="61"/>
      <c r="AE5" s="62"/>
      <c r="AF5" s="61"/>
      <c r="AG5" s="58"/>
    </row>
    <row r="6" spans="1:33" x14ac:dyDescent="0.25">
      <c r="A6" s="72" t="s">
        <v>32</v>
      </c>
      <c r="B6" s="72"/>
      <c r="C6" s="72"/>
      <c r="D6" s="72"/>
      <c r="E6" s="72"/>
      <c r="F6" s="72"/>
      <c r="G6" s="71">
        <v>0</v>
      </c>
      <c r="H6" s="71"/>
      <c r="I6" s="2" t="s">
        <v>24</v>
      </c>
      <c r="K6" s="47"/>
      <c r="L6" s="48"/>
      <c r="M6" s="48"/>
      <c r="N6" s="48"/>
      <c r="O6" s="48"/>
      <c r="P6" s="49"/>
      <c r="R6" s="75"/>
      <c r="S6" s="75"/>
      <c r="T6" s="75"/>
      <c r="U6" s="75"/>
      <c r="V6" s="75"/>
      <c r="W6" s="75"/>
      <c r="X6" s="75"/>
      <c r="Y6" s="75"/>
      <c r="AC6" s="58"/>
      <c r="AD6" s="61"/>
      <c r="AE6" s="62"/>
      <c r="AF6" s="61"/>
      <c r="AG6" s="58"/>
    </row>
    <row r="7" spans="1:33" ht="15.75" customHeight="1" x14ac:dyDescent="0.25">
      <c r="A7" s="32" t="s">
        <v>51</v>
      </c>
      <c r="B7" s="33"/>
      <c r="C7" s="33"/>
      <c r="D7" s="33"/>
      <c r="E7" s="33"/>
      <c r="F7" s="34"/>
      <c r="G7" s="35" t="s">
        <v>58</v>
      </c>
      <c r="H7" s="36"/>
      <c r="I7" s="2"/>
      <c r="K7" s="47"/>
      <c r="L7" s="48"/>
      <c r="M7" s="48"/>
      <c r="N7" s="48"/>
      <c r="O7" s="48"/>
      <c r="P7" s="49"/>
      <c r="R7" s="75"/>
      <c r="S7" s="75"/>
      <c r="T7" s="75"/>
      <c r="U7" s="75"/>
      <c r="V7" s="75"/>
      <c r="W7" s="75"/>
      <c r="X7" s="75"/>
      <c r="Y7" s="75"/>
      <c r="AC7" s="61"/>
      <c r="AD7" s="61"/>
      <c r="AE7" s="61"/>
      <c r="AF7" s="61"/>
      <c r="AG7" s="61"/>
    </row>
    <row r="8" spans="1:33" x14ac:dyDescent="0.25">
      <c r="A8" s="72" t="s">
        <v>15</v>
      </c>
      <c r="B8" s="72"/>
      <c r="C8" s="72"/>
      <c r="D8" s="72"/>
      <c r="E8" s="72"/>
      <c r="F8" s="72"/>
      <c r="G8" s="76">
        <f>360/((23*60*60)+(56*60)+4.09)</f>
        <v>4.1780746480349299E-3</v>
      </c>
      <c r="H8" s="76"/>
      <c r="I8" s="2" t="s">
        <v>16</v>
      </c>
      <c r="K8" s="47"/>
      <c r="L8" s="48"/>
      <c r="M8" s="48"/>
      <c r="N8" s="48"/>
      <c r="O8" s="48"/>
      <c r="P8" s="49"/>
      <c r="R8" s="75"/>
      <c r="S8" s="75"/>
      <c r="T8" s="75"/>
      <c r="U8" s="75"/>
      <c r="V8" s="75"/>
      <c r="W8" s="75"/>
      <c r="X8" s="75"/>
      <c r="Y8" s="75"/>
      <c r="AC8" s="61"/>
      <c r="AD8" s="61"/>
      <c r="AE8" s="61"/>
      <c r="AF8" s="61"/>
      <c r="AG8" s="61"/>
    </row>
    <row r="9" spans="1:33" x14ac:dyDescent="0.25">
      <c r="A9" s="72" t="s">
        <v>17</v>
      </c>
      <c r="B9" s="72"/>
      <c r="C9" s="72"/>
      <c r="D9" s="72"/>
      <c r="E9" s="72"/>
      <c r="F9" s="72"/>
      <c r="G9" s="71">
        <v>49</v>
      </c>
      <c r="H9" s="71"/>
      <c r="I9" s="2" t="s">
        <v>18</v>
      </c>
      <c r="K9" s="47"/>
      <c r="L9" s="48"/>
      <c r="M9" s="48"/>
      <c r="N9" s="48"/>
      <c r="O9" s="48"/>
      <c r="P9" s="49"/>
      <c r="R9" s="75"/>
      <c r="S9" s="75"/>
      <c r="T9" s="75"/>
      <c r="U9" s="75"/>
      <c r="V9" s="75"/>
      <c r="W9" s="75"/>
      <c r="X9" s="75"/>
      <c r="Y9" s="75"/>
      <c r="AC9" s="61"/>
      <c r="AD9" s="81"/>
      <c r="AE9" s="81"/>
      <c r="AF9" s="81"/>
      <c r="AG9" s="61"/>
    </row>
    <row r="10" spans="1:33" ht="15.75" customHeight="1" x14ac:dyDescent="0.25">
      <c r="A10" s="66" t="s">
        <v>19</v>
      </c>
      <c r="B10" s="67"/>
      <c r="C10" s="67"/>
      <c r="D10" s="67"/>
      <c r="E10" s="67"/>
      <c r="F10" s="68"/>
      <c r="G10" s="69">
        <f>(COS(RADIANS(G9))*G8)</f>
        <v>2.7410635966396515E-3</v>
      </c>
      <c r="H10" s="70"/>
      <c r="I10" s="3" t="s">
        <v>16</v>
      </c>
      <c r="K10" s="47"/>
      <c r="L10" s="48"/>
      <c r="M10" s="48"/>
      <c r="N10" s="48"/>
      <c r="O10" s="48"/>
      <c r="P10" s="49"/>
      <c r="R10" s="13"/>
      <c r="S10" s="13"/>
      <c r="T10" s="13"/>
      <c r="U10" s="13"/>
      <c r="V10" s="13"/>
      <c r="W10" s="13"/>
      <c r="X10" s="13"/>
      <c r="Y10" s="13"/>
      <c r="AC10" s="63" t="s">
        <v>48</v>
      </c>
      <c r="AD10" s="64"/>
      <c r="AE10" s="65" t="s">
        <v>50</v>
      </c>
      <c r="AF10" s="64"/>
      <c r="AG10" s="30" t="s">
        <v>48</v>
      </c>
    </row>
    <row r="11" spans="1:33" ht="15.75" customHeight="1" x14ac:dyDescent="0.25">
      <c r="A11" s="72" t="s">
        <v>33</v>
      </c>
      <c r="B11" s="72"/>
      <c r="C11" s="72"/>
      <c r="D11" s="72"/>
      <c r="E11" s="72"/>
      <c r="F11" s="72"/>
      <c r="G11" s="71">
        <v>10</v>
      </c>
      <c r="H11" s="71"/>
      <c r="I11" s="2" t="s">
        <v>18</v>
      </c>
      <c r="K11" s="47"/>
      <c r="L11" s="48"/>
      <c r="M11" s="48"/>
      <c r="N11" s="48"/>
      <c r="O11" s="48"/>
      <c r="P11" s="49"/>
      <c r="R11" s="13"/>
      <c r="S11" s="13"/>
      <c r="T11" s="13"/>
      <c r="U11" s="13"/>
      <c r="V11" s="13"/>
      <c r="W11" s="13"/>
      <c r="X11" s="13"/>
      <c r="Y11" s="13"/>
      <c r="AC11" s="63"/>
      <c r="AD11" s="64"/>
      <c r="AE11" s="65"/>
      <c r="AF11" s="64"/>
      <c r="AG11" s="30"/>
    </row>
    <row r="12" spans="1:33" ht="15.75" customHeight="1" x14ac:dyDescent="0.25">
      <c r="A12" s="32" t="s">
        <v>34</v>
      </c>
      <c r="B12" s="33"/>
      <c r="C12" s="33"/>
      <c r="D12" s="33"/>
      <c r="E12" s="33"/>
      <c r="F12" s="34"/>
      <c r="G12" s="35">
        <f>360/G11</f>
        <v>36</v>
      </c>
      <c r="H12" s="36"/>
      <c r="I12" s="2"/>
      <c r="K12" s="47"/>
      <c r="L12" s="48"/>
      <c r="M12" s="48"/>
      <c r="N12" s="48"/>
      <c r="O12" s="48"/>
      <c r="P12" s="49"/>
      <c r="R12" s="8"/>
      <c r="S12" s="8"/>
      <c r="T12" s="8"/>
      <c r="U12" s="8"/>
      <c r="V12" s="8"/>
      <c r="W12" s="8"/>
      <c r="X12" s="8"/>
      <c r="Y12" s="8"/>
      <c r="AC12" s="63"/>
      <c r="AD12" s="64"/>
      <c r="AE12" s="65"/>
      <c r="AF12" s="64"/>
      <c r="AG12" s="30"/>
    </row>
    <row r="13" spans="1:33" ht="15.75" customHeight="1" x14ac:dyDescent="0.25">
      <c r="A13" s="72" t="s">
        <v>20</v>
      </c>
      <c r="B13" s="72"/>
      <c r="C13" s="72"/>
      <c r="D13" s="72"/>
      <c r="E13" s="72"/>
      <c r="F13" s="72"/>
      <c r="G13" s="71" t="s">
        <v>47</v>
      </c>
      <c r="H13" s="71"/>
      <c r="I13" s="2"/>
      <c r="K13" s="47"/>
      <c r="L13" s="48"/>
      <c r="M13" s="48"/>
      <c r="N13" s="48"/>
      <c r="O13" s="48"/>
      <c r="P13" s="49"/>
      <c r="R13" s="77" t="s">
        <v>25</v>
      </c>
      <c r="S13" s="77"/>
      <c r="T13" s="77" t="s">
        <v>26</v>
      </c>
      <c r="U13" s="77"/>
      <c r="V13" s="77" t="s">
        <v>27</v>
      </c>
      <c r="W13" s="77"/>
      <c r="X13" s="77" t="s">
        <v>28</v>
      </c>
      <c r="Y13" s="77"/>
      <c r="AC13" s="43" t="s">
        <v>48</v>
      </c>
      <c r="AD13" s="37"/>
      <c r="AE13" s="37" t="s">
        <v>49</v>
      </c>
      <c r="AF13" s="37"/>
      <c r="AG13" s="31" t="s">
        <v>48</v>
      </c>
    </row>
    <row r="14" spans="1:33" ht="15.75" customHeight="1" x14ac:dyDescent="0.25">
      <c r="A14" s="32" t="s">
        <v>21</v>
      </c>
      <c r="B14" s="33"/>
      <c r="C14" s="33"/>
      <c r="D14" s="33"/>
      <c r="E14" s="33"/>
      <c r="F14" s="34"/>
      <c r="G14" s="35">
        <v>480</v>
      </c>
      <c r="H14" s="36"/>
      <c r="I14" s="2"/>
      <c r="K14" s="47"/>
      <c r="L14" s="48"/>
      <c r="M14" s="48"/>
      <c r="N14" s="48"/>
      <c r="O14" s="48"/>
      <c r="P14" s="49"/>
      <c r="R14" s="77"/>
      <c r="S14" s="77"/>
      <c r="T14" s="77"/>
      <c r="U14" s="77"/>
      <c r="V14" s="77"/>
      <c r="W14" s="77"/>
      <c r="X14" s="77"/>
      <c r="Y14" s="77"/>
      <c r="AC14" s="43"/>
      <c r="AD14" s="38"/>
      <c r="AE14" s="38"/>
      <c r="AF14" s="38"/>
      <c r="AG14" s="31"/>
    </row>
    <row r="15" spans="1:33" ht="15.75" customHeight="1" x14ac:dyDescent="0.25">
      <c r="A15" s="32" t="s">
        <v>22</v>
      </c>
      <c r="B15" s="33"/>
      <c r="C15" s="33"/>
      <c r="D15" s="33"/>
      <c r="E15" s="33"/>
      <c r="F15" s="34"/>
      <c r="G15" s="35">
        <v>200</v>
      </c>
      <c r="H15" s="36"/>
      <c r="I15" s="2"/>
      <c r="K15" s="47"/>
      <c r="L15" s="48"/>
      <c r="M15" s="48"/>
      <c r="N15" s="48"/>
      <c r="O15" s="48"/>
      <c r="P15" s="49"/>
      <c r="R15" s="77"/>
      <c r="S15" s="77"/>
      <c r="T15" s="77"/>
      <c r="U15" s="77"/>
      <c r="V15" s="77"/>
      <c r="W15" s="77"/>
      <c r="X15" s="77"/>
      <c r="Y15" s="77"/>
      <c r="AC15" s="43"/>
      <c r="AD15" s="39"/>
      <c r="AE15" s="39"/>
      <c r="AF15" s="39"/>
      <c r="AG15" s="31"/>
    </row>
    <row r="16" spans="1:33" ht="15.75" customHeight="1" x14ac:dyDescent="0.25">
      <c r="A16" s="32" t="s">
        <v>23</v>
      </c>
      <c r="B16" s="33"/>
      <c r="C16" s="33"/>
      <c r="D16" s="33"/>
      <c r="E16" s="33"/>
      <c r="F16" s="34"/>
      <c r="G16" s="35">
        <v>50</v>
      </c>
      <c r="H16" s="36"/>
      <c r="I16" s="2"/>
      <c r="K16" s="47"/>
      <c r="L16" s="48"/>
      <c r="M16" s="48"/>
      <c r="N16" s="48"/>
      <c r="O16" s="48"/>
      <c r="P16" s="49"/>
      <c r="R16" s="77"/>
      <c r="S16" s="77"/>
      <c r="T16" s="77"/>
      <c r="U16" s="77"/>
      <c r="V16" s="77"/>
      <c r="W16" s="77"/>
      <c r="X16" s="77"/>
      <c r="Y16" s="77"/>
      <c r="AC16" s="43" t="s">
        <v>48</v>
      </c>
      <c r="AD16" s="40"/>
      <c r="AE16" s="37" t="s">
        <v>48</v>
      </c>
      <c r="AF16" s="37"/>
      <c r="AG16" s="31" t="s">
        <v>48</v>
      </c>
    </row>
    <row r="17" spans="1:33" ht="15.75" customHeight="1" x14ac:dyDescent="0.25">
      <c r="A17" s="53" t="s">
        <v>36</v>
      </c>
      <c r="B17" s="54"/>
      <c r="C17" s="54"/>
      <c r="D17" s="54"/>
      <c r="E17" s="54"/>
      <c r="F17" s="55"/>
      <c r="G17" s="79">
        <v>400</v>
      </c>
      <c r="H17" s="80"/>
      <c r="I17" s="4" t="s">
        <v>18</v>
      </c>
      <c r="K17" s="47"/>
      <c r="L17" s="48"/>
      <c r="M17" s="48"/>
      <c r="N17" s="48"/>
      <c r="O17" s="48"/>
      <c r="P17" s="49"/>
      <c r="R17" s="78">
        <f>MIN('T19-1'!U3:U74)</f>
        <v>-6.0000000000000053E-3</v>
      </c>
      <c r="S17" s="78"/>
      <c r="T17" s="78">
        <f>MIN('T19-1'!V3:V74)</f>
        <v>-6.2300000000000133E-3</v>
      </c>
      <c r="U17" s="78"/>
      <c r="V17" s="78">
        <f>MAX('T19-1'!U3:U74)</f>
        <v>6.3200999999999952E-3</v>
      </c>
      <c r="W17" s="78"/>
      <c r="X17" s="78">
        <f>MAX('T19-1'!V3:V74)</f>
        <v>1.0024929999999987E-2</v>
      </c>
      <c r="Y17" s="78"/>
      <c r="AC17" s="43"/>
      <c r="AD17" s="41"/>
      <c r="AE17" s="38"/>
      <c r="AF17" s="38"/>
      <c r="AG17" s="31"/>
    </row>
    <row r="18" spans="1:33" ht="15.75" customHeight="1" x14ac:dyDescent="0.25">
      <c r="A18" s="53" t="s">
        <v>35</v>
      </c>
      <c r="B18" s="54"/>
      <c r="C18" s="54"/>
      <c r="D18" s="54"/>
      <c r="E18" s="54"/>
      <c r="F18" s="55"/>
      <c r="G18" s="79">
        <f>G14*G15*2</f>
        <v>192000</v>
      </c>
      <c r="H18" s="80"/>
      <c r="I18" s="2"/>
      <c r="K18" s="50"/>
      <c r="L18" s="51"/>
      <c r="M18" s="51"/>
      <c r="N18" s="51"/>
      <c r="O18" s="51"/>
      <c r="P18" s="52"/>
      <c r="R18" s="78"/>
      <c r="S18" s="78"/>
      <c r="T18" s="78"/>
      <c r="U18" s="78"/>
      <c r="V18" s="78"/>
      <c r="W18" s="78"/>
      <c r="X18" s="78"/>
      <c r="Y18" s="78"/>
      <c r="AC18" s="43"/>
      <c r="AD18" s="42"/>
      <c r="AE18" s="39"/>
      <c r="AF18" s="39"/>
      <c r="AG18" s="31"/>
    </row>
    <row r="19" spans="1:33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56" t="s">
        <v>48</v>
      </c>
      <c r="AD19" s="59" t="s">
        <v>48</v>
      </c>
      <c r="AE19" s="59" t="s">
        <v>48</v>
      </c>
      <c r="AF19" s="59" t="s">
        <v>48</v>
      </c>
      <c r="AG19" s="57" t="s">
        <v>48</v>
      </c>
    </row>
    <row r="20" spans="1:33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56"/>
      <c r="AD20" s="60"/>
      <c r="AE20" s="60"/>
      <c r="AF20" s="60"/>
      <c r="AG20" s="57"/>
    </row>
    <row r="21" spans="1:33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56"/>
      <c r="AD21" s="60"/>
      <c r="AE21" s="60"/>
      <c r="AF21" s="60"/>
      <c r="AG21" s="57"/>
    </row>
    <row r="22" spans="1:33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7:AC9"/>
    <mergeCell ref="AD7:AD9"/>
    <mergeCell ref="AE7:AE9"/>
    <mergeCell ref="AF7:AF9"/>
    <mergeCell ref="AG7:AG9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T13:U16"/>
    <mergeCell ref="V13:W16"/>
    <mergeCell ref="X13:Y16"/>
    <mergeCell ref="T17:U18"/>
    <mergeCell ref="V17:W18"/>
    <mergeCell ref="X17:Y18"/>
    <mergeCell ref="R5:Y9"/>
    <mergeCell ref="G8:H8"/>
    <mergeCell ref="A5:F5"/>
    <mergeCell ref="G5:H5"/>
    <mergeCell ref="A6:F6"/>
    <mergeCell ref="G6:H6"/>
    <mergeCell ref="A8:F8"/>
    <mergeCell ref="G4:H4"/>
    <mergeCell ref="A1:B2"/>
    <mergeCell ref="C1:D2"/>
    <mergeCell ref="E1:Y2"/>
    <mergeCell ref="K4:P4"/>
    <mergeCell ref="A4:F4"/>
    <mergeCell ref="R4:Y4"/>
    <mergeCell ref="A10:F10"/>
    <mergeCell ref="G10:H10"/>
    <mergeCell ref="G9:H9"/>
    <mergeCell ref="G11:H11"/>
    <mergeCell ref="G13:H13"/>
    <mergeCell ref="A9:F9"/>
    <mergeCell ref="A11:F11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112"/>
  <sheetViews>
    <sheetView topLeftCell="A21" zoomScale="85" zoomScaleNormal="85" workbookViewId="0">
      <selection activeCell="I65" sqref="I65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57</v>
      </c>
      <c r="B2" t="s">
        <v>53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54</v>
      </c>
      <c r="L2" t="s">
        <v>55</v>
      </c>
      <c r="M2" t="s">
        <v>56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61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59</v>
      </c>
      <c r="C3" s="14">
        <v>0</v>
      </c>
      <c r="D3" s="14">
        <v>6</v>
      </c>
      <c r="E3" s="15">
        <v>-0.46680823999999999</v>
      </c>
      <c r="F3" s="15">
        <v>-0.46369156</v>
      </c>
      <c r="G3" s="15">
        <v>-3.1166700000000002E-3</v>
      </c>
      <c r="H3" s="15">
        <v>0.65703330000000004</v>
      </c>
      <c r="I3" s="15">
        <v>0.66035836000000003</v>
      </c>
      <c r="J3" s="15">
        <v>-3.32505E-3</v>
      </c>
      <c r="K3" s="18">
        <v>22.98</v>
      </c>
      <c r="L3" s="18">
        <v>22.98</v>
      </c>
      <c r="M3" s="18">
        <v>0</v>
      </c>
      <c r="N3" s="15">
        <v>6.0566410000000001E-2</v>
      </c>
      <c r="O3" s="15">
        <v>1.901245E-2</v>
      </c>
      <c r="P3" s="15">
        <v>4.1553960000000001E-2</v>
      </c>
      <c r="Q3" s="15">
        <v>1.9248049999999999E-2</v>
      </c>
      <c r="R3" s="15">
        <v>-6.7883300000000004E-3</v>
      </c>
      <c r="S3" s="15">
        <v>2.6036380000000001E-2</v>
      </c>
      <c r="T3" s="14"/>
      <c r="U3" s="15">
        <f>(F3-E3)/2</f>
        <v>1.5583399999999914E-3</v>
      </c>
      <c r="V3" s="15">
        <f>(H3-I3)/2</f>
        <v>-1.6625299999999954E-3</v>
      </c>
      <c r="W3" s="15"/>
      <c r="X3" s="15"/>
      <c r="Y3" s="16">
        <f t="shared" ref="Y3:Y34" si="0">N3</f>
        <v>6.0566410000000001E-2</v>
      </c>
      <c r="Z3" s="16">
        <f t="shared" ref="Z3:Z34" si="1">Q3</f>
        <v>1.9248049999999999E-2</v>
      </c>
      <c r="AA3" s="16">
        <f t="shared" ref="AA3:AA34" si="2">O3</f>
        <v>1.901245E-2</v>
      </c>
      <c r="AB3" s="16">
        <f t="shared" ref="AB3:AB34" si="3">R3</f>
        <v>-6.7883300000000004E-3</v>
      </c>
      <c r="AC3" s="17">
        <f>IF(Y3="","",DEGREES(ASIN(SQRT(Y3^2+Z3^2))))</f>
        <v>3.6436811350270171</v>
      </c>
      <c r="AD3" s="17">
        <f>IF(AA3="","",DEGREES(ASIN(SQRT(AA3^2+AB3^2))))</f>
        <v>1.1567648366383181</v>
      </c>
      <c r="AE3" s="17">
        <f>IF(Y3="","",MOD(DEGREES(ATAN2(Y3,Z3)),360))</f>
        <v>17.630295206195015</v>
      </c>
      <c r="AF3" s="17">
        <f t="shared" ref="AF3:AF34" si="4">IF(Y3="","",MOD(F3+AE3,360))</f>
        <v>17.166603646195014</v>
      </c>
    </row>
    <row r="4" spans="1:32" x14ac:dyDescent="0.25">
      <c r="A4" s="14">
        <v>2</v>
      </c>
      <c r="B4" s="14" t="s">
        <v>59</v>
      </c>
      <c r="C4" s="14">
        <v>10</v>
      </c>
      <c r="D4" s="14">
        <v>2</v>
      </c>
      <c r="E4" s="15">
        <v>-0.46197504</v>
      </c>
      <c r="F4" s="15">
        <v>-0.4631248</v>
      </c>
      <c r="G4" s="15">
        <v>1.14977E-3</v>
      </c>
      <c r="H4" s="15">
        <v>0.63084996000000004</v>
      </c>
      <c r="I4" s="15">
        <v>0.63170000000000004</v>
      </c>
      <c r="J4" s="15">
        <v>-8.5002000000000005E-4</v>
      </c>
      <c r="K4" s="18">
        <v>23.41</v>
      </c>
      <c r="L4" s="18">
        <v>23.4</v>
      </c>
      <c r="M4" s="18">
        <v>0</v>
      </c>
      <c r="N4" s="15">
        <v>6.2298579999999999E-2</v>
      </c>
      <c r="O4" s="15">
        <v>1.5377200000000001E-2</v>
      </c>
      <c r="P4" s="15">
        <v>4.692139E-2</v>
      </c>
      <c r="Q4" s="15">
        <v>1.42688E-2</v>
      </c>
      <c r="R4" s="15">
        <v>-2.4353000000000001E-3</v>
      </c>
      <c r="S4" s="15">
        <v>1.67041E-2</v>
      </c>
      <c r="T4" s="14"/>
      <c r="U4" s="15">
        <f t="shared" ref="U4:U34" si="5">(F4-E4)/2</f>
        <v>-5.7487999999999984E-4</v>
      </c>
      <c r="V4" s="15">
        <f t="shared" ref="V4:V34" si="6">(H4-I4)/2</f>
        <v>-4.2501999999999818E-4</v>
      </c>
      <c r="W4" s="15"/>
      <c r="X4" s="15"/>
      <c r="Y4" s="16">
        <f t="shared" si="0"/>
        <v>6.2298579999999999E-2</v>
      </c>
      <c r="Z4" s="16">
        <f t="shared" si="1"/>
        <v>1.42688E-2</v>
      </c>
      <c r="AA4" s="16">
        <f t="shared" si="2"/>
        <v>1.5377200000000001E-2</v>
      </c>
      <c r="AB4" s="16">
        <f t="shared" si="3"/>
        <v>-2.4353000000000001E-3</v>
      </c>
      <c r="AC4" s="17">
        <f t="shared" ref="AC4:AC18" si="7">IF(Y4="","",DEGREES(ASIN(SQRT(Y4^2+Z4^2))))</f>
        <v>3.6643710504573312</v>
      </c>
      <c r="AD4" s="17">
        <f t="shared" ref="AD4:AD18" si="8">IF(AA4="","",DEGREES(ASIN(SQRT(AA4^2+AB4^2))))</f>
        <v>0.89206520824955482</v>
      </c>
      <c r="AE4" s="17">
        <f t="shared" ref="AE4:AE18" si="9">IF(Y4="","",MOD(DEGREES(ATAN2(Y4,Z4)),360))</f>
        <v>12.900454799456055</v>
      </c>
      <c r="AF4" s="17">
        <f t="shared" si="4"/>
        <v>12.437329999456056</v>
      </c>
    </row>
    <row r="5" spans="1:32" x14ac:dyDescent="0.25">
      <c r="A5" s="14">
        <v>3</v>
      </c>
      <c r="B5" s="14" t="s">
        <v>59</v>
      </c>
      <c r="C5" s="14">
        <v>20</v>
      </c>
      <c r="D5" s="14">
        <v>8</v>
      </c>
      <c r="E5" s="15">
        <v>-0.46830620000000001</v>
      </c>
      <c r="F5" s="15">
        <v>-0.46589992000000002</v>
      </c>
      <c r="G5" s="15">
        <v>-2.40624E-3</v>
      </c>
      <c r="H5" s="15">
        <v>0.64973751999999996</v>
      </c>
      <c r="I5" s="15">
        <v>0.6499125</v>
      </c>
      <c r="J5" s="15">
        <v>-1.7494E-4</v>
      </c>
      <c r="K5" s="18">
        <v>23.13</v>
      </c>
      <c r="L5" s="18">
        <v>23.14</v>
      </c>
      <c r="M5" s="18">
        <v>-0.01</v>
      </c>
      <c r="N5" s="15">
        <v>6.4248650000000004E-2</v>
      </c>
      <c r="O5" s="15">
        <v>1.545532E-2</v>
      </c>
      <c r="P5" s="15">
        <v>4.8793330000000003E-2</v>
      </c>
      <c r="Q5" s="15">
        <v>1.0803220000000001E-2</v>
      </c>
      <c r="R5" s="15">
        <v>1.35742E-3</v>
      </c>
      <c r="S5" s="15">
        <v>9.4458000000000007E-3</v>
      </c>
      <c r="T5" s="14"/>
      <c r="U5" s="15">
        <f t="shared" si="5"/>
        <v>1.2031399999999914E-3</v>
      </c>
      <c r="V5" s="15">
        <f t="shared" si="6"/>
        <v>-8.7490000000023382E-5</v>
      </c>
      <c r="W5" s="15"/>
      <c r="X5" s="15"/>
      <c r="Y5" s="16">
        <f t="shared" si="0"/>
        <v>6.4248650000000004E-2</v>
      </c>
      <c r="Z5" s="16">
        <f t="shared" si="1"/>
        <v>1.0803220000000001E-2</v>
      </c>
      <c r="AA5" s="16">
        <f t="shared" si="2"/>
        <v>1.545532E-2</v>
      </c>
      <c r="AB5" s="16">
        <f t="shared" si="3"/>
        <v>1.35742E-3</v>
      </c>
      <c r="AC5" s="17">
        <f t="shared" si="7"/>
        <v>3.7354992941173708</v>
      </c>
      <c r="AD5" s="17">
        <f t="shared" si="8"/>
        <v>0.88896912428985264</v>
      </c>
      <c r="AE5" s="17">
        <f t="shared" si="9"/>
        <v>9.5448288003202855</v>
      </c>
      <c r="AF5" s="17">
        <f t="shared" si="4"/>
        <v>9.0789288803202854</v>
      </c>
    </row>
    <row r="6" spans="1:32" x14ac:dyDescent="0.25">
      <c r="A6" s="14">
        <v>4</v>
      </c>
      <c r="B6" s="14" t="s">
        <v>59</v>
      </c>
      <c r="C6" s="14">
        <v>30</v>
      </c>
      <c r="D6" s="14">
        <v>7</v>
      </c>
      <c r="E6" s="15">
        <v>-0.46841416000000002</v>
      </c>
      <c r="F6" s="15">
        <v>-0.46219275999999998</v>
      </c>
      <c r="G6" s="15">
        <v>-6.2213800000000003E-3</v>
      </c>
      <c r="H6" s="15">
        <v>0.66327860000000005</v>
      </c>
      <c r="I6" s="15">
        <v>0.66360724000000004</v>
      </c>
      <c r="J6" s="15">
        <v>-3.2865999999999999E-4</v>
      </c>
      <c r="K6" s="18">
        <v>22.88</v>
      </c>
      <c r="L6" s="18">
        <v>22.86</v>
      </c>
      <c r="M6" s="18">
        <v>0.02</v>
      </c>
      <c r="N6" s="15">
        <v>6.49449E-2</v>
      </c>
      <c r="O6" s="15">
        <v>1.570208E-2</v>
      </c>
      <c r="P6" s="15">
        <v>4.924282E-2</v>
      </c>
      <c r="Q6" s="15">
        <v>6.4191500000000002E-3</v>
      </c>
      <c r="R6" s="15">
        <v>6.0878199999999999E-3</v>
      </c>
      <c r="S6" s="15">
        <v>3.3133000000000001E-4</v>
      </c>
      <c r="T6" s="14"/>
      <c r="U6" s="15">
        <f t="shared" si="5"/>
        <v>3.1107000000000218E-3</v>
      </c>
      <c r="V6" s="15">
        <f t="shared" si="6"/>
        <v>-1.6431999999999558E-4</v>
      </c>
      <c r="W6" s="15"/>
      <c r="X6" s="15"/>
      <c r="Y6" s="16">
        <f t="shared" si="0"/>
        <v>6.49449E-2</v>
      </c>
      <c r="Z6" s="16">
        <f t="shared" si="1"/>
        <v>6.4191500000000002E-3</v>
      </c>
      <c r="AA6" s="16">
        <f t="shared" si="2"/>
        <v>1.570208E-2</v>
      </c>
      <c r="AB6" s="16">
        <f t="shared" si="3"/>
        <v>6.0878199999999999E-3</v>
      </c>
      <c r="AC6" s="17">
        <f t="shared" si="7"/>
        <v>3.7418600124952031</v>
      </c>
      <c r="AD6" s="17">
        <f t="shared" si="8"/>
        <v>0.96495973602857821</v>
      </c>
      <c r="AE6" s="17">
        <f t="shared" si="9"/>
        <v>5.6447771327147462</v>
      </c>
      <c r="AF6" s="17">
        <f t="shared" si="4"/>
        <v>5.1825843727147465</v>
      </c>
    </row>
    <row r="7" spans="1:32" x14ac:dyDescent="0.25">
      <c r="A7" s="14">
        <v>5</v>
      </c>
      <c r="B7" s="14" t="s">
        <v>59</v>
      </c>
      <c r="C7" s="14">
        <v>40</v>
      </c>
      <c r="D7" s="14">
        <v>6</v>
      </c>
      <c r="E7" s="15">
        <v>-0.46866656000000001</v>
      </c>
      <c r="F7" s="15">
        <v>-0.45709988000000001</v>
      </c>
      <c r="G7" s="15">
        <v>-1.1566669999999999E-2</v>
      </c>
      <c r="H7" s="15">
        <v>0.65928332000000001</v>
      </c>
      <c r="I7" s="15">
        <v>0.64709170000000005</v>
      </c>
      <c r="J7" s="15">
        <v>1.219165E-2</v>
      </c>
      <c r="K7" s="18">
        <v>23.08</v>
      </c>
      <c r="L7" s="18">
        <v>23.09</v>
      </c>
      <c r="M7" s="18">
        <v>0</v>
      </c>
      <c r="N7" s="15">
        <v>6.4576830000000002E-2</v>
      </c>
      <c r="O7" s="15">
        <v>1.5739340000000001E-2</v>
      </c>
      <c r="P7" s="15">
        <v>4.8837489999999997E-2</v>
      </c>
      <c r="Q7" s="15">
        <v>1.9006299999999999E-3</v>
      </c>
      <c r="R7" s="15">
        <v>1.002889E-2</v>
      </c>
      <c r="S7" s="15">
        <v>-8.12826E-3</v>
      </c>
      <c r="T7" s="14"/>
      <c r="U7" s="15">
        <f t="shared" si="5"/>
        <v>5.7833399999999979E-3</v>
      </c>
      <c r="V7" s="15">
        <f t="shared" si="6"/>
        <v>6.0958099999999793E-3</v>
      </c>
      <c r="W7" s="15"/>
      <c r="X7" s="15"/>
      <c r="Y7" s="16">
        <f t="shared" si="0"/>
        <v>6.4576830000000002E-2</v>
      </c>
      <c r="Z7" s="16">
        <f t="shared" si="1"/>
        <v>1.9006299999999999E-3</v>
      </c>
      <c r="AA7" s="16">
        <f t="shared" si="2"/>
        <v>1.5739340000000001E-2</v>
      </c>
      <c r="AB7" s="16">
        <f t="shared" si="3"/>
        <v>1.002889E-2</v>
      </c>
      <c r="AC7" s="17">
        <f t="shared" si="7"/>
        <v>3.7041617939300253</v>
      </c>
      <c r="AD7" s="17">
        <f t="shared" si="8"/>
        <v>1.0693699770801088</v>
      </c>
      <c r="AE7" s="17">
        <f t="shared" si="9"/>
        <v>1.6858469135134855</v>
      </c>
      <c r="AF7" s="17">
        <f t="shared" si="4"/>
        <v>1.2287470335134856</v>
      </c>
    </row>
    <row r="8" spans="1:32" x14ac:dyDescent="0.25">
      <c r="A8" s="14">
        <v>6</v>
      </c>
      <c r="B8" s="14" t="s">
        <v>59</v>
      </c>
      <c r="C8" s="14">
        <v>50</v>
      </c>
      <c r="D8" s="14">
        <v>4</v>
      </c>
      <c r="E8" s="15">
        <v>-0.46581235999999998</v>
      </c>
      <c r="F8" s="15">
        <v>-0.45897490000000002</v>
      </c>
      <c r="G8" s="15">
        <v>-6.8374600000000001E-3</v>
      </c>
      <c r="H8" s="15">
        <v>0.64538751999999999</v>
      </c>
      <c r="I8" s="15">
        <v>0.63943744000000002</v>
      </c>
      <c r="J8" s="15">
        <v>5.9500899999999999E-3</v>
      </c>
      <c r="K8" s="18">
        <v>23.18</v>
      </c>
      <c r="L8" s="18">
        <v>23.21</v>
      </c>
      <c r="M8" s="18">
        <v>-0.03</v>
      </c>
      <c r="N8" s="15">
        <v>6.3143309999999994E-2</v>
      </c>
      <c r="O8" s="15">
        <v>1.5966190000000002E-2</v>
      </c>
      <c r="P8" s="15">
        <v>4.7177129999999998E-2</v>
      </c>
      <c r="Q8" s="15">
        <v>-2.1814E-3</v>
      </c>
      <c r="R8" s="15">
        <v>1.400085E-2</v>
      </c>
      <c r="S8" s="15">
        <v>-1.6182249999999999E-2</v>
      </c>
      <c r="T8" s="14"/>
      <c r="U8" s="15">
        <f t="shared" si="5"/>
        <v>3.418729999999981E-3</v>
      </c>
      <c r="V8" s="15">
        <f t="shared" si="6"/>
        <v>2.9750399999999844E-3</v>
      </c>
      <c r="W8" s="15"/>
      <c r="X8" s="15"/>
      <c r="Y8" s="16">
        <f t="shared" si="0"/>
        <v>6.3143309999999994E-2</v>
      </c>
      <c r="Z8" s="16">
        <f t="shared" si="1"/>
        <v>-2.1814E-3</v>
      </c>
      <c r="AA8" s="16">
        <f t="shared" si="2"/>
        <v>1.5966190000000002E-2</v>
      </c>
      <c r="AB8" s="16">
        <f t="shared" si="3"/>
        <v>1.400085E-2</v>
      </c>
      <c r="AC8" s="17">
        <f t="shared" si="7"/>
        <v>3.6224161872045002</v>
      </c>
      <c r="AD8" s="17">
        <f t="shared" si="8"/>
        <v>1.2167913522104048</v>
      </c>
      <c r="AE8" s="17">
        <f t="shared" si="9"/>
        <v>358.02140042160897</v>
      </c>
      <c r="AF8" s="17">
        <f t="shared" si="4"/>
        <v>357.56242552160899</v>
      </c>
    </row>
    <row r="9" spans="1:32" x14ac:dyDescent="0.25">
      <c r="A9" s="14">
        <v>7</v>
      </c>
      <c r="B9" s="14" t="s">
        <v>59</v>
      </c>
      <c r="C9" s="14">
        <v>60</v>
      </c>
      <c r="D9" s="14">
        <v>6</v>
      </c>
      <c r="E9" s="15">
        <v>-0.4643332</v>
      </c>
      <c r="F9" s="15">
        <v>-0.46431647999999998</v>
      </c>
      <c r="G9" s="15">
        <v>-1.6750000000000001E-5</v>
      </c>
      <c r="H9" s="15">
        <v>0.64910836000000005</v>
      </c>
      <c r="I9" s="15">
        <v>0.64426667999999998</v>
      </c>
      <c r="J9" s="15">
        <v>4.8416900000000001E-3</v>
      </c>
      <c r="K9" s="18">
        <v>23.11</v>
      </c>
      <c r="L9" s="18">
        <v>23.12</v>
      </c>
      <c r="M9" s="18">
        <v>-0.01</v>
      </c>
      <c r="N9" s="15">
        <v>6.1720780000000003E-2</v>
      </c>
      <c r="O9" s="15">
        <v>1.8114829999999998E-2</v>
      </c>
      <c r="P9" s="15">
        <v>4.3605949999999997E-2</v>
      </c>
      <c r="Q9" s="15">
        <v>-6.1083999999999999E-3</v>
      </c>
      <c r="R9" s="15">
        <v>1.8492020000000001E-2</v>
      </c>
      <c r="S9" s="15">
        <v>-2.4600420000000001E-2</v>
      </c>
      <c r="T9" s="14"/>
      <c r="U9" s="15">
        <f t="shared" si="5"/>
        <v>8.3600000000128016E-6</v>
      </c>
      <c r="V9" s="15">
        <f t="shared" si="6"/>
        <v>2.4208400000000352E-3</v>
      </c>
      <c r="W9" s="15"/>
      <c r="X9" s="15"/>
      <c r="Y9" s="16">
        <f t="shared" si="0"/>
        <v>6.1720780000000003E-2</v>
      </c>
      <c r="Z9" s="16">
        <f t="shared" si="1"/>
        <v>-6.1083999999999999E-3</v>
      </c>
      <c r="AA9" s="16">
        <f t="shared" si="2"/>
        <v>1.8114829999999998E-2</v>
      </c>
      <c r="AB9" s="16">
        <f t="shared" si="3"/>
        <v>1.8492020000000001E-2</v>
      </c>
      <c r="AC9" s="17">
        <f t="shared" si="7"/>
        <v>3.5558990113364533</v>
      </c>
      <c r="AD9" s="17">
        <f t="shared" si="8"/>
        <v>1.483342918894303</v>
      </c>
      <c r="AE9" s="17">
        <f t="shared" si="9"/>
        <v>354.34794022612169</v>
      </c>
      <c r="AF9" s="17">
        <f t="shared" si="4"/>
        <v>353.88362374612171</v>
      </c>
    </row>
    <row r="10" spans="1:32" x14ac:dyDescent="0.25">
      <c r="A10" s="14">
        <v>8</v>
      </c>
      <c r="B10" s="14" t="s">
        <v>59</v>
      </c>
      <c r="C10" s="14">
        <v>70</v>
      </c>
      <c r="D10" s="14">
        <v>7</v>
      </c>
      <c r="E10" s="15">
        <v>-0.46302843999999999</v>
      </c>
      <c r="F10" s="15">
        <v>-0.46213559999999998</v>
      </c>
      <c r="G10" s="15">
        <v>-8.9285000000000005E-4</v>
      </c>
      <c r="H10" s="15">
        <v>0.65830716</v>
      </c>
      <c r="I10" s="15">
        <v>0.65237856000000005</v>
      </c>
      <c r="J10" s="15">
        <v>5.9285800000000001E-3</v>
      </c>
      <c r="K10" s="18">
        <v>23.01</v>
      </c>
      <c r="L10" s="18">
        <v>22.99</v>
      </c>
      <c r="M10" s="18">
        <v>0.02</v>
      </c>
      <c r="N10" s="15">
        <v>5.9500909999999997E-2</v>
      </c>
      <c r="O10" s="15">
        <v>2.0408760000000001E-2</v>
      </c>
      <c r="P10" s="15">
        <v>3.9092149999999999E-2</v>
      </c>
      <c r="Q10" s="15">
        <v>-9.6463399999999998E-3</v>
      </c>
      <c r="R10" s="15">
        <v>2.185233E-2</v>
      </c>
      <c r="S10" s="15">
        <v>-3.1498669999999999E-2</v>
      </c>
      <c r="T10" s="14"/>
      <c r="U10" s="15">
        <f t="shared" si="5"/>
        <v>4.4642000000000293E-4</v>
      </c>
      <c r="V10" s="15">
        <f t="shared" si="6"/>
        <v>2.9642999999999753E-3</v>
      </c>
      <c r="W10" s="15"/>
      <c r="X10" s="15"/>
      <c r="Y10" s="16">
        <f t="shared" si="0"/>
        <v>5.9500909999999997E-2</v>
      </c>
      <c r="Z10" s="16">
        <f t="shared" si="1"/>
        <v>-9.6463399999999998E-3</v>
      </c>
      <c r="AA10" s="16">
        <f t="shared" si="2"/>
        <v>2.0408760000000001E-2</v>
      </c>
      <c r="AB10" s="16">
        <f t="shared" si="3"/>
        <v>2.185233E-2</v>
      </c>
      <c r="AC10" s="17">
        <f t="shared" si="7"/>
        <v>3.4557569648708628</v>
      </c>
      <c r="AD10" s="17">
        <f t="shared" si="8"/>
        <v>1.7134296638566748</v>
      </c>
      <c r="AE10" s="17">
        <f t="shared" si="9"/>
        <v>350.79127805927737</v>
      </c>
      <c r="AF10" s="17">
        <f t="shared" si="4"/>
        <v>350.32914245927736</v>
      </c>
    </row>
    <row r="11" spans="1:32" x14ac:dyDescent="0.25">
      <c r="A11" s="14">
        <v>9</v>
      </c>
      <c r="B11" s="14" t="s">
        <v>59</v>
      </c>
      <c r="C11" s="14">
        <v>80</v>
      </c>
      <c r="D11" s="14">
        <v>10</v>
      </c>
      <c r="E11" s="15">
        <v>-0.46848990000000001</v>
      </c>
      <c r="F11" s="15">
        <v>-0.46399992000000001</v>
      </c>
      <c r="G11" s="15">
        <v>-4.4899600000000003E-3</v>
      </c>
      <c r="H11" s="15">
        <v>0.64821004000000004</v>
      </c>
      <c r="I11" s="15">
        <v>0.64842</v>
      </c>
      <c r="J11" s="15">
        <v>-2.0992999999999999E-4</v>
      </c>
      <c r="K11" s="18">
        <v>23.15</v>
      </c>
      <c r="L11" s="18">
        <v>23.16</v>
      </c>
      <c r="M11" s="18">
        <v>0</v>
      </c>
      <c r="N11" s="15">
        <v>5.6588140000000002E-2</v>
      </c>
      <c r="O11" s="15">
        <v>2.4008060000000001E-2</v>
      </c>
      <c r="P11" s="15">
        <v>3.2580079999999997E-2</v>
      </c>
      <c r="Q11" s="15">
        <v>-1.292188E-2</v>
      </c>
      <c r="R11" s="15">
        <v>2.5216550000000001E-2</v>
      </c>
      <c r="S11" s="15">
        <v>-3.8138430000000001E-2</v>
      </c>
      <c r="T11" s="14"/>
      <c r="U11" s="15">
        <f t="shared" si="5"/>
        <v>2.2449900000000023E-3</v>
      </c>
      <c r="V11" s="15">
        <f t="shared" si="6"/>
        <v>-1.0497999999997676E-4</v>
      </c>
      <c r="W11" s="15"/>
      <c r="X11" s="15"/>
      <c r="Y11" s="16">
        <f t="shared" si="0"/>
        <v>5.6588140000000002E-2</v>
      </c>
      <c r="Z11" s="16">
        <f t="shared" si="1"/>
        <v>-1.292188E-2</v>
      </c>
      <c r="AA11" s="16">
        <f t="shared" si="2"/>
        <v>2.4008060000000001E-2</v>
      </c>
      <c r="AB11" s="16">
        <f t="shared" si="3"/>
        <v>2.5216550000000001E-2</v>
      </c>
      <c r="AC11" s="17">
        <f t="shared" si="7"/>
        <v>3.3275893201127422</v>
      </c>
      <c r="AD11" s="17">
        <f t="shared" si="8"/>
        <v>1.9953015748162795</v>
      </c>
      <c r="AE11" s="17">
        <f t="shared" si="9"/>
        <v>347.13707697462405</v>
      </c>
      <c r="AF11" s="17">
        <f t="shared" si="4"/>
        <v>346.67307705462406</v>
      </c>
    </row>
    <row r="12" spans="1:32" x14ac:dyDescent="0.25">
      <c r="A12" s="14">
        <v>10</v>
      </c>
      <c r="B12" s="14" t="s">
        <v>59</v>
      </c>
      <c r="C12" s="14">
        <v>90</v>
      </c>
      <c r="D12" s="14">
        <v>8</v>
      </c>
      <c r="E12" s="15">
        <v>-0.46772496000000002</v>
      </c>
      <c r="F12" s="15">
        <v>-0.46601236000000001</v>
      </c>
      <c r="G12" s="15">
        <v>-1.7125899999999999E-3</v>
      </c>
      <c r="H12" s="15">
        <v>0.66391876000000005</v>
      </c>
      <c r="I12" s="15">
        <v>0.66115009999999996</v>
      </c>
      <c r="J12" s="15">
        <v>2.7686400000000002E-3</v>
      </c>
      <c r="K12" s="18">
        <v>22.91</v>
      </c>
      <c r="L12" s="18">
        <v>22.88</v>
      </c>
      <c r="M12" s="18">
        <v>0.03</v>
      </c>
      <c r="N12" s="15">
        <v>5.3266899999999999E-2</v>
      </c>
      <c r="O12" s="15">
        <v>2.7830810000000001E-2</v>
      </c>
      <c r="P12" s="15">
        <v>2.5436090000000001E-2</v>
      </c>
      <c r="Q12" s="15">
        <v>-1.5170289999999999E-2</v>
      </c>
      <c r="R12" s="15">
        <v>2.7954409999999999E-2</v>
      </c>
      <c r="S12" s="15">
        <v>-4.312469E-2</v>
      </c>
      <c r="T12" s="14"/>
      <c r="U12" s="15">
        <f t="shared" si="5"/>
        <v>8.5630000000000428E-4</v>
      </c>
      <c r="V12" s="15">
        <f t="shared" si="6"/>
        <v>1.3843300000000447E-3</v>
      </c>
      <c r="W12" s="15"/>
      <c r="X12" s="15"/>
      <c r="Y12" s="16">
        <f t="shared" si="0"/>
        <v>5.3266899999999999E-2</v>
      </c>
      <c r="Z12" s="16">
        <f t="shared" si="1"/>
        <v>-1.5170289999999999E-2</v>
      </c>
      <c r="AA12" s="16">
        <f t="shared" si="2"/>
        <v>2.7830810000000001E-2</v>
      </c>
      <c r="AB12" s="16">
        <f t="shared" si="3"/>
        <v>2.7954409999999999E-2</v>
      </c>
      <c r="AC12" s="17">
        <f t="shared" si="7"/>
        <v>3.1749524469674615</v>
      </c>
      <c r="AD12" s="17">
        <f t="shared" si="8"/>
        <v>2.2606875484101692</v>
      </c>
      <c r="AE12" s="17">
        <f t="shared" si="9"/>
        <v>344.10316943294208</v>
      </c>
      <c r="AF12" s="17">
        <f t="shared" si="4"/>
        <v>343.6371570729421</v>
      </c>
    </row>
    <row r="13" spans="1:32" x14ac:dyDescent="0.25">
      <c r="A13" s="14">
        <v>11</v>
      </c>
      <c r="B13" s="14" t="s">
        <v>59</v>
      </c>
      <c r="C13" s="14">
        <v>100</v>
      </c>
      <c r="D13" s="14">
        <v>2</v>
      </c>
      <c r="E13" s="15">
        <v>-0.46227489999999999</v>
      </c>
      <c r="F13" s="15">
        <v>-0.46664983999999998</v>
      </c>
      <c r="G13" s="15">
        <v>4.37492E-3</v>
      </c>
      <c r="H13" s="15">
        <v>0.66150016</v>
      </c>
      <c r="I13" s="15">
        <v>0.65750010000000003</v>
      </c>
      <c r="J13" s="15">
        <v>4.0000699999999997E-3</v>
      </c>
      <c r="K13" s="18">
        <v>22.95</v>
      </c>
      <c r="L13" s="18">
        <v>22.91</v>
      </c>
      <c r="M13" s="18">
        <v>0.04</v>
      </c>
      <c r="N13" s="15">
        <v>4.8657230000000003E-2</v>
      </c>
      <c r="O13" s="15">
        <v>3.2644039999999999E-2</v>
      </c>
      <c r="P13" s="15">
        <v>1.6013179999999998E-2</v>
      </c>
      <c r="Q13" s="15">
        <v>-1.7210690000000001E-2</v>
      </c>
      <c r="R13" s="15">
        <v>2.9754639999999999E-2</v>
      </c>
      <c r="S13" s="15">
        <v>-4.696533E-2</v>
      </c>
      <c r="T13" s="14"/>
      <c r="U13" s="15">
        <f t="shared" si="5"/>
        <v>-2.1874699999999969E-3</v>
      </c>
      <c r="V13" s="15">
        <f t="shared" si="6"/>
        <v>2.000029999999986E-3</v>
      </c>
      <c r="W13" s="15"/>
      <c r="X13" s="15"/>
      <c r="Y13" s="16">
        <f t="shared" si="0"/>
        <v>4.8657230000000003E-2</v>
      </c>
      <c r="Z13" s="16">
        <f t="shared" si="1"/>
        <v>-1.7210690000000001E-2</v>
      </c>
      <c r="AA13" s="16">
        <f t="shared" si="2"/>
        <v>3.2644039999999999E-2</v>
      </c>
      <c r="AB13" s="16">
        <f t="shared" si="3"/>
        <v>2.9754639999999999E-2</v>
      </c>
      <c r="AC13" s="17">
        <f t="shared" si="7"/>
        <v>2.9584282838703588</v>
      </c>
      <c r="AD13" s="17">
        <f t="shared" si="8"/>
        <v>2.531567211900867</v>
      </c>
      <c r="AE13" s="17">
        <f t="shared" si="9"/>
        <v>340.5206559513735</v>
      </c>
      <c r="AF13" s="17">
        <f t="shared" si="4"/>
        <v>340.0540061113735</v>
      </c>
    </row>
    <row r="14" spans="1:32" x14ac:dyDescent="0.25">
      <c r="A14" s="14">
        <v>12</v>
      </c>
      <c r="B14" s="14" t="s">
        <v>59</v>
      </c>
      <c r="C14" s="14">
        <v>110</v>
      </c>
      <c r="D14" s="14">
        <v>10</v>
      </c>
      <c r="E14" s="15">
        <v>-0.46402495999999999</v>
      </c>
      <c r="F14" s="15">
        <v>-0.46911496000000003</v>
      </c>
      <c r="G14" s="15">
        <v>5.0899999999999999E-3</v>
      </c>
      <c r="H14" s="15">
        <v>0.65649000000000002</v>
      </c>
      <c r="I14" s="15">
        <v>0.65777003999999994</v>
      </c>
      <c r="J14" s="15">
        <v>-1.28001E-3</v>
      </c>
      <c r="K14" s="18">
        <v>22.98</v>
      </c>
      <c r="L14" s="18">
        <v>22.98</v>
      </c>
      <c r="M14" s="18">
        <v>0</v>
      </c>
      <c r="N14" s="15">
        <v>4.4552000000000001E-2</v>
      </c>
      <c r="O14" s="15">
        <v>3.5776849999999999E-2</v>
      </c>
      <c r="P14" s="15">
        <v>8.7751500000000007E-3</v>
      </c>
      <c r="Q14" s="15">
        <v>-1.821948E-2</v>
      </c>
      <c r="R14" s="15">
        <v>3.0888180000000001E-2</v>
      </c>
      <c r="S14" s="15">
        <v>-4.9107659999999997E-2</v>
      </c>
      <c r="T14" s="14"/>
      <c r="U14" s="15">
        <f t="shared" si="5"/>
        <v>-2.5450000000000195E-3</v>
      </c>
      <c r="V14" s="15">
        <f t="shared" si="6"/>
        <v>-6.400199999999634E-4</v>
      </c>
      <c r="W14" s="15"/>
      <c r="X14" s="15"/>
      <c r="Y14" s="16">
        <f t="shared" si="0"/>
        <v>4.4552000000000001E-2</v>
      </c>
      <c r="Z14" s="16">
        <f t="shared" si="1"/>
        <v>-1.821948E-2</v>
      </c>
      <c r="AA14" s="16">
        <f t="shared" si="2"/>
        <v>3.5776849999999999E-2</v>
      </c>
      <c r="AB14" s="16">
        <f t="shared" si="3"/>
        <v>3.0888180000000001E-2</v>
      </c>
      <c r="AC14" s="17">
        <f t="shared" si="7"/>
        <v>2.7589102420363925</v>
      </c>
      <c r="AD14" s="17">
        <f t="shared" si="8"/>
        <v>2.709144355144061</v>
      </c>
      <c r="AE14" s="17">
        <f t="shared" si="9"/>
        <v>337.75795928881092</v>
      </c>
      <c r="AF14" s="17">
        <f t="shared" si="4"/>
        <v>337.28884432881091</v>
      </c>
    </row>
    <row r="15" spans="1:32" x14ac:dyDescent="0.25">
      <c r="A15" s="14">
        <v>13</v>
      </c>
      <c r="B15" s="14" t="s">
        <v>59</v>
      </c>
      <c r="C15" s="14">
        <v>120</v>
      </c>
      <c r="D15" s="14">
        <v>10</v>
      </c>
      <c r="E15" s="15">
        <v>-0.4641749</v>
      </c>
      <c r="F15" s="15">
        <v>-0.46743491999999998</v>
      </c>
      <c r="G15" s="15">
        <v>3.26005E-3</v>
      </c>
      <c r="H15" s="15">
        <v>0.65707000000000004</v>
      </c>
      <c r="I15" s="15">
        <v>0.65464509999999998</v>
      </c>
      <c r="J15" s="15">
        <v>2.4248999999999998E-3</v>
      </c>
      <c r="K15" s="18">
        <v>23.01</v>
      </c>
      <c r="L15" s="18">
        <v>23.03</v>
      </c>
      <c r="M15" s="18">
        <v>-0.01</v>
      </c>
      <c r="N15" s="15">
        <v>4.0391839999999998E-2</v>
      </c>
      <c r="O15" s="15">
        <v>4.0034420000000001E-2</v>
      </c>
      <c r="P15" s="15">
        <v>3.5742E-4</v>
      </c>
      <c r="Q15" s="15">
        <v>-1.870337E-2</v>
      </c>
      <c r="R15" s="15">
        <v>3.1226810000000001E-2</v>
      </c>
      <c r="S15" s="15">
        <v>-4.9930179999999998E-2</v>
      </c>
      <c r="T15" s="14"/>
      <c r="U15" s="15">
        <f t="shared" si="5"/>
        <v>-1.6300099999999873E-3</v>
      </c>
      <c r="V15" s="15">
        <f t="shared" si="6"/>
        <v>1.2124500000000316E-3</v>
      </c>
      <c r="W15" s="15"/>
      <c r="X15" s="15"/>
      <c r="Y15" s="16">
        <f t="shared" si="0"/>
        <v>4.0391839999999998E-2</v>
      </c>
      <c r="Z15" s="16">
        <f t="shared" si="1"/>
        <v>-1.870337E-2</v>
      </c>
      <c r="AA15" s="16">
        <f t="shared" si="2"/>
        <v>4.0034420000000001E-2</v>
      </c>
      <c r="AB15" s="16">
        <f t="shared" si="3"/>
        <v>3.1226810000000001E-2</v>
      </c>
      <c r="AC15" s="17">
        <f t="shared" si="7"/>
        <v>2.5511917915290088</v>
      </c>
      <c r="AD15" s="17">
        <f t="shared" si="8"/>
        <v>2.9103135197854924</v>
      </c>
      <c r="AE15" s="17">
        <f t="shared" si="9"/>
        <v>335.15358790454451</v>
      </c>
      <c r="AF15" s="17">
        <f t="shared" si="4"/>
        <v>334.68615298454449</v>
      </c>
    </row>
    <row r="16" spans="1:32" x14ac:dyDescent="0.25">
      <c r="A16" s="14">
        <v>14</v>
      </c>
      <c r="B16" s="14" t="s">
        <v>59</v>
      </c>
      <c r="C16" s="14">
        <v>130</v>
      </c>
      <c r="D16" s="14">
        <v>7</v>
      </c>
      <c r="E16" s="15">
        <v>-0.46677849999999999</v>
      </c>
      <c r="F16" s="15">
        <v>-0.47028567999999998</v>
      </c>
      <c r="G16" s="15">
        <v>3.5071999999999998E-3</v>
      </c>
      <c r="H16" s="15">
        <v>0.65953569999999995</v>
      </c>
      <c r="I16" s="15">
        <v>0.65451420000000005</v>
      </c>
      <c r="J16" s="15">
        <v>5.0215099999999999E-3</v>
      </c>
      <c r="K16" s="18">
        <v>23</v>
      </c>
      <c r="L16" s="18">
        <v>22.98</v>
      </c>
      <c r="M16" s="18">
        <v>0.02</v>
      </c>
      <c r="N16" s="15">
        <v>3.5758230000000002E-2</v>
      </c>
      <c r="O16" s="15">
        <v>4.4466730000000003E-2</v>
      </c>
      <c r="P16" s="15">
        <v>-8.7084999999999992E-3</v>
      </c>
      <c r="Q16" s="15">
        <v>-1.8187430000000001E-2</v>
      </c>
      <c r="R16" s="15">
        <v>3.087577E-2</v>
      </c>
      <c r="S16" s="15">
        <v>-4.9063200000000001E-2</v>
      </c>
      <c r="T16" s="14"/>
      <c r="U16" s="15">
        <f t="shared" si="5"/>
        <v>-1.7535899999999993E-3</v>
      </c>
      <c r="V16" s="15">
        <f t="shared" si="6"/>
        <v>2.5107499999999505E-3</v>
      </c>
      <c r="W16" s="15"/>
      <c r="X16" s="15"/>
      <c r="Y16" s="16">
        <f t="shared" si="0"/>
        <v>3.5758230000000002E-2</v>
      </c>
      <c r="Z16" s="16">
        <f t="shared" si="1"/>
        <v>-1.8187430000000001E-2</v>
      </c>
      <c r="AA16" s="16">
        <f t="shared" si="2"/>
        <v>4.4466730000000003E-2</v>
      </c>
      <c r="AB16" s="16">
        <f t="shared" si="3"/>
        <v>3.087577E-2</v>
      </c>
      <c r="AC16" s="17">
        <f t="shared" si="7"/>
        <v>2.2991946005011354</v>
      </c>
      <c r="AD16" s="17">
        <f t="shared" si="8"/>
        <v>3.1032266646136426</v>
      </c>
      <c r="AE16" s="17">
        <f t="shared" si="9"/>
        <v>333.04110035043311</v>
      </c>
      <c r="AF16" s="17">
        <f t="shared" si="4"/>
        <v>332.57081467043309</v>
      </c>
    </row>
    <row r="17" spans="1:32" x14ac:dyDescent="0.25">
      <c r="A17" s="14">
        <v>15</v>
      </c>
      <c r="B17" s="14" t="s">
        <v>59</v>
      </c>
      <c r="C17" s="14">
        <v>140</v>
      </c>
      <c r="D17" s="14">
        <v>7</v>
      </c>
      <c r="E17" s="15">
        <v>-0.46220699999999998</v>
      </c>
      <c r="F17" s="15">
        <v>-0.46839989999999998</v>
      </c>
      <c r="G17" s="15">
        <v>6.1929200000000002E-3</v>
      </c>
      <c r="H17" s="15">
        <v>0.64796419999999999</v>
      </c>
      <c r="I17" s="15">
        <v>0.65176420000000002</v>
      </c>
      <c r="J17" s="15">
        <v>-3.8000299999999998E-3</v>
      </c>
      <c r="K17" s="18">
        <v>23.11</v>
      </c>
      <c r="L17" s="18">
        <v>23.12</v>
      </c>
      <c r="M17" s="18">
        <v>-0.01</v>
      </c>
      <c r="N17" s="15">
        <v>3.1879530000000003E-2</v>
      </c>
      <c r="O17" s="15">
        <v>4.8718959999999999E-2</v>
      </c>
      <c r="P17" s="15">
        <v>-1.6839429999999999E-2</v>
      </c>
      <c r="Q17" s="15">
        <v>-1.7371999999999999E-2</v>
      </c>
      <c r="R17" s="15">
        <v>2.9709820000000001E-2</v>
      </c>
      <c r="S17" s="15">
        <v>-4.7081820000000003E-2</v>
      </c>
      <c r="T17" s="14"/>
      <c r="U17" s="15">
        <f t="shared" si="5"/>
        <v>-3.0964500000000006E-3</v>
      </c>
      <c r="V17" s="15">
        <f t="shared" si="6"/>
        <v>-1.9000000000000128E-3</v>
      </c>
      <c r="W17" s="15"/>
      <c r="X17" s="15"/>
      <c r="Y17" s="16">
        <f t="shared" si="0"/>
        <v>3.1879530000000003E-2</v>
      </c>
      <c r="Z17" s="16">
        <f t="shared" si="1"/>
        <v>-1.7371999999999999E-2</v>
      </c>
      <c r="AA17" s="16">
        <f t="shared" si="2"/>
        <v>4.8718959999999999E-2</v>
      </c>
      <c r="AB17" s="16">
        <f t="shared" si="3"/>
        <v>2.9709820000000001E-2</v>
      </c>
      <c r="AC17" s="17">
        <f t="shared" si="7"/>
        <v>2.0806103393347013</v>
      </c>
      <c r="AD17" s="17">
        <f t="shared" si="8"/>
        <v>3.2712583240008071</v>
      </c>
      <c r="AE17" s="17">
        <f t="shared" si="9"/>
        <v>331.41286386132538</v>
      </c>
      <c r="AF17" s="17">
        <f t="shared" si="4"/>
        <v>330.94446396132537</v>
      </c>
    </row>
    <row r="18" spans="1:32" x14ac:dyDescent="0.25">
      <c r="A18" s="14">
        <v>16</v>
      </c>
      <c r="B18" s="14" t="s">
        <v>59</v>
      </c>
      <c r="C18" s="14">
        <v>150</v>
      </c>
      <c r="D18" s="14">
        <v>10</v>
      </c>
      <c r="E18" s="15">
        <v>-0.46180991999999998</v>
      </c>
      <c r="F18" s="15">
        <v>-0.46838992000000002</v>
      </c>
      <c r="G18" s="15">
        <v>6.5799999999999999E-3</v>
      </c>
      <c r="H18" s="15">
        <v>0.64129499999999995</v>
      </c>
      <c r="I18" s="15">
        <v>0.64141499999999996</v>
      </c>
      <c r="J18" s="15">
        <v>-1.1998E-4</v>
      </c>
      <c r="K18" s="18">
        <v>23.23</v>
      </c>
      <c r="L18" s="18">
        <v>23.25</v>
      </c>
      <c r="M18" s="18">
        <v>-0.01</v>
      </c>
      <c r="N18" s="15">
        <v>2.7556879999999999E-2</v>
      </c>
      <c r="O18" s="15">
        <v>5.2703369999999999E-2</v>
      </c>
      <c r="P18" s="15">
        <v>-2.5146479999999999E-2</v>
      </c>
      <c r="Q18" s="15">
        <v>-1.5468259999999999E-2</v>
      </c>
      <c r="R18" s="15">
        <v>2.764136E-2</v>
      </c>
      <c r="S18" s="15">
        <v>-4.3109620000000001E-2</v>
      </c>
      <c r="T18" s="14"/>
      <c r="U18" s="15">
        <f t="shared" si="5"/>
        <v>-3.2900000000000151E-3</v>
      </c>
      <c r="V18" s="15">
        <f t="shared" si="6"/>
        <v>-6.0000000000004494E-5</v>
      </c>
      <c r="W18" s="15"/>
      <c r="X18" s="15"/>
      <c r="Y18" s="16">
        <f t="shared" si="0"/>
        <v>2.7556879999999999E-2</v>
      </c>
      <c r="Z18" s="16">
        <f t="shared" si="1"/>
        <v>-1.5468259999999999E-2</v>
      </c>
      <c r="AA18" s="16">
        <f t="shared" si="2"/>
        <v>5.2703369999999999E-2</v>
      </c>
      <c r="AB18" s="16">
        <f t="shared" si="3"/>
        <v>2.764136E-2</v>
      </c>
      <c r="AC18" s="17">
        <f t="shared" si="7"/>
        <v>1.8109285457730053</v>
      </c>
      <c r="AD18" s="17">
        <f t="shared" si="8"/>
        <v>3.4118080861518281</v>
      </c>
      <c r="AE18" s="17">
        <f t="shared" si="9"/>
        <v>330.6935803527744</v>
      </c>
      <c r="AF18" s="17">
        <f t="shared" si="4"/>
        <v>330.22519043277441</v>
      </c>
    </row>
    <row r="19" spans="1:32" x14ac:dyDescent="0.25">
      <c r="A19" s="14">
        <v>17</v>
      </c>
      <c r="B19" s="14" t="s">
        <v>59</v>
      </c>
      <c r="C19" s="14">
        <v>160</v>
      </c>
      <c r="D19" s="14">
        <v>4</v>
      </c>
      <c r="E19" s="15">
        <v>-0.45913739999999997</v>
      </c>
      <c r="F19" s="15">
        <v>-0.47113739999999998</v>
      </c>
      <c r="G19" s="15">
        <v>1.200002E-2</v>
      </c>
      <c r="H19" s="15">
        <v>0.66907490000000003</v>
      </c>
      <c r="I19" s="15">
        <v>0.67093740000000002</v>
      </c>
      <c r="J19" s="15">
        <v>-1.86253E-3</v>
      </c>
      <c r="K19" s="18">
        <v>22.81</v>
      </c>
      <c r="L19" s="18">
        <v>22.79</v>
      </c>
      <c r="M19" s="18">
        <v>0.02</v>
      </c>
      <c r="N19" s="15">
        <v>2.4736330000000001E-2</v>
      </c>
      <c r="O19" s="15">
        <v>5.684082E-2</v>
      </c>
      <c r="P19" s="15">
        <v>-3.2104489999999999E-2</v>
      </c>
      <c r="Q19" s="15">
        <v>-1.246094E-2</v>
      </c>
      <c r="R19" s="15">
        <v>2.5778809999999999E-2</v>
      </c>
      <c r="S19" s="15">
        <v>-3.8239750000000003E-2</v>
      </c>
      <c r="T19" s="14"/>
      <c r="U19" s="15">
        <f t="shared" si="5"/>
        <v>-6.0000000000000053E-3</v>
      </c>
      <c r="V19" s="15">
        <f t="shared" si="6"/>
        <v>-9.3124999999999458E-4</v>
      </c>
      <c r="W19" s="15"/>
      <c r="X19" s="15"/>
      <c r="Y19" s="16">
        <f t="shared" si="0"/>
        <v>2.4736330000000001E-2</v>
      </c>
      <c r="Z19" s="16">
        <f t="shared" si="1"/>
        <v>-1.246094E-2</v>
      </c>
      <c r="AA19" s="16">
        <f t="shared" si="2"/>
        <v>5.684082E-2</v>
      </c>
      <c r="AB19" s="16">
        <f t="shared" si="3"/>
        <v>2.5778809999999999E-2</v>
      </c>
      <c r="AC19" s="17">
        <f t="shared" ref="AC19:AC34" si="10">IF(Y19="","",DEGREES(ASIN(SQRT(Y19^2+Z19^2))))</f>
        <v>1.5871627007558222</v>
      </c>
      <c r="AD19" s="17">
        <f t="shared" ref="AD19:AD34" si="11">IF(AA19="","",DEGREES(ASIN(SQRT(AA19^2+AB19^2))))</f>
        <v>3.578347125923413</v>
      </c>
      <c r="AE19" s="17">
        <f t="shared" ref="AE19:AE34" si="12">IF(Y19="","",MOD(DEGREES(ATAN2(Y19,Z19)),360))</f>
        <v>333.26329401711109</v>
      </c>
      <c r="AF19" s="17">
        <f t="shared" si="4"/>
        <v>332.79215661711112</v>
      </c>
    </row>
    <row r="20" spans="1:32" x14ac:dyDescent="0.25">
      <c r="A20" s="14">
        <v>18</v>
      </c>
      <c r="B20" s="14" t="s">
        <v>59</v>
      </c>
      <c r="C20" s="14">
        <v>170</v>
      </c>
      <c r="D20" s="14">
        <v>7</v>
      </c>
      <c r="E20" s="15">
        <v>-0.46069272</v>
      </c>
      <c r="F20" s="15">
        <v>-0.46829991999999998</v>
      </c>
      <c r="G20" s="15">
        <v>7.6071899999999998E-3</v>
      </c>
      <c r="H20" s="15">
        <v>0.67133575999999995</v>
      </c>
      <c r="I20" s="15">
        <v>0.66652149999999999</v>
      </c>
      <c r="J20" s="15">
        <v>4.8142699999999998E-3</v>
      </c>
      <c r="K20" s="18">
        <v>22.79</v>
      </c>
      <c r="L20" s="18">
        <v>22.78</v>
      </c>
      <c r="M20" s="18">
        <v>0.01</v>
      </c>
      <c r="N20" s="15">
        <v>2.1550639999999999E-2</v>
      </c>
      <c r="O20" s="15">
        <v>6.0081959999999997E-2</v>
      </c>
      <c r="P20" s="15">
        <v>-3.8531320000000001E-2</v>
      </c>
      <c r="Q20" s="15">
        <v>-9.5664800000000005E-3</v>
      </c>
      <c r="R20" s="15">
        <v>2.263393E-2</v>
      </c>
      <c r="S20" s="15">
        <v>-3.2200399999999997E-2</v>
      </c>
      <c r="T20" s="14"/>
      <c r="U20" s="15">
        <f t="shared" si="5"/>
        <v>-3.8035999999999903E-3</v>
      </c>
      <c r="V20" s="15">
        <f t="shared" si="6"/>
        <v>2.4071299999999796E-3</v>
      </c>
      <c r="W20" s="15"/>
      <c r="X20" s="15"/>
      <c r="Y20" s="16">
        <f t="shared" si="0"/>
        <v>2.1550639999999999E-2</v>
      </c>
      <c r="Z20" s="16">
        <f t="shared" si="1"/>
        <v>-9.5664800000000005E-3</v>
      </c>
      <c r="AA20" s="16">
        <f t="shared" si="2"/>
        <v>6.0081959999999997E-2</v>
      </c>
      <c r="AB20" s="16">
        <f t="shared" si="3"/>
        <v>2.263393E-2</v>
      </c>
      <c r="AC20" s="17">
        <f t="shared" si="10"/>
        <v>1.3510761284266697</v>
      </c>
      <c r="AD20" s="17">
        <f t="shared" si="11"/>
        <v>3.6811426709170725</v>
      </c>
      <c r="AE20" s="17">
        <f t="shared" si="12"/>
        <v>336.06323003518565</v>
      </c>
      <c r="AF20" s="17">
        <f t="shared" si="4"/>
        <v>335.59493011518566</v>
      </c>
    </row>
    <row r="21" spans="1:32" x14ac:dyDescent="0.25">
      <c r="A21" s="14">
        <v>19</v>
      </c>
      <c r="B21" s="14" t="s">
        <v>59</v>
      </c>
      <c r="C21" s="14">
        <v>180</v>
      </c>
      <c r="D21" s="14">
        <v>8</v>
      </c>
      <c r="E21" s="15">
        <v>-0.46126240000000002</v>
      </c>
      <c r="F21" s="15">
        <v>-0.46869988000000001</v>
      </c>
      <c r="G21" s="15">
        <v>7.4374699999999998E-3</v>
      </c>
      <c r="H21" s="15">
        <v>0.65503124000000001</v>
      </c>
      <c r="I21" s="15">
        <v>0.65623116000000004</v>
      </c>
      <c r="J21" s="15">
        <v>-1.1999000000000001E-3</v>
      </c>
      <c r="K21" s="18">
        <v>23.02</v>
      </c>
      <c r="L21" s="18">
        <v>23.01</v>
      </c>
      <c r="M21" s="18">
        <v>0.01</v>
      </c>
      <c r="N21" s="15">
        <v>1.876129E-2</v>
      </c>
      <c r="O21" s="15">
        <v>6.1795959999999997E-2</v>
      </c>
      <c r="P21" s="15">
        <v>-4.3034669999999997E-2</v>
      </c>
      <c r="Q21" s="15">
        <v>-6.2115499999999997E-3</v>
      </c>
      <c r="R21" s="15">
        <v>1.8934329999999999E-2</v>
      </c>
      <c r="S21" s="15">
        <v>-2.5145879999999999E-2</v>
      </c>
      <c r="T21" s="14"/>
      <c r="U21" s="15">
        <f t="shared" si="5"/>
        <v>-3.7187399999999982E-3</v>
      </c>
      <c r="V21" s="15">
        <f t="shared" si="6"/>
        <v>-5.9996000000001048E-4</v>
      </c>
      <c r="W21" s="15"/>
      <c r="X21" s="15"/>
      <c r="Y21" s="16">
        <f t="shared" si="0"/>
        <v>1.876129E-2</v>
      </c>
      <c r="Z21" s="16">
        <f t="shared" si="1"/>
        <v>-6.2115499999999997E-3</v>
      </c>
      <c r="AA21" s="16">
        <f t="shared" si="2"/>
        <v>6.1795959999999997E-2</v>
      </c>
      <c r="AB21" s="16">
        <f t="shared" si="3"/>
        <v>1.8934329999999999E-2</v>
      </c>
      <c r="AC21" s="17">
        <f t="shared" si="10"/>
        <v>1.1324003359843164</v>
      </c>
      <c r="AD21" s="17">
        <f t="shared" si="11"/>
        <v>3.7057034782405394</v>
      </c>
      <c r="AE21" s="17">
        <f t="shared" si="12"/>
        <v>341.68115452650738</v>
      </c>
      <c r="AF21" s="17">
        <f t="shared" si="4"/>
        <v>341.21245464650741</v>
      </c>
    </row>
    <row r="22" spans="1:32" x14ac:dyDescent="0.25">
      <c r="A22" s="14">
        <v>20</v>
      </c>
      <c r="B22" s="14" t="s">
        <v>59</v>
      </c>
      <c r="C22" s="14">
        <v>190</v>
      </c>
      <c r="D22" s="14">
        <v>8</v>
      </c>
      <c r="E22" s="15">
        <v>-0.467225</v>
      </c>
      <c r="F22" s="15">
        <v>-0.46896868000000003</v>
      </c>
      <c r="G22" s="15">
        <v>1.7436699999999999E-3</v>
      </c>
      <c r="H22" s="15">
        <v>0.66503124000000002</v>
      </c>
      <c r="I22" s="15">
        <v>0.66698749999999996</v>
      </c>
      <c r="J22" s="15">
        <v>-1.9562199999999998E-3</v>
      </c>
      <c r="K22" s="18">
        <v>22.86</v>
      </c>
      <c r="L22" s="18">
        <v>22.86</v>
      </c>
      <c r="M22" s="18">
        <v>-0.01</v>
      </c>
      <c r="N22" s="15">
        <v>1.71106E-2</v>
      </c>
      <c r="O22" s="15">
        <v>6.4678349999999996E-2</v>
      </c>
      <c r="P22" s="15">
        <v>-4.7567760000000001E-2</v>
      </c>
      <c r="Q22" s="15">
        <v>-2.3165899999999999E-3</v>
      </c>
      <c r="R22" s="15">
        <v>1.5150759999999999E-2</v>
      </c>
      <c r="S22" s="15">
        <v>-1.746735E-2</v>
      </c>
      <c r="T22" s="14"/>
      <c r="U22" s="15">
        <f t="shared" si="5"/>
        <v>-8.718400000000126E-4</v>
      </c>
      <c r="V22" s="15">
        <f t="shared" si="6"/>
        <v>-9.7812999999996597E-4</v>
      </c>
      <c r="W22" s="15"/>
      <c r="X22" s="15"/>
      <c r="Y22" s="16">
        <f t="shared" si="0"/>
        <v>1.71106E-2</v>
      </c>
      <c r="Z22" s="16">
        <f t="shared" si="1"/>
        <v>-2.3165899999999999E-3</v>
      </c>
      <c r="AA22" s="16">
        <f t="shared" si="2"/>
        <v>6.4678349999999996E-2</v>
      </c>
      <c r="AB22" s="16">
        <f t="shared" si="3"/>
        <v>1.5150759999999999E-2</v>
      </c>
      <c r="AC22" s="17">
        <f t="shared" si="10"/>
        <v>0.98935868700404939</v>
      </c>
      <c r="AD22" s="17">
        <f t="shared" si="11"/>
        <v>3.8089158804247196</v>
      </c>
      <c r="AE22" s="17">
        <f t="shared" si="12"/>
        <v>352.28965444328554</v>
      </c>
      <c r="AF22" s="17">
        <f t="shared" si="4"/>
        <v>351.82068576328555</v>
      </c>
    </row>
    <row r="23" spans="1:32" x14ac:dyDescent="0.25">
      <c r="A23" s="14">
        <v>21</v>
      </c>
      <c r="B23" s="14" t="s">
        <v>59</v>
      </c>
      <c r="C23" s="14">
        <v>200</v>
      </c>
      <c r="D23" s="14">
        <v>3</v>
      </c>
      <c r="E23" s="15">
        <v>-0.46629999999999999</v>
      </c>
      <c r="F23" s="15">
        <v>-0.46988323999999998</v>
      </c>
      <c r="G23" s="15">
        <v>3.5832199999999998E-3</v>
      </c>
      <c r="H23" s="15">
        <v>0.66328330000000002</v>
      </c>
      <c r="I23" s="15">
        <v>0.66591676</v>
      </c>
      <c r="J23" s="15">
        <v>-2.6334499999999999E-3</v>
      </c>
      <c r="K23" s="18">
        <v>22.88</v>
      </c>
      <c r="L23" s="18">
        <v>22.89</v>
      </c>
      <c r="M23" s="18">
        <v>0</v>
      </c>
      <c r="N23" s="15">
        <v>1.5766599999999999E-2</v>
      </c>
      <c r="O23" s="15">
        <v>6.5004069999999997E-2</v>
      </c>
      <c r="P23" s="15">
        <v>-4.9237469999999998E-2</v>
      </c>
      <c r="Q23" s="15">
        <v>1.9083699999999999E-3</v>
      </c>
      <c r="R23" s="15">
        <v>1.0849610000000001E-2</v>
      </c>
      <c r="S23" s="15">
        <v>-8.9412399999999996E-3</v>
      </c>
      <c r="T23" s="14"/>
      <c r="U23" s="15">
        <f t="shared" si="5"/>
        <v>-1.7916199999999938E-3</v>
      </c>
      <c r="V23" s="15">
        <f t="shared" si="6"/>
        <v>-1.3167299999999882E-3</v>
      </c>
      <c r="W23" s="15"/>
      <c r="X23" s="15"/>
      <c r="Y23" s="16">
        <f t="shared" si="0"/>
        <v>1.5766599999999999E-2</v>
      </c>
      <c r="Z23" s="16">
        <f t="shared" si="1"/>
        <v>1.9083699999999999E-3</v>
      </c>
      <c r="AA23" s="16">
        <f t="shared" si="2"/>
        <v>6.5004069999999997E-2</v>
      </c>
      <c r="AB23" s="16">
        <f t="shared" si="3"/>
        <v>1.0849610000000001E-2</v>
      </c>
      <c r="AC23" s="17">
        <f t="shared" si="10"/>
        <v>0.90999111724293003</v>
      </c>
      <c r="AD23" s="17">
        <f t="shared" si="11"/>
        <v>3.7787188541350218</v>
      </c>
      <c r="AE23" s="17">
        <f t="shared" si="12"/>
        <v>6.9014389013157151</v>
      </c>
      <c r="AF23" s="17">
        <f t="shared" si="4"/>
        <v>6.4315556613157154</v>
      </c>
    </row>
    <row r="24" spans="1:32" x14ac:dyDescent="0.25">
      <c r="A24" s="14">
        <v>22</v>
      </c>
      <c r="B24" s="14" t="s">
        <v>59</v>
      </c>
      <c r="C24" s="14">
        <v>210</v>
      </c>
      <c r="D24" s="14">
        <v>6</v>
      </c>
      <c r="E24" s="15">
        <v>-0.46499151999999999</v>
      </c>
      <c r="F24" s="15">
        <v>-0.46974996000000002</v>
      </c>
      <c r="G24" s="15">
        <v>4.7584200000000002E-3</v>
      </c>
      <c r="H24" s="15">
        <v>0.65935840000000001</v>
      </c>
      <c r="I24" s="15">
        <v>0.66217492</v>
      </c>
      <c r="J24" s="15">
        <v>-2.8165600000000001E-3</v>
      </c>
      <c r="K24" s="18">
        <v>22.88</v>
      </c>
      <c r="L24" s="18">
        <v>22.88</v>
      </c>
      <c r="M24" s="18">
        <v>0</v>
      </c>
      <c r="N24" s="15">
        <v>1.5470380000000001E-2</v>
      </c>
      <c r="O24" s="15">
        <v>6.5458169999999996E-2</v>
      </c>
      <c r="P24" s="15">
        <v>-4.9987789999999997E-2</v>
      </c>
      <c r="Q24" s="15">
        <v>6.1063599999999999E-3</v>
      </c>
      <c r="R24" s="15">
        <v>6.7159000000000003E-3</v>
      </c>
      <c r="S24" s="15">
        <v>-6.0954E-4</v>
      </c>
      <c r="T24" s="14"/>
      <c r="U24" s="15">
        <f t="shared" si="5"/>
        <v>-2.3792200000000152E-3</v>
      </c>
      <c r="V24" s="15">
        <f t="shared" si="6"/>
        <v>-1.4082599999999945E-3</v>
      </c>
      <c r="W24" s="15"/>
      <c r="X24" s="15"/>
      <c r="Y24" s="16">
        <f t="shared" si="0"/>
        <v>1.5470380000000001E-2</v>
      </c>
      <c r="Z24" s="16">
        <f t="shared" si="1"/>
        <v>6.1063599999999999E-3</v>
      </c>
      <c r="AA24" s="16">
        <f t="shared" si="2"/>
        <v>6.5458169999999996E-2</v>
      </c>
      <c r="AB24" s="16">
        <f t="shared" si="3"/>
        <v>6.7159000000000003E-3</v>
      </c>
      <c r="AC24" s="17">
        <f t="shared" si="10"/>
        <v>0.95298194544837078</v>
      </c>
      <c r="AD24" s="17">
        <f t="shared" si="11"/>
        <v>3.772890788021765</v>
      </c>
      <c r="AE24" s="17">
        <f t="shared" si="12"/>
        <v>21.539793692659721</v>
      </c>
      <c r="AF24" s="17">
        <f t="shared" si="4"/>
        <v>21.07004373265972</v>
      </c>
    </row>
    <row r="25" spans="1:32" x14ac:dyDescent="0.25">
      <c r="A25" s="14">
        <v>23</v>
      </c>
      <c r="B25" s="14" t="s">
        <v>59</v>
      </c>
      <c r="C25" s="14">
        <v>220</v>
      </c>
      <c r="D25" s="14">
        <v>8</v>
      </c>
      <c r="E25" s="15">
        <v>-0.46587492000000003</v>
      </c>
      <c r="F25" s="15">
        <v>-0.46476864000000001</v>
      </c>
      <c r="G25" s="15">
        <v>-1.10629E-3</v>
      </c>
      <c r="H25" s="15">
        <v>0.66303752000000005</v>
      </c>
      <c r="I25" s="15">
        <v>0.66620003999999999</v>
      </c>
      <c r="J25" s="15">
        <v>-3.1624999999999999E-3</v>
      </c>
      <c r="K25" s="18">
        <v>22.87</v>
      </c>
      <c r="L25" s="18">
        <v>22.89</v>
      </c>
      <c r="M25" s="18">
        <v>-0.02</v>
      </c>
      <c r="N25" s="15">
        <v>1.574646E-2</v>
      </c>
      <c r="O25" s="15">
        <v>6.4819340000000003E-2</v>
      </c>
      <c r="P25" s="15">
        <v>-4.9072879999999999E-2</v>
      </c>
      <c r="Q25" s="15">
        <v>1.062927E-2</v>
      </c>
      <c r="R25" s="15">
        <v>2.1621700000000002E-3</v>
      </c>
      <c r="S25" s="15">
        <v>8.4671E-3</v>
      </c>
      <c r="T25" s="14"/>
      <c r="U25" s="15">
        <f t="shared" si="5"/>
        <v>5.5314000000000751E-4</v>
      </c>
      <c r="V25" s="15">
        <f t="shared" si="6"/>
        <v>-1.5812599999999732E-3</v>
      </c>
      <c r="W25" s="15"/>
      <c r="X25" s="15"/>
      <c r="Y25" s="16">
        <f t="shared" si="0"/>
        <v>1.574646E-2</v>
      </c>
      <c r="Z25" s="16">
        <f t="shared" si="1"/>
        <v>1.062927E-2</v>
      </c>
      <c r="AA25" s="16">
        <f t="shared" si="2"/>
        <v>6.4819340000000003E-2</v>
      </c>
      <c r="AB25" s="16">
        <f t="shared" si="3"/>
        <v>2.1621700000000002E-3</v>
      </c>
      <c r="AC25" s="17">
        <f t="shared" si="10"/>
        <v>1.0885833454259086</v>
      </c>
      <c r="AD25" s="17">
        <f t="shared" si="11"/>
        <v>3.7185501708822732</v>
      </c>
      <c r="AE25" s="17">
        <f t="shared" si="12"/>
        <v>34.02037361005798</v>
      </c>
      <c r="AF25" s="17">
        <f t="shared" si="4"/>
        <v>33.555604970057978</v>
      </c>
    </row>
    <row r="26" spans="1:32" x14ac:dyDescent="0.25">
      <c r="A26" s="14">
        <v>24</v>
      </c>
      <c r="B26" s="14" t="s">
        <v>59</v>
      </c>
      <c r="C26" s="14">
        <v>230</v>
      </c>
      <c r="D26" s="14">
        <v>5</v>
      </c>
      <c r="E26" s="15">
        <v>-0.46485988</v>
      </c>
      <c r="F26" s="15">
        <v>-0.46525988000000001</v>
      </c>
      <c r="G26" s="15">
        <v>4.0001000000000001E-4</v>
      </c>
      <c r="H26" s="15">
        <v>0.63618003999999995</v>
      </c>
      <c r="I26" s="15">
        <v>0.63475999999999999</v>
      </c>
      <c r="J26" s="15">
        <v>1.4200199999999999E-3</v>
      </c>
      <c r="K26" s="18">
        <v>23.25</v>
      </c>
      <c r="L26" s="18">
        <v>23.24</v>
      </c>
      <c r="M26" s="18">
        <v>0</v>
      </c>
      <c r="N26" s="15">
        <v>1.648438E-2</v>
      </c>
      <c r="O26" s="15">
        <v>6.3633309999999998E-2</v>
      </c>
      <c r="P26" s="15">
        <v>-4.7148929999999999E-2</v>
      </c>
      <c r="Q26" s="15">
        <v>1.4626460000000001E-2</v>
      </c>
      <c r="R26" s="15">
        <v>-2.5156200000000001E-3</v>
      </c>
      <c r="S26" s="15">
        <v>1.7142089999999999E-2</v>
      </c>
      <c r="T26" s="14"/>
      <c r="U26" s="15">
        <f t="shared" si="5"/>
        <v>-2.0000000000000573E-4</v>
      </c>
      <c r="V26" s="15">
        <f t="shared" si="6"/>
        <v>7.1001999999997789E-4</v>
      </c>
      <c r="W26" s="15"/>
      <c r="X26" s="15"/>
      <c r="Y26" s="16">
        <f t="shared" si="0"/>
        <v>1.648438E-2</v>
      </c>
      <c r="Z26" s="16">
        <f t="shared" si="1"/>
        <v>1.4626460000000001E-2</v>
      </c>
      <c r="AA26" s="16">
        <f t="shared" si="2"/>
        <v>6.3633309999999998E-2</v>
      </c>
      <c r="AB26" s="16">
        <f t="shared" si="3"/>
        <v>-2.5156200000000001E-3</v>
      </c>
      <c r="AC26" s="17">
        <f t="shared" si="10"/>
        <v>1.2627796923808885</v>
      </c>
      <c r="AD26" s="17">
        <f t="shared" si="11"/>
        <v>3.6512388159282221</v>
      </c>
      <c r="AE26" s="17">
        <f t="shared" si="12"/>
        <v>41.582390712771485</v>
      </c>
      <c r="AF26" s="17">
        <f t="shared" si="4"/>
        <v>41.117130832771487</v>
      </c>
    </row>
    <row r="27" spans="1:32" x14ac:dyDescent="0.25">
      <c r="A27" s="14">
        <v>25</v>
      </c>
      <c r="B27" s="14" t="s">
        <v>59</v>
      </c>
      <c r="C27" s="14">
        <v>240</v>
      </c>
      <c r="D27" s="14">
        <v>11</v>
      </c>
      <c r="E27" s="15">
        <v>-0.46689989999999998</v>
      </c>
      <c r="F27" s="15">
        <v>-0.46555439999999998</v>
      </c>
      <c r="G27" s="15">
        <v>-1.34549E-3</v>
      </c>
      <c r="H27" s="15">
        <v>0.66399549999999996</v>
      </c>
      <c r="I27" s="15">
        <v>0.67560920000000002</v>
      </c>
      <c r="J27" s="15">
        <v>-1.161367E-2</v>
      </c>
      <c r="K27" s="18">
        <v>22.74</v>
      </c>
      <c r="L27" s="18">
        <v>22.76</v>
      </c>
      <c r="M27" s="18">
        <v>-0.01</v>
      </c>
      <c r="N27" s="15">
        <v>1.875311E-2</v>
      </c>
      <c r="O27" s="15">
        <v>6.2135570000000001E-2</v>
      </c>
      <c r="P27" s="15">
        <v>-4.3382459999999998E-2</v>
      </c>
      <c r="Q27" s="15">
        <v>1.8608619999999999E-2</v>
      </c>
      <c r="R27" s="15">
        <v>-5.6099100000000001E-3</v>
      </c>
      <c r="S27" s="15">
        <v>2.4218529999999999E-2</v>
      </c>
      <c r="T27" s="14"/>
      <c r="U27" s="15">
        <f t="shared" si="5"/>
        <v>6.7274999999999974E-4</v>
      </c>
      <c r="V27" s="15">
        <f t="shared" si="6"/>
        <v>-5.80685000000003E-3</v>
      </c>
      <c r="W27" s="15"/>
      <c r="X27" s="15"/>
      <c r="Y27" s="16">
        <f t="shared" si="0"/>
        <v>1.875311E-2</v>
      </c>
      <c r="Z27" s="16">
        <f t="shared" si="1"/>
        <v>1.8608619999999999E-2</v>
      </c>
      <c r="AA27" s="16">
        <f t="shared" si="2"/>
        <v>6.2135570000000001E-2</v>
      </c>
      <c r="AB27" s="16">
        <f t="shared" si="3"/>
        <v>-5.6099100000000001E-3</v>
      </c>
      <c r="AC27" s="17">
        <f t="shared" si="10"/>
        <v>1.513869337959814</v>
      </c>
      <c r="AD27" s="17">
        <f t="shared" si="11"/>
        <v>3.5769093251218882</v>
      </c>
      <c r="AE27" s="17">
        <f t="shared" si="12"/>
        <v>44.778419631272058</v>
      </c>
      <c r="AF27" s="17">
        <f t="shared" si="4"/>
        <v>44.312865231272056</v>
      </c>
    </row>
    <row r="28" spans="1:32" x14ac:dyDescent="0.25">
      <c r="A28" s="14">
        <v>26</v>
      </c>
      <c r="B28" s="14" t="s">
        <v>59</v>
      </c>
      <c r="C28" s="14">
        <v>250</v>
      </c>
      <c r="D28" s="14">
        <v>5</v>
      </c>
      <c r="E28" s="15">
        <v>-0.46427995999999999</v>
      </c>
      <c r="F28" s="15">
        <v>-0.4608198</v>
      </c>
      <c r="G28" s="15">
        <v>-3.46014E-3</v>
      </c>
      <c r="H28" s="15">
        <v>0.65551007999999999</v>
      </c>
      <c r="I28" s="15">
        <v>0.66797008000000002</v>
      </c>
      <c r="J28" s="15">
        <v>-1.2459990000000001E-2</v>
      </c>
      <c r="K28" s="18">
        <v>22.92</v>
      </c>
      <c r="L28" s="18">
        <v>22.95</v>
      </c>
      <c r="M28" s="18">
        <v>-0.03</v>
      </c>
      <c r="N28" s="15">
        <v>2.095752E-2</v>
      </c>
      <c r="O28" s="15">
        <v>5.8937499999999997E-2</v>
      </c>
      <c r="P28" s="15">
        <v>-3.7979980000000003E-2</v>
      </c>
      <c r="Q28" s="15">
        <v>2.241748E-2</v>
      </c>
      <c r="R28" s="15">
        <v>-9.9555700000000004E-3</v>
      </c>
      <c r="S28" s="15">
        <v>3.237305E-2</v>
      </c>
      <c r="T28" s="14"/>
      <c r="U28" s="15">
        <f t="shared" si="5"/>
        <v>1.730079999999995E-3</v>
      </c>
      <c r="V28" s="15">
        <f t="shared" si="6"/>
        <v>-6.2300000000000133E-3</v>
      </c>
      <c r="W28" s="15"/>
      <c r="X28" s="15"/>
      <c r="Y28" s="16">
        <f t="shared" si="0"/>
        <v>2.095752E-2</v>
      </c>
      <c r="Z28" s="16">
        <f t="shared" si="1"/>
        <v>2.241748E-2</v>
      </c>
      <c r="AA28" s="16">
        <f t="shared" si="2"/>
        <v>5.8937499999999997E-2</v>
      </c>
      <c r="AB28" s="16">
        <f t="shared" si="3"/>
        <v>-9.9555700000000004E-3</v>
      </c>
      <c r="AC28" s="17">
        <f t="shared" si="10"/>
        <v>1.7585761793375732</v>
      </c>
      <c r="AD28" s="17">
        <f t="shared" si="11"/>
        <v>3.4267499910420254</v>
      </c>
      <c r="AE28" s="17">
        <f t="shared" si="12"/>
        <v>46.927792000702624</v>
      </c>
      <c r="AF28" s="17">
        <f t="shared" si="4"/>
        <v>46.466972200702621</v>
      </c>
    </row>
    <row r="29" spans="1:32" x14ac:dyDescent="0.25">
      <c r="A29" s="14">
        <v>27</v>
      </c>
      <c r="B29" s="14" t="s">
        <v>59</v>
      </c>
      <c r="C29" s="14">
        <v>260</v>
      </c>
      <c r="D29" s="14">
        <v>7</v>
      </c>
      <c r="E29" s="15">
        <v>-0.46317839999999999</v>
      </c>
      <c r="F29" s="15">
        <v>-0.4662713</v>
      </c>
      <c r="G29" s="15">
        <v>3.0929099999999999E-3</v>
      </c>
      <c r="H29" s="15">
        <v>0.65817844000000003</v>
      </c>
      <c r="I29" s="15">
        <v>0.6657071</v>
      </c>
      <c r="J29" s="15">
        <v>-7.5286600000000004E-3</v>
      </c>
      <c r="K29" s="18">
        <v>22.95</v>
      </c>
      <c r="L29" s="18">
        <v>22.94</v>
      </c>
      <c r="M29" s="18">
        <v>0.01</v>
      </c>
      <c r="N29" s="15">
        <v>2.4106800000000001E-2</v>
      </c>
      <c r="O29" s="15">
        <v>5.6761649999999997E-2</v>
      </c>
      <c r="P29" s="15">
        <v>-3.2654849999999999E-2</v>
      </c>
      <c r="Q29" s="15">
        <v>2.5342839999999998E-2</v>
      </c>
      <c r="R29" s="15">
        <v>-1.2712050000000001E-2</v>
      </c>
      <c r="S29" s="15">
        <v>3.8054900000000003E-2</v>
      </c>
      <c r="T29" s="14"/>
      <c r="U29" s="15">
        <f t="shared" si="5"/>
        <v>-1.5464500000000048E-3</v>
      </c>
      <c r="V29" s="15">
        <f t="shared" si="6"/>
        <v>-3.7643299999999824E-3</v>
      </c>
      <c r="W29" s="15"/>
      <c r="X29" s="15"/>
      <c r="Y29" s="16">
        <f t="shared" si="0"/>
        <v>2.4106800000000001E-2</v>
      </c>
      <c r="Z29" s="16">
        <f t="shared" si="1"/>
        <v>2.5342839999999998E-2</v>
      </c>
      <c r="AA29" s="16">
        <f t="shared" si="2"/>
        <v>5.6761649999999997E-2</v>
      </c>
      <c r="AB29" s="16">
        <f t="shared" si="3"/>
        <v>-1.2712050000000001E-2</v>
      </c>
      <c r="AC29" s="17">
        <f t="shared" si="10"/>
        <v>2.0044489110807735</v>
      </c>
      <c r="AD29" s="17">
        <f t="shared" si="11"/>
        <v>3.3346458745188703</v>
      </c>
      <c r="AE29" s="17">
        <f t="shared" si="12"/>
        <v>46.431863437079642</v>
      </c>
      <c r="AF29" s="17">
        <f t="shared" si="4"/>
        <v>45.965592137079639</v>
      </c>
    </row>
    <row r="30" spans="1:32" x14ac:dyDescent="0.25">
      <c r="A30" s="14">
        <v>28</v>
      </c>
      <c r="B30" s="14" t="s">
        <v>59</v>
      </c>
      <c r="C30" s="14">
        <v>270</v>
      </c>
      <c r="D30" s="14">
        <v>5</v>
      </c>
      <c r="E30" s="15">
        <v>-0.46361989999999997</v>
      </c>
      <c r="F30" s="15">
        <v>-0.46489987999999999</v>
      </c>
      <c r="G30" s="15">
        <v>1.27998E-3</v>
      </c>
      <c r="H30" s="15">
        <v>0.64546990000000004</v>
      </c>
      <c r="I30" s="15">
        <v>0.64893995999999998</v>
      </c>
      <c r="J30" s="15">
        <v>-3.4700600000000001E-3</v>
      </c>
      <c r="K30" s="18">
        <v>23.17</v>
      </c>
      <c r="L30" s="18">
        <v>23.17</v>
      </c>
      <c r="M30" s="18">
        <v>0</v>
      </c>
      <c r="N30" s="15">
        <v>2.717578E-2</v>
      </c>
      <c r="O30" s="15">
        <v>5.2308599999999997E-2</v>
      </c>
      <c r="P30" s="15">
        <v>-2.513282E-2</v>
      </c>
      <c r="Q30" s="15">
        <v>2.761914E-2</v>
      </c>
      <c r="R30" s="15">
        <v>-1.5521E-2</v>
      </c>
      <c r="S30" s="15">
        <v>4.314014E-2</v>
      </c>
      <c r="T30" s="14"/>
      <c r="U30" s="15">
        <f t="shared" si="5"/>
        <v>-6.3999000000000694E-4</v>
      </c>
      <c r="V30" s="15">
        <f t="shared" si="6"/>
        <v>-1.7350299999999708E-3</v>
      </c>
      <c r="W30" s="15"/>
      <c r="X30" s="15"/>
      <c r="Y30" s="16">
        <f t="shared" si="0"/>
        <v>2.717578E-2</v>
      </c>
      <c r="Z30" s="16">
        <f t="shared" si="1"/>
        <v>2.761914E-2</v>
      </c>
      <c r="AA30" s="16">
        <f t="shared" si="2"/>
        <v>5.2308599999999997E-2</v>
      </c>
      <c r="AB30" s="16">
        <f t="shared" si="3"/>
        <v>-1.5521E-2</v>
      </c>
      <c r="AC30" s="17">
        <f t="shared" si="10"/>
        <v>2.2206027744801045</v>
      </c>
      <c r="AD30" s="17">
        <f t="shared" si="11"/>
        <v>3.1277671742671855</v>
      </c>
      <c r="AE30" s="17">
        <f t="shared" si="12"/>
        <v>45.463584990519351</v>
      </c>
      <c r="AF30" s="17">
        <f t="shared" si="4"/>
        <v>44.998685110519354</v>
      </c>
    </row>
    <row r="31" spans="1:32" x14ac:dyDescent="0.25">
      <c r="A31" s="14">
        <v>29</v>
      </c>
      <c r="B31" s="14" t="s">
        <v>59</v>
      </c>
      <c r="C31" s="14">
        <v>280</v>
      </c>
      <c r="D31" s="14">
        <v>9</v>
      </c>
      <c r="E31" s="15">
        <v>-0.46683883999999998</v>
      </c>
      <c r="F31" s="15">
        <v>-0.46302769999999999</v>
      </c>
      <c r="G31" s="15">
        <v>-3.8111500000000001E-3</v>
      </c>
      <c r="H31" s="15">
        <v>0.64907223999999997</v>
      </c>
      <c r="I31" s="15">
        <v>0.65762776000000001</v>
      </c>
      <c r="J31" s="15">
        <v>-8.5555300000000004E-3</v>
      </c>
      <c r="K31" s="18">
        <v>23.01</v>
      </c>
      <c r="L31" s="18">
        <v>23.03</v>
      </c>
      <c r="M31" s="18">
        <v>-0.02</v>
      </c>
      <c r="N31" s="15">
        <v>3.119384E-2</v>
      </c>
      <c r="O31" s="15">
        <v>4.939209E-2</v>
      </c>
      <c r="P31" s="15">
        <v>-1.8198240000000001E-2</v>
      </c>
      <c r="Q31" s="15">
        <v>2.971273E-2</v>
      </c>
      <c r="R31" s="15">
        <v>-1.7248260000000001E-2</v>
      </c>
      <c r="S31" s="15">
        <v>4.6960990000000001E-2</v>
      </c>
      <c r="T31" s="14"/>
      <c r="U31" s="15">
        <f t="shared" si="5"/>
        <v>1.9055699999999953E-3</v>
      </c>
      <c r="V31" s="15">
        <f t="shared" si="6"/>
        <v>-4.2777600000000193E-3</v>
      </c>
      <c r="W31" s="15"/>
      <c r="X31" s="15"/>
      <c r="Y31" s="16">
        <f t="shared" si="0"/>
        <v>3.119384E-2</v>
      </c>
      <c r="Z31" s="16">
        <f t="shared" si="1"/>
        <v>2.971273E-2</v>
      </c>
      <c r="AA31" s="16">
        <f t="shared" si="2"/>
        <v>4.939209E-2</v>
      </c>
      <c r="AB31" s="16">
        <f t="shared" si="3"/>
        <v>-1.7248260000000001E-2</v>
      </c>
      <c r="AC31" s="17">
        <f t="shared" si="10"/>
        <v>2.4690766700190636</v>
      </c>
      <c r="AD31" s="17">
        <f t="shared" si="11"/>
        <v>2.9989192726295375</v>
      </c>
      <c r="AE31" s="17">
        <f t="shared" si="12"/>
        <v>43.606970803423252</v>
      </c>
      <c r="AF31" s="17">
        <f t="shared" si="4"/>
        <v>43.143943103423254</v>
      </c>
    </row>
    <row r="32" spans="1:32" x14ac:dyDescent="0.25">
      <c r="A32" s="14">
        <v>30</v>
      </c>
      <c r="B32" s="14" t="s">
        <v>59</v>
      </c>
      <c r="C32" s="14">
        <v>290</v>
      </c>
      <c r="D32" s="14">
        <v>7</v>
      </c>
      <c r="E32" s="15">
        <v>-0.46544987999999998</v>
      </c>
      <c r="F32" s="15">
        <v>-0.46254988000000002</v>
      </c>
      <c r="G32" s="15">
        <v>-2.8999999999999998E-3</v>
      </c>
      <c r="H32" s="15">
        <v>0.64491430000000005</v>
      </c>
      <c r="I32" s="15">
        <v>0.64944999999999997</v>
      </c>
      <c r="J32" s="15">
        <v>-4.5356800000000003E-3</v>
      </c>
      <c r="K32" s="18">
        <v>23.19</v>
      </c>
      <c r="L32" s="18">
        <v>23.2</v>
      </c>
      <c r="M32" s="18">
        <v>-0.02</v>
      </c>
      <c r="N32" s="15">
        <v>3.5056499999999997E-2</v>
      </c>
      <c r="O32" s="15">
        <v>4.4691679999999998E-2</v>
      </c>
      <c r="P32" s="15">
        <v>-9.6351800000000001E-3</v>
      </c>
      <c r="Q32" s="15">
        <v>3.0540600000000001E-2</v>
      </c>
      <c r="R32" s="15">
        <v>-1.8544919999999999E-2</v>
      </c>
      <c r="S32" s="15">
        <v>4.9085520000000001E-2</v>
      </c>
      <c r="T32" s="14"/>
      <c r="U32" s="15">
        <f t="shared" si="5"/>
        <v>1.4499999999999791E-3</v>
      </c>
      <c r="V32" s="15">
        <f t="shared" si="6"/>
        <v>-2.2678499999999602E-3</v>
      </c>
      <c r="W32" s="15"/>
      <c r="X32" s="15"/>
      <c r="Y32" s="16">
        <f t="shared" si="0"/>
        <v>3.5056499999999997E-2</v>
      </c>
      <c r="Z32" s="16">
        <f t="shared" si="1"/>
        <v>3.0540600000000001E-2</v>
      </c>
      <c r="AA32" s="16">
        <f t="shared" si="2"/>
        <v>4.4691679999999998E-2</v>
      </c>
      <c r="AB32" s="16">
        <f t="shared" si="3"/>
        <v>-1.8544919999999999E-2</v>
      </c>
      <c r="AC32" s="17">
        <f t="shared" si="10"/>
        <v>2.6648672149215984</v>
      </c>
      <c r="AD32" s="17">
        <f t="shared" si="11"/>
        <v>2.7734292811723629</v>
      </c>
      <c r="AE32" s="17">
        <f t="shared" si="12"/>
        <v>41.061801325418543</v>
      </c>
      <c r="AF32" s="17">
        <f t="shared" si="4"/>
        <v>40.599251445418545</v>
      </c>
    </row>
    <row r="33" spans="1:32" x14ac:dyDescent="0.25">
      <c r="A33" s="14">
        <v>31</v>
      </c>
      <c r="B33" s="14" t="s">
        <v>59</v>
      </c>
      <c r="C33" s="14">
        <v>300</v>
      </c>
      <c r="D33" s="14">
        <v>10</v>
      </c>
      <c r="E33" s="15">
        <v>-0.46410990000000002</v>
      </c>
      <c r="F33" s="15">
        <v>-0.46120484</v>
      </c>
      <c r="G33" s="15">
        <v>-2.9050399999999998E-3</v>
      </c>
      <c r="H33" s="15">
        <v>0.65885495999999999</v>
      </c>
      <c r="I33" s="15">
        <v>0.6665951</v>
      </c>
      <c r="J33" s="15">
        <v>-7.7401400000000004E-3</v>
      </c>
      <c r="K33" s="18">
        <v>22.91</v>
      </c>
      <c r="L33" s="18">
        <v>22.89</v>
      </c>
      <c r="M33" s="18">
        <v>0.02</v>
      </c>
      <c r="N33" s="15">
        <v>4.0098149999999999E-2</v>
      </c>
      <c r="O33" s="15">
        <v>4.1041010000000003E-2</v>
      </c>
      <c r="P33" s="15">
        <v>-9.4286999999999995E-4</v>
      </c>
      <c r="Q33" s="15">
        <v>3.1406009999999998E-2</v>
      </c>
      <c r="R33" s="15">
        <v>-1.8712889999999999E-2</v>
      </c>
      <c r="S33" s="15">
        <v>5.0118900000000001E-2</v>
      </c>
      <c r="T33" s="14"/>
      <c r="U33" s="15">
        <f t="shared" si="5"/>
        <v>1.4525300000000074E-3</v>
      </c>
      <c r="V33" s="15">
        <f t="shared" si="6"/>
        <v>-3.8700700000000032E-3</v>
      </c>
      <c r="W33" s="15"/>
      <c r="X33" s="15"/>
      <c r="Y33" s="16">
        <f t="shared" si="0"/>
        <v>4.0098149999999999E-2</v>
      </c>
      <c r="Z33" s="16">
        <f t="shared" si="1"/>
        <v>3.1406009999999998E-2</v>
      </c>
      <c r="AA33" s="16">
        <f t="shared" si="2"/>
        <v>4.1041010000000003E-2</v>
      </c>
      <c r="AB33" s="16">
        <f t="shared" si="3"/>
        <v>-1.8712889999999999E-2</v>
      </c>
      <c r="AC33" s="17">
        <f t="shared" si="10"/>
        <v>2.9195252631503452</v>
      </c>
      <c r="AD33" s="17">
        <f t="shared" si="11"/>
        <v>2.5852513701752655</v>
      </c>
      <c r="AE33" s="17">
        <f t="shared" si="12"/>
        <v>38.069055849822576</v>
      </c>
      <c r="AF33" s="17">
        <f t="shared" si="4"/>
        <v>37.607851009822575</v>
      </c>
    </row>
    <row r="34" spans="1:32" x14ac:dyDescent="0.25">
      <c r="A34" s="14">
        <v>32</v>
      </c>
      <c r="B34" s="14" t="s">
        <v>59</v>
      </c>
      <c r="C34" s="14">
        <v>310</v>
      </c>
      <c r="D34" s="14">
        <v>5</v>
      </c>
      <c r="E34" s="15">
        <v>-0.47021992000000001</v>
      </c>
      <c r="F34" s="15">
        <v>-0.46007979999999998</v>
      </c>
      <c r="G34" s="15">
        <v>-1.0140120000000001E-2</v>
      </c>
      <c r="H34" s="15">
        <v>0.64792983999999998</v>
      </c>
      <c r="I34" s="15">
        <v>0.64678983999999995</v>
      </c>
      <c r="J34" s="15">
        <v>1.14E-3</v>
      </c>
      <c r="K34" s="18">
        <v>23.15</v>
      </c>
      <c r="L34" s="18">
        <v>23.16</v>
      </c>
      <c r="M34" s="18">
        <v>-0.01</v>
      </c>
      <c r="N34" s="15">
        <v>4.374024E-2</v>
      </c>
      <c r="O34" s="15">
        <v>3.6300779999999998E-2</v>
      </c>
      <c r="P34" s="15">
        <v>7.4394500000000002E-3</v>
      </c>
      <c r="Q34" s="15">
        <v>3.074561E-2</v>
      </c>
      <c r="R34" s="15">
        <v>-1.8585939999999999E-2</v>
      </c>
      <c r="S34" s="15">
        <v>4.9331550000000002E-2</v>
      </c>
      <c r="T34" s="14"/>
      <c r="U34" s="15">
        <f t="shared" si="5"/>
        <v>5.0700600000000151E-3</v>
      </c>
      <c r="V34" s="15">
        <f t="shared" si="6"/>
        <v>5.7000000000001494E-4</v>
      </c>
      <c r="W34" s="15"/>
      <c r="X34" s="15"/>
      <c r="Y34" s="16">
        <f t="shared" si="0"/>
        <v>4.374024E-2</v>
      </c>
      <c r="Z34" s="16">
        <f t="shared" si="1"/>
        <v>3.074561E-2</v>
      </c>
      <c r="AA34" s="16">
        <f t="shared" si="2"/>
        <v>3.6300779999999998E-2</v>
      </c>
      <c r="AB34" s="16">
        <f t="shared" si="3"/>
        <v>-1.8585939999999999E-2</v>
      </c>
      <c r="AC34" s="17">
        <f t="shared" si="10"/>
        <v>3.0647774173006535</v>
      </c>
      <c r="AD34" s="17">
        <f t="shared" si="11"/>
        <v>2.337293296485413</v>
      </c>
      <c r="AE34" s="17">
        <f t="shared" si="12"/>
        <v>35.103905534074279</v>
      </c>
      <c r="AF34" s="17">
        <f t="shared" si="4"/>
        <v>34.643825734074277</v>
      </c>
    </row>
    <row r="35" spans="1:32" x14ac:dyDescent="0.25">
      <c r="A35" s="14">
        <v>33</v>
      </c>
      <c r="B35" t="s">
        <v>59</v>
      </c>
      <c r="C35">
        <v>320</v>
      </c>
      <c r="D35">
        <v>10</v>
      </c>
      <c r="E35">
        <v>-0.47204000000000002</v>
      </c>
      <c r="F35">
        <v>-0.46414995999999997</v>
      </c>
      <c r="G35">
        <v>-7.8900499999999991E-3</v>
      </c>
      <c r="H35">
        <v>0.66664999999999996</v>
      </c>
      <c r="I35">
        <v>0.66683999999999999</v>
      </c>
      <c r="J35">
        <v>-1.9002E-4</v>
      </c>
      <c r="K35">
        <v>22.84</v>
      </c>
      <c r="L35">
        <v>22.84</v>
      </c>
      <c r="M35">
        <v>0</v>
      </c>
      <c r="N35">
        <v>4.8650880000000001E-2</v>
      </c>
      <c r="O35">
        <v>3.2188229999999998E-2</v>
      </c>
      <c r="P35">
        <v>1.6462649999999999E-2</v>
      </c>
      <c r="Q35">
        <v>2.9974609999999999E-2</v>
      </c>
      <c r="R35">
        <v>-1.7183839999999999E-2</v>
      </c>
      <c r="S35">
        <v>4.7158449999999998E-2</v>
      </c>
      <c r="U35" s="15">
        <f t="shared" ref="U35:U74" si="13">(F35-E35)/2</f>
        <v>3.9450200000000213E-3</v>
      </c>
      <c r="V35" s="15">
        <f t="shared" ref="V35:V74" si="14">(H35-I35)/2</f>
        <v>-9.5000000000011742E-5</v>
      </c>
      <c r="W35" s="15"/>
      <c r="X35" s="15"/>
      <c r="Y35" s="16">
        <f t="shared" ref="Y35:Y74" si="15">N35</f>
        <v>4.8650880000000001E-2</v>
      </c>
      <c r="Z35" s="16">
        <f t="shared" ref="Z35:Z74" si="16">Q35</f>
        <v>2.9974609999999999E-2</v>
      </c>
      <c r="AA35" s="16">
        <f t="shared" ref="AA35:AA74" si="17">O35</f>
        <v>3.2188229999999998E-2</v>
      </c>
      <c r="AB35" s="16">
        <f t="shared" ref="AB35:AB74" si="18">R35</f>
        <v>-1.7183839999999999E-2</v>
      </c>
      <c r="AC35" s="17">
        <f t="shared" ref="AC35:AC74" si="19">IF(Y35="","",DEGREES(ASIN(SQRT(Y35^2+Z35^2))))</f>
        <v>3.275868754108386</v>
      </c>
      <c r="AD35" s="17">
        <f t="shared" ref="AD35:AD74" si="20">IF(AA35="","",DEGREES(ASIN(SQRT(AA35^2+AB35^2))))</f>
        <v>2.0910665784957816</v>
      </c>
      <c r="AE35" s="17">
        <f t="shared" ref="AE35:AE74" si="21">IF(Y35="","",MOD(DEGREES(ATAN2(Y35,Z35)),360))</f>
        <v>31.637907964693785</v>
      </c>
      <c r="AF35" s="17">
        <f t="shared" ref="AF35:AF74" si="22">IF(Y35="","",MOD(F35+AE35,360))</f>
        <v>31.173758004693784</v>
      </c>
    </row>
    <row r="36" spans="1:32" x14ac:dyDescent="0.25">
      <c r="A36" s="14">
        <v>34</v>
      </c>
      <c r="B36" t="s">
        <v>59</v>
      </c>
      <c r="C36">
        <v>330</v>
      </c>
      <c r="D36">
        <v>1</v>
      </c>
      <c r="E36">
        <v>-0.47024996000000002</v>
      </c>
      <c r="F36">
        <v>-0.46569983999999998</v>
      </c>
      <c r="G36">
        <v>-4.5500999999999996E-3</v>
      </c>
      <c r="H36">
        <v>0.62879989999999997</v>
      </c>
      <c r="I36">
        <v>0.60875003999999999</v>
      </c>
      <c r="J36">
        <v>2.0049870000000001E-2</v>
      </c>
      <c r="K36">
        <v>23.78</v>
      </c>
      <c r="L36">
        <v>23.76</v>
      </c>
      <c r="M36">
        <v>0.02</v>
      </c>
      <c r="N36">
        <v>5.2187499999999998E-2</v>
      </c>
      <c r="O36">
        <v>3.1264649999999998E-2</v>
      </c>
      <c r="P36">
        <v>2.092285E-2</v>
      </c>
      <c r="Q36">
        <v>2.8623050000000001E-2</v>
      </c>
      <c r="R36">
        <v>-1.6179200000000001E-2</v>
      </c>
      <c r="S36">
        <v>4.480224E-2</v>
      </c>
      <c r="U36" s="15">
        <f t="shared" si="13"/>
        <v>2.2750600000000232E-3</v>
      </c>
      <c r="V36" s="15">
        <f t="shared" si="14"/>
        <v>1.0024929999999987E-2</v>
      </c>
      <c r="W36" s="15"/>
      <c r="X36" s="15"/>
      <c r="Y36" s="16">
        <f t="shared" si="15"/>
        <v>5.2187499999999998E-2</v>
      </c>
      <c r="Z36" s="16">
        <f t="shared" si="16"/>
        <v>2.8623050000000001E-2</v>
      </c>
      <c r="AA36" s="16">
        <f t="shared" si="17"/>
        <v>3.1264649999999998E-2</v>
      </c>
      <c r="AB36" s="16">
        <f t="shared" si="18"/>
        <v>-1.6179200000000001E-2</v>
      </c>
      <c r="AC36" s="17">
        <f t="shared" si="19"/>
        <v>3.4123501492836827</v>
      </c>
      <c r="AD36" s="17">
        <f t="shared" si="20"/>
        <v>2.0173949739208172</v>
      </c>
      <c r="AE36" s="17">
        <f t="shared" si="21"/>
        <v>28.743254431457597</v>
      </c>
      <c r="AF36" s="17">
        <f t="shared" si="22"/>
        <v>28.277554591457598</v>
      </c>
    </row>
    <row r="37" spans="1:32" x14ac:dyDescent="0.25">
      <c r="A37" s="14">
        <v>35</v>
      </c>
      <c r="B37" t="s">
        <v>59</v>
      </c>
      <c r="C37">
        <v>340</v>
      </c>
      <c r="D37">
        <v>4</v>
      </c>
      <c r="E37">
        <v>-0.46458732000000003</v>
      </c>
      <c r="F37">
        <v>-0.46511249999999998</v>
      </c>
      <c r="G37">
        <v>5.2517999999999998E-4</v>
      </c>
      <c r="H37">
        <v>0.64961252000000003</v>
      </c>
      <c r="I37">
        <v>0.65538748000000002</v>
      </c>
      <c r="J37">
        <v>-5.7749200000000002E-3</v>
      </c>
      <c r="K37">
        <v>23.03</v>
      </c>
      <c r="L37">
        <v>23.03</v>
      </c>
      <c r="M37">
        <v>0</v>
      </c>
      <c r="N37">
        <v>5.627625E-2</v>
      </c>
      <c r="O37">
        <v>2.479309E-2</v>
      </c>
      <c r="P37">
        <v>3.1483160000000003E-2</v>
      </c>
      <c r="Q37">
        <v>2.547485E-2</v>
      </c>
      <c r="R37">
        <v>-1.348572E-2</v>
      </c>
      <c r="S37">
        <v>3.896057E-2</v>
      </c>
      <c r="U37" s="15">
        <f t="shared" si="13"/>
        <v>-2.6258999999997923E-4</v>
      </c>
      <c r="V37" s="15">
        <f t="shared" si="14"/>
        <v>-2.8874799999999978E-3</v>
      </c>
      <c r="W37" s="15"/>
      <c r="X37" s="15"/>
      <c r="Y37" s="16">
        <f t="shared" si="15"/>
        <v>5.627625E-2</v>
      </c>
      <c r="Z37" s="16">
        <f t="shared" si="16"/>
        <v>2.547485E-2</v>
      </c>
      <c r="AA37" s="16">
        <f t="shared" si="17"/>
        <v>2.479309E-2</v>
      </c>
      <c r="AB37" s="16">
        <f t="shared" si="18"/>
        <v>-1.348572E-2</v>
      </c>
      <c r="AC37" s="17">
        <f t="shared" si="19"/>
        <v>3.5416245485812174</v>
      </c>
      <c r="AD37" s="17">
        <f t="shared" si="20"/>
        <v>1.6172981379101787</v>
      </c>
      <c r="AE37" s="17">
        <f t="shared" si="21"/>
        <v>24.355072713945873</v>
      </c>
      <c r="AF37" s="17">
        <f t="shared" si="22"/>
        <v>23.889960213945873</v>
      </c>
    </row>
    <row r="38" spans="1:32" x14ac:dyDescent="0.25">
      <c r="A38" s="14">
        <v>36</v>
      </c>
      <c r="B38" t="s">
        <v>59</v>
      </c>
      <c r="C38">
        <v>350</v>
      </c>
      <c r="D38">
        <v>6</v>
      </c>
      <c r="E38">
        <v>-0.46603319999999998</v>
      </c>
      <c r="F38">
        <v>-0.46337484000000001</v>
      </c>
      <c r="G38">
        <v>-2.6583700000000002E-3</v>
      </c>
      <c r="H38">
        <v>0.6576417</v>
      </c>
      <c r="I38">
        <v>0.65790004000000002</v>
      </c>
      <c r="J38">
        <v>-2.5832999999999997E-4</v>
      </c>
      <c r="K38">
        <v>23.04</v>
      </c>
      <c r="L38">
        <v>23.02</v>
      </c>
      <c r="M38">
        <v>0.02</v>
      </c>
      <c r="N38">
        <v>5.7847900000000001E-2</v>
      </c>
      <c r="O38">
        <v>2.1543369999999999E-2</v>
      </c>
      <c r="P38">
        <v>3.6304530000000002E-2</v>
      </c>
      <c r="Q38">
        <v>2.2668460000000001E-2</v>
      </c>
      <c r="R38">
        <v>-1.006836E-2</v>
      </c>
      <c r="S38">
        <v>3.273682E-2</v>
      </c>
      <c r="U38" s="15">
        <f t="shared" si="13"/>
        <v>1.3291799999999854E-3</v>
      </c>
      <c r="V38" s="15">
        <f t="shared" si="14"/>
        <v>-1.2917000000001178E-4</v>
      </c>
      <c r="W38" s="15"/>
      <c r="X38" s="15"/>
      <c r="Y38" s="16">
        <f t="shared" si="15"/>
        <v>5.7847900000000001E-2</v>
      </c>
      <c r="Z38" s="16">
        <f t="shared" si="16"/>
        <v>2.2668460000000001E-2</v>
      </c>
      <c r="AA38" s="16">
        <f t="shared" si="17"/>
        <v>2.1543369999999999E-2</v>
      </c>
      <c r="AB38" s="16">
        <f t="shared" si="18"/>
        <v>-1.006836E-2</v>
      </c>
      <c r="AC38" s="17">
        <f t="shared" si="19"/>
        <v>3.5621279692754584</v>
      </c>
      <c r="AD38" s="17">
        <f t="shared" si="20"/>
        <v>1.3626224000884239</v>
      </c>
      <c r="AE38" s="17">
        <f t="shared" si="21"/>
        <v>21.398382300350161</v>
      </c>
      <c r="AF38" s="17">
        <f t="shared" si="22"/>
        <v>20.93500746035016</v>
      </c>
    </row>
    <row r="39" spans="1:32" x14ac:dyDescent="0.25">
      <c r="A39" s="19">
        <v>37</v>
      </c>
      <c r="B39" s="23" t="s">
        <v>60</v>
      </c>
      <c r="C39" s="23">
        <v>0</v>
      </c>
      <c r="D39" s="23">
        <v>6</v>
      </c>
      <c r="E39" s="23">
        <v>-0.46697484</v>
      </c>
      <c r="F39" s="23">
        <v>-0.46205827999999999</v>
      </c>
      <c r="G39" s="23">
        <v>-4.9165800000000003E-3</v>
      </c>
      <c r="H39" s="23">
        <v>0.63333324000000002</v>
      </c>
      <c r="I39" s="23">
        <v>0.63654160000000004</v>
      </c>
      <c r="J39" s="23">
        <v>-3.2083400000000001E-3</v>
      </c>
      <c r="K39" s="23">
        <v>23.35</v>
      </c>
      <c r="L39" s="23">
        <v>23.34</v>
      </c>
      <c r="M39" s="23">
        <v>0.01</v>
      </c>
      <c r="N39" s="23">
        <v>6.1145020000000001E-2</v>
      </c>
      <c r="O39" s="23">
        <v>1.8438719999999999E-2</v>
      </c>
      <c r="P39" s="23">
        <v>4.2706300000000003E-2</v>
      </c>
      <c r="Q39" s="23">
        <v>1.8708900000000001E-2</v>
      </c>
      <c r="R39" s="23">
        <v>-7.0434599999999997E-3</v>
      </c>
      <c r="S39" s="23">
        <v>2.5752359999999998E-2</v>
      </c>
      <c r="T39" s="23"/>
      <c r="U39" s="20">
        <f t="shared" si="13"/>
        <v>2.4582800000000071E-3</v>
      </c>
      <c r="V39" s="20">
        <f t="shared" si="14"/>
        <v>-1.6041800000000106E-3</v>
      </c>
      <c r="W39" s="20"/>
      <c r="X39" s="20"/>
      <c r="Y39" s="21">
        <f t="shared" si="15"/>
        <v>6.1145020000000001E-2</v>
      </c>
      <c r="Z39" s="21">
        <f t="shared" si="16"/>
        <v>1.8708900000000001E-2</v>
      </c>
      <c r="AA39" s="21">
        <f t="shared" si="17"/>
        <v>1.8438719999999999E-2</v>
      </c>
      <c r="AB39" s="21">
        <f t="shared" si="18"/>
        <v>-7.0434599999999997E-3</v>
      </c>
      <c r="AC39" s="22">
        <f t="shared" si="19"/>
        <v>3.6661783340009757</v>
      </c>
      <c r="AD39" s="22">
        <f t="shared" si="20"/>
        <v>1.13098926975291</v>
      </c>
      <c r="AE39" s="22">
        <f t="shared" si="21"/>
        <v>17.012845932874349</v>
      </c>
      <c r="AF39" s="22">
        <f t="shared" si="22"/>
        <v>16.550787652874348</v>
      </c>
    </row>
    <row r="40" spans="1:32" x14ac:dyDescent="0.25">
      <c r="A40" s="14">
        <v>38</v>
      </c>
      <c r="B40" t="s">
        <v>60</v>
      </c>
      <c r="C40">
        <v>10</v>
      </c>
      <c r="D40">
        <v>9</v>
      </c>
      <c r="E40">
        <v>-0.47025</v>
      </c>
      <c r="F40">
        <v>-0.46345547999999998</v>
      </c>
      <c r="G40">
        <v>-6.7945100000000001E-3</v>
      </c>
      <c r="H40">
        <v>0.65919996000000003</v>
      </c>
      <c r="I40">
        <v>0.65487220000000002</v>
      </c>
      <c r="J40">
        <v>4.3277699999999999E-3</v>
      </c>
      <c r="K40">
        <v>22.98</v>
      </c>
      <c r="L40">
        <v>22.97</v>
      </c>
      <c r="M40">
        <v>0.01</v>
      </c>
      <c r="N40">
        <v>6.3851450000000004E-2</v>
      </c>
      <c r="O40">
        <v>1.7368439999999999E-2</v>
      </c>
      <c r="P40">
        <v>4.648302E-2</v>
      </c>
      <c r="Q40">
        <v>1.474989E-2</v>
      </c>
      <c r="R40">
        <v>-3.1315100000000001E-3</v>
      </c>
      <c r="S40">
        <v>1.7881399999999999E-2</v>
      </c>
      <c r="U40" s="15">
        <f t="shared" si="13"/>
        <v>3.397260000000013E-3</v>
      </c>
      <c r="V40" s="15">
        <f t="shared" si="14"/>
        <v>2.1638800000000069E-3</v>
      </c>
      <c r="W40" s="15"/>
      <c r="X40" s="15"/>
      <c r="Y40" s="16">
        <f t="shared" si="15"/>
        <v>6.3851450000000004E-2</v>
      </c>
      <c r="Z40" s="16">
        <f t="shared" si="16"/>
        <v>1.474989E-2</v>
      </c>
      <c r="AA40" s="16">
        <f t="shared" si="17"/>
        <v>1.7368439999999999E-2</v>
      </c>
      <c r="AB40" s="16">
        <f t="shared" si="18"/>
        <v>-3.1315100000000001E-3</v>
      </c>
      <c r="AC40" s="17">
        <f t="shared" si="19"/>
        <v>3.7574539050896956</v>
      </c>
      <c r="AD40" s="17">
        <f t="shared" si="20"/>
        <v>1.0112362698578339</v>
      </c>
      <c r="AE40" s="17">
        <f t="shared" si="21"/>
        <v>13.007344403032407</v>
      </c>
      <c r="AF40" s="17">
        <f t="shared" si="22"/>
        <v>12.543888923032407</v>
      </c>
    </row>
    <row r="41" spans="1:32" x14ac:dyDescent="0.25">
      <c r="A41" s="14">
        <v>39</v>
      </c>
      <c r="B41" t="s">
        <v>60</v>
      </c>
      <c r="C41">
        <v>20</v>
      </c>
      <c r="D41">
        <v>5</v>
      </c>
      <c r="E41">
        <v>-0.47441008000000001</v>
      </c>
      <c r="F41">
        <v>-0.46176988000000002</v>
      </c>
      <c r="G41">
        <v>-1.2640180000000001E-2</v>
      </c>
      <c r="H41">
        <v>0.64963009999999999</v>
      </c>
      <c r="I41">
        <v>0.65156000000000003</v>
      </c>
      <c r="J41">
        <v>-1.9298799999999999E-3</v>
      </c>
      <c r="K41">
        <v>23.15</v>
      </c>
      <c r="L41">
        <v>23.15</v>
      </c>
      <c r="M41">
        <v>0</v>
      </c>
      <c r="N41">
        <v>6.4691899999999997E-2</v>
      </c>
      <c r="O41">
        <v>1.553174E-2</v>
      </c>
      <c r="P41">
        <v>4.9160160000000001E-2</v>
      </c>
      <c r="Q41">
        <v>1.0616209999999999E-2</v>
      </c>
      <c r="R41">
        <v>1.4511700000000001E-3</v>
      </c>
      <c r="S41">
        <v>9.1650399999999993E-3</v>
      </c>
      <c r="U41" s="15">
        <f t="shared" si="13"/>
        <v>6.3200999999999952E-3</v>
      </c>
      <c r="V41" s="15">
        <f t="shared" si="14"/>
        <v>-9.6495000000001996E-4</v>
      </c>
      <c r="W41" s="15"/>
      <c r="X41" s="15"/>
      <c r="Y41" s="16">
        <f t="shared" si="15"/>
        <v>6.4691899999999997E-2</v>
      </c>
      <c r="Z41" s="16">
        <f t="shared" si="16"/>
        <v>1.0616209999999999E-2</v>
      </c>
      <c r="AA41" s="16">
        <f t="shared" si="17"/>
        <v>1.553174E-2</v>
      </c>
      <c r="AB41" s="16">
        <f t="shared" si="18"/>
        <v>1.4511700000000001E-3</v>
      </c>
      <c r="AC41" s="17">
        <f t="shared" si="19"/>
        <v>3.7588463142526485</v>
      </c>
      <c r="AD41" s="17">
        <f t="shared" si="20"/>
        <v>0.89381523031703147</v>
      </c>
      <c r="AE41" s="17">
        <f t="shared" si="21"/>
        <v>9.3194105107813456</v>
      </c>
      <c r="AF41" s="17">
        <f t="shared" si="22"/>
        <v>8.8576406307813453</v>
      </c>
    </row>
    <row r="42" spans="1:32" x14ac:dyDescent="0.25">
      <c r="A42" s="14">
        <v>40</v>
      </c>
      <c r="B42" t="s">
        <v>60</v>
      </c>
      <c r="C42">
        <v>30</v>
      </c>
      <c r="D42">
        <v>6</v>
      </c>
      <c r="E42">
        <v>-0.4640666</v>
      </c>
      <c r="F42">
        <v>-0.46029976</v>
      </c>
      <c r="G42">
        <v>-3.7668300000000001E-3</v>
      </c>
      <c r="H42">
        <v>0.63451668000000006</v>
      </c>
      <c r="I42">
        <v>0.63274163999999999</v>
      </c>
      <c r="J42">
        <v>1.7750299999999999E-3</v>
      </c>
      <c r="K42">
        <v>23.37</v>
      </c>
      <c r="L42">
        <v>23.36</v>
      </c>
      <c r="M42">
        <v>0.02</v>
      </c>
      <c r="N42">
        <v>6.4651700000000006E-2</v>
      </c>
      <c r="O42">
        <v>1.5629069999999998E-2</v>
      </c>
      <c r="P42">
        <v>4.9022629999999998E-2</v>
      </c>
      <c r="Q42">
        <v>6.1934399999999997E-3</v>
      </c>
      <c r="R42">
        <v>5.4374200000000001E-3</v>
      </c>
      <c r="S42">
        <v>7.5602000000000004E-4</v>
      </c>
      <c r="U42" s="15">
        <f t="shared" si="13"/>
        <v>1.8834199999999968E-3</v>
      </c>
      <c r="V42" s="15">
        <f t="shared" si="14"/>
        <v>8.8752000000003051E-4</v>
      </c>
      <c r="W42" s="15"/>
      <c r="X42" s="15"/>
      <c r="Y42" s="16">
        <f t="shared" si="15"/>
        <v>6.4651700000000006E-2</v>
      </c>
      <c r="Z42" s="16">
        <f t="shared" si="16"/>
        <v>6.1934399999999997E-3</v>
      </c>
      <c r="AA42" s="16">
        <f t="shared" si="17"/>
        <v>1.5629069999999998E-2</v>
      </c>
      <c r="AB42" s="16">
        <f t="shared" si="18"/>
        <v>5.4374200000000001E-3</v>
      </c>
      <c r="AC42" s="17">
        <f t="shared" si="19"/>
        <v>3.7238490241595894</v>
      </c>
      <c r="AD42" s="17">
        <f t="shared" si="20"/>
        <v>0.94816874866077328</v>
      </c>
      <c r="AE42" s="17">
        <f t="shared" si="21"/>
        <v>5.472066353343199</v>
      </c>
      <c r="AF42" s="17">
        <f t="shared" si="22"/>
        <v>5.0117665933431992</v>
      </c>
    </row>
    <row r="43" spans="1:32" x14ac:dyDescent="0.25">
      <c r="A43" s="14">
        <v>41</v>
      </c>
      <c r="B43" t="s">
        <v>60</v>
      </c>
      <c r="C43">
        <v>40</v>
      </c>
      <c r="D43">
        <v>4</v>
      </c>
      <c r="E43">
        <v>-0.46972496000000002</v>
      </c>
      <c r="F43">
        <v>-0.4634374</v>
      </c>
      <c r="G43">
        <v>-6.2875400000000003E-3</v>
      </c>
      <c r="H43">
        <v>0.66357509999999997</v>
      </c>
      <c r="I43">
        <v>0.65712499999999996</v>
      </c>
      <c r="J43">
        <v>6.4501200000000002E-3</v>
      </c>
      <c r="K43">
        <v>22.91</v>
      </c>
      <c r="L43">
        <v>22.92</v>
      </c>
      <c r="M43">
        <v>-0.01</v>
      </c>
      <c r="N43">
        <v>6.4603270000000004E-2</v>
      </c>
      <c r="O43">
        <v>1.6136480000000002E-2</v>
      </c>
      <c r="P43">
        <v>4.8466790000000003E-2</v>
      </c>
      <c r="Q43">
        <v>2.3602300000000001E-3</v>
      </c>
      <c r="R43">
        <v>9.6112100000000002E-3</v>
      </c>
      <c r="S43">
        <v>-7.2509799999999998E-3</v>
      </c>
      <c r="U43" s="15">
        <f t="shared" si="13"/>
        <v>3.1437800000000127E-3</v>
      </c>
      <c r="V43" s="15">
        <f t="shared" si="14"/>
        <v>3.2250500000000071E-3</v>
      </c>
      <c r="W43" s="15"/>
      <c r="X43" s="15"/>
      <c r="Y43" s="16">
        <f t="shared" si="15"/>
        <v>6.4603270000000004E-2</v>
      </c>
      <c r="Z43" s="16">
        <f t="shared" si="16"/>
        <v>2.3602300000000001E-3</v>
      </c>
      <c r="AA43" s="16">
        <f t="shared" si="17"/>
        <v>1.6136480000000002E-2</v>
      </c>
      <c r="AB43" s="16">
        <f t="shared" si="18"/>
        <v>9.6112100000000002E-3</v>
      </c>
      <c r="AC43" s="17">
        <f t="shared" si="19"/>
        <v>3.7065489429701506</v>
      </c>
      <c r="AD43" s="17">
        <f t="shared" si="20"/>
        <v>1.0761892857048159</v>
      </c>
      <c r="AE43" s="17">
        <f t="shared" si="21"/>
        <v>2.0923259648425843</v>
      </c>
      <c r="AF43" s="17">
        <f t="shared" si="22"/>
        <v>1.6288885648425842</v>
      </c>
    </row>
    <row r="44" spans="1:32" x14ac:dyDescent="0.25">
      <c r="A44" s="14">
        <v>42</v>
      </c>
      <c r="B44" t="s">
        <v>60</v>
      </c>
      <c r="C44">
        <v>50</v>
      </c>
      <c r="D44">
        <v>4</v>
      </c>
      <c r="E44">
        <v>-0.46808749999999999</v>
      </c>
      <c r="F44">
        <v>-0.46752484</v>
      </c>
      <c r="G44">
        <v>-5.6267000000000003E-4</v>
      </c>
      <c r="H44">
        <v>0.67629989999999995</v>
      </c>
      <c r="I44">
        <v>0.67042500000000005</v>
      </c>
      <c r="J44">
        <v>5.8749300000000004E-3</v>
      </c>
      <c r="K44">
        <v>22.77</v>
      </c>
      <c r="L44">
        <v>22.77</v>
      </c>
      <c r="M44">
        <v>0</v>
      </c>
      <c r="N44">
        <v>6.3510739999999996E-2</v>
      </c>
      <c r="O44">
        <v>1.776672E-2</v>
      </c>
      <c r="P44">
        <v>4.5744010000000002E-2</v>
      </c>
      <c r="Q44">
        <v>-1.94214E-3</v>
      </c>
      <c r="R44">
        <v>1.4611209999999999E-2</v>
      </c>
      <c r="S44">
        <v>-1.655334E-2</v>
      </c>
      <c r="U44" s="15">
        <f t="shared" si="13"/>
        <v>2.8132999999999631E-4</v>
      </c>
      <c r="V44" s="15">
        <f t="shared" si="14"/>
        <v>2.9374499999999526E-3</v>
      </c>
      <c r="W44" s="15"/>
      <c r="X44" s="15"/>
      <c r="Y44" s="16">
        <f t="shared" si="15"/>
        <v>6.3510739999999996E-2</v>
      </c>
      <c r="Z44" s="16">
        <f t="shared" si="16"/>
        <v>-1.94214E-3</v>
      </c>
      <c r="AA44" s="16">
        <f t="shared" si="17"/>
        <v>1.776672E-2</v>
      </c>
      <c r="AB44" s="16">
        <f t="shared" si="18"/>
        <v>1.4611209999999999E-2</v>
      </c>
      <c r="AC44" s="17">
        <f t="shared" si="19"/>
        <v>3.6430525702149854</v>
      </c>
      <c r="AD44" s="17">
        <f t="shared" si="20"/>
        <v>1.318098286114876</v>
      </c>
      <c r="AE44" s="17">
        <f t="shared" si="21"/>
        <v>358.24845751887017</v>
      </c>
      <c r="AF44" s="17">
        <f t="shared" si="22"/>
        <v>357.78093267887016</v>
      </c>
    </row>
    <row r="45" spans="1:32" x14ac:dyDescent="0.25">
      <c r="A45" s="14">
        <v>43</v>
      </c>
      <c r="B45" t="s">
        <v>60</v>
      </c>
      <c r="C45">
        <v>60</v>
      </c>
      <c r="D45">
        <v>3</v>
      </c>
      <c r="E45">
        <v>-0.46759988000000002</v>
      </c>
      <c r="F45">
        <v>-0.46481655999999999</v>
      </c>
      <c r="G45">
        <v>-2.7832999999999998E-3</v>
      </c>
      <c r="H45">
        <v>0.66956680000000002</v>
      </c>
      <c r="I45">
        <v>0.66568324000000001</v>
      </c>
      <c r="J45">
        <v>3.88354E-3</v>
      </c>
      <c r="K45">
        <v>22.75</v>
      </c>
      <c r="L45">
        <v>22.75</v>
      </c>
      <c r="M45">
        <v>0</v>
      </c>
      <c r="N45">
        <v>6.2711589999999998E-2</v>
      </c>
      <c r="O45">
        <v>1.938395E-2</v>
      </c>
      <c r="P45">
        <v>4.3327640000000001E-2</v>
      </c>
      <c r="Q45">
        <v>-6.4746099999999996E-3</v>
      </c>
      <c r="R45">
        <v>1.8714189999999999E-2</v>
      </c>
      <c r="S45">
        <v>-2.5188800000000001E-2</v>
      </c>
      <c r="U45" s="15">
        <f t="shared" si="13"/>
        <v>1.3916600000000168E-3</v>
      </c>
      <c r="V45" s="15">
        <f t="shared" si="14"/>
        <v>1.9417800000000041E-3</v>
      </c>
      <c r="W45" s="15"/>
      <c r="X45" s="15"/>
      <c r="Y45" s="16">
        <f t="shared" si="15"/>
        <v>6.2711589999999998E-2</v>
      </c>
      <c r="Z45" s="16">
        <f t="shared" si="16"/>
        <v>-6.4746099999999996E-3</v>
      </c>
      <c r="AA45" s="16">
        <f t="shared" si="17"/>
        <v>1.938395E-2</v>
      </c>
      <c r="AB45" s="16">
        <f t="shared" si="18"/>
        <v>1.8714189999999999E-2</v>
      </c>
      <c r="AC45" s="17">
        <f t="shared" si="19"/>
        <v>3.6146059921496683</v>
      </c>
      <c r="AD45" s="17">
        <f t="shared" si="20"/>
        <v>1.5439423070323999</v>
      </c>
      <c r="AE45" s="17">
        <f t="shared" si="21"/>
        <v>354.1054261464206</v>
      </c>
      <c r="AF45" s="17">
        <f t="shared" si="22"/>
        <v>353.64060958642062</v>
      </c>
    </row>
    <row r="46" spans="1:32" x14ac:dyDescent="0.25">
      <c r="A46" s="14">
        <v>44</v>
      </c>
      <c r="B46" t="s">
        <v>60</v>
      </c>
      <c r="C46">
        <v>70</v>
      </c>
      <c r="D46">
        <v>10</v>
      </c>
      <c r="E46">
        <v>-0.46492489999999997</v>
      </c>
      <c r="F46">
        <v>-0.46420484000000001</v>
      </c>
      <c r="G46">
        <v>-7.2004999999999997E-4</v>
      </c>
      <c r="H46">
        <v>0.65399503999999997</v>
      </c>
      <c r="I46">
        <v>0.64826499999999998</v>
      </c>
      <c r="J46">
        <v>5.7300299999999997E-3</v>
      </c>
      <c r="K46">
        <v>23.08</v>
      </c>
      <c r="L46">
        <v>23.09</v>
      </c>
      <c r="M46">
        <v>-0.01</v>
      </c>
      <c r="N46">
        <v>5.9198239999999999E-2</v>
      </c>
      <c r="O46">
        <v>2.0381349999999999E-2</v>
      </c>
      <c r="P46">
        <v>3.881689E-2</v>
      </c>
      <c r="Q46">
        <v>-9.6550300000000002E-3</v>
      </c>
      <c r="R46">
        <v>2.184937E-2</v>
      </c>
      <c r="S46">
        <v>-3.1504400000000002E-2</v>
      </c>
      <c r="U46" s="15">
        <f t="shared" si="13"/>
        <v>3.6002999999998342E-4</v>
      </c>
      <c r="V46" s="15">
        <f t="shared" si="14"/>
        <v>2.8650199999999959E-3</v>
      </c>
      <c r="W46" s="15"/>
      <c r="X46" s="15"/>
      <c r="Y46" s="16">
        <f t="shared" si="15"/>
        <v>5.9198239999999999E-2</v>
      </c>
      <c r="Z46" s="16">
        <f t="shared" si="16"/>
        <v>-9.6550300000000002E-3</v>
      </c>
      <c r="AA46" s="16">
        <f t="shared" si="17"/>
        <v>2.0381349999999999E-2</v>
      </c>
      <c r="AB46" s="16">
        <f t="shared" si="18"/>
        <v>2.184937E-2</v>
      </c>
      <c r="AC46" s="17">
        <f t="shared" si="19"/>
        <v>3.4386891025564728</v>
      </c>
      <c r="AD46" s="17">
        <f t="shared" si="20"/>
        <v>1.7122335570156195</v>
      </c>
      <c r="AE46" s="17">
        <f t="shared" si="21"/>
        <v>350.73681523160178</v>
      </c>
      <c r="AF46" s="17">
        <f t="shared" si="22"/>
        <v>350.2726103916018</v>
      </c>
    </row>
    <row r="47" spans="1:32" x14ac:dyDescent="0.25">
      <c r="A47" s="14">
        <v>45</v>
      </c>
      <c r="B47" t="s">
        <v>60</v>
      </c>
      <c r="C47">
        <v>80</v>
      </c>
      <c r="D47">
        <v>6</v>
      </c>
      <c r="E47">
        <v>-0.4620416</v>
      </c>
      <c r="F47">
        <v>-0.46354151999999998</v>
      </c>
      <c r="G47">
        <v>1.4999200000000001E-3</v>
      </c>
      <c r="H47">
        <v>0.64801675999999997</v>
      </c>
      <c r="I47">
        <v>0.64502499999999996</v>
      </c>
      <c r="J47">
        <v>2.9917400000000001E-3</v>
      </c>
      <c r="K47">
        <v>23.14</v>
      </c>
      <c r="L47">
        <v>23.13</v>
      </c>
      <c r="M47">
        <v>0.01</v>
      </c>
      <c r="N47">
        <v>5.6109619999999999E-2</v>
      </c>
      <c r="O47">
        <v>2.3461920000000001E-2</v>
      </c>
      <c r="P47">
        <v>3.2647710000000003E-2</v>
      </c>
      <c r="Q47">
        <v>-1.2895510000000001E-2</v>
      </c>
      <c r="R47">
        <v>2.4910069999999999E-2</v>
      </c>
      <c r="S47">
        <v>-3.7805579999999998E-2</v>
      </c>
      <c r="U47" s="15">
        <f t="shared" si="13"/>
        <v>-7.4995999999999396E-4</v>
      </c>
      <c r="V47" s="15">
        <f t="shared" si="14"/>
        <v>1.495880000000005E-3</v>
      </c>
      <c r="W47" s="15"/>
      <c r="X47" s="15"/>
      <c r="Y47" s="16">
        <f t="shared" si="15"/>
        <v>5.6109619999999999E-2</v>
      </c>
      <c r="Z47" s="16">
        <f t="shared" si="16"/>
        <v>-1.2895510000000001E-2</v>
      </c>
      <c r="AA47" s="16">
        <f t="shared" si="17"/>
        <v>2.3461920000000001E-2</v>
      </c>
      <c r="AB47" s="16">
        <f t="shared" si="18"/>
        <v>2.4910069999999999E-2</v>
      </c>
      <c r="AC47" s="17">
        <f t="shared" si="19"/>
        <v>3.3004817295142401</v>
      </c>
      <c r="AD47" s="17">
        <f t="shared" si="20"/>
        <v>1.9610150143581617</v>
      </c>
      <c r="AE47" s="17">
        <f t="shared" si="21"/>
        <v>347.05664577013943</v>
      </c>
      <c r="AF47" s="17">
        <f t="shared" si="22"/>
        <v>346.59310425013945</v>
      </c>
    </row>
    <row r="48" spans="1:32" x14ac:dyDescent="0.25">
      <c r="A48" s="14">
        <v>46</v>
      </c>
      <c r="B48" t="s">
        <v>60</v>
      </c>
      <c r="C48">
        <v>90</v>
      </c>
      <c r="D48">
        <v>7</v>
      </c>
      <c r="E48">
        <v>-0.45777839999999997</v>
      </c>
      <c r="F48">
        <v>-0.46822844000000002</v>
      </c>
      <c r="G48">
        <v>1.0450009999999999E-2</v>
      </c>
      <c r="H48">
        <v>0.66040719999999997</v>
      </c>
      <c r="I48">
        <v>0.65462140000000002</v>
      </c>
      <c r="J48">
        <v>5.78576E-3</v>
      </c>
      <c r="K48">
        <v>22.98</v>
      </c>
      <c r="L48">
        <v>22.98</v>
      </c>
      <c r="M48">
        <v>0</v>
      </c>
      <c r="N48">
        <v>5.3218120000000001E-2</v>
      </c>
      <c r="O48">
        <v>2.7792270000000001E-2</v>
      </c>
      <c r="P48">
        <v>2.542585E-2</v>
      </c>
      <c r="Q48">
        <v>-1.527623E-2</v>
      </c>
      <c r="R48">
        <v>2.777727E-2</v>
      </c>
      <c r="S48">
        <v>-4.3053500000000001E-2</v>
      </c>
      <c r="U48" s="15">
        <f t="shared" si="13"/>
        <v>-5.2250200000000246E-3</v>
      </c>
      <c r="V48" s="15">
        <f t="shared" si="14"/>
        <v>2.892899999999976E-3</v>
      </c>
      <c r="W48" s="15"/>
      <c r="X48" s="15"/>
      <c r="Y48" s="16">
        <f t="shared" si="15"/>
        <v>5.3218120000000001E-2</v>
      </c>
      <c r="Z48" s="16">
        <f t="shared" si="16"/>
        <v>-1.527623E-2</v>
      </c>
      <c r="AA48" s="16">
        <f t="shared" si="17"/>
        <v>2.7792270000000001E-2</v>
      </c>
      <c r="AB48" s="16">
        <f t="shared" si="18"/>
        <v>2.777727E-2</v>
      </c>
      <c r="AC48" s="17">
        <f t="shared" si="19"/>
        <v>3.1739323387436604</v>
      </c>
      <c r="AD48" s="17">
        <f t="shared" si="20"/>
        <v>2.2519371888038009</v>
      </c>
      <c r="AE48" s="17">
        <f t="shared" si="21"/>
        <v>343.98390538695423</v>
      </c>
      <c r="AF48" s="17">
        <f t="shared" si="22"/>
        <v>343.51567694695422</v>
      </c>
    </row>
    <row r="49" spans="1:32" x14ac:dyDescent="0.25">
      <c r="A49" s="14">
        <v>47</v>
      </c>
      <c r="B49" t="s">
        <v>60</v>
      </c>
      <c r="C49">
        <v>100</v>
      </c>
      <c r="D49">
        <v>4</v>
      </c>
      <c r="E49">
        <v>-0.46551231999999998</v>
      </c>
      <c r="F49">
        <v>-0.46739996</v>
      </c>
      <c r="G49">
        <v>1.88762E-3</v>
      </c>
      <c r="H49">
        <v>0.66361250000000005</v>
      </c>
      <c r="I49">
        <v>0.65942500000000004</v>
      </c>
      <c r="J49">
        <v>4.1874599999999996E-3</v>
      </c>
      <c r="K49">
        <v>22.91</v>
      </c>
      <c r="L49">
        <v>22.92</v>
      </c>
      <c r="M49">
        <v>-0.01</v>
      </c>
      <c r="N49">
        <v>4.8943479999999998E-2</v>
      </c>
      <c r="O49">
        <v>3.2616569999999998E-2</v>
      </c>
      <c r="P49">
        <v>1.632691E-2</v>
      </c>
      <c r="Q49">
        <v>-1.7165529999999998E-2</v>
      </c>
      <c r="R49">
        <v>2.981872E-2</v>
      </c>
      <c r="S49">
        <v>-4.6984249999999998E-2</v>
      </c>
      <c r="U49" s="15">
        <f t="shared" si="13"/>
        <v>-9.4382000000001187E-4</v>
      </c>
      <c r="V49" s="15">
        <f t="shared" si="14"/>
        <v>2.0937500000000053E-3</v>
      </c>
      <c r="W49" s="15"/>
      <c r="X49" s="15"/>
      <c r="Y49" s="16">
        <f t="shared" si="15"/>
        <v>4.8943479999999998E-2</v>
      </c>
      <c r="Z49" s="16">
        <f t="shared" si="16"/>
        <v>-1.7165529999999998E-2</v>
      </c>
      <c r="AA49" s="16">
        <f t="shared" si="17"/>
        <v>3.2616569999999998E-2</v>
      </c>
      <c r="AB49" s="16">
        <f t="shared" si="18"/>
        <v>2.981872E-2</v>
      </c>
      <c r="AC49" s="17">
        <f t="shared" si="19"/>
        <v>2.9730577203835642</v>
      </c>
      <c r="AD49" s="17">
        <f t="shared" si="20"/>
        <v>2.5328813790205786</v>
      </c>
      <c r="AE49" s="17">
        <f t="shared" si="21"/>
        <v>340.67313528816157</v>
      </c>
      <c r="AF49" s="17">
        <f t="shared" si="22"/>
        <v>340.20573532816155</v>
      </c>
    </row>
    <row r="50" spans="1:32" x14ac:dyDescent="0.25">
      <c r="A50" s="14">
        <v>48</v>
      </c>
      <c r="B50" t="s">
        <v>60</v>
      </c>
      <c r="C50">
        <v>110</v>
      </c>
      <c r="D50">
        <v>7</v>
      </c>
      <c r="E50">
        <v>-0.46602850000000001</v>
      </c>
      <c r="F50">
        <v>-0.4624856</v>
      </c>
      <c r="G50">
        <v>-3.5428999999999999E-3</v>
      </c>
      <c r="H50">
        <v>0.64362143999999999</v>
      </c>
      <c r="I50">
        <v>0.64467867999999995</v>
      </c>
      <c r="J50">
        <v>-1.0572100000000001E-3</v>
      </c>
      <c r="K50">
        <v>23.23</v>
      </c>
      <c r="L50">
        <v>23.22</v>
      </c>
      <c r="M50">
        <v>0</v>
      </c>
      <c r="N50">
        <v>4.4970700000000002E-2</v>
      </c>
      <c r="O50">
        <v>3.5756139999999999E-2</v>
      </c>
      <c r="P50">
        <v>9.2145600000000001E-3</v>
      </c>
      <c r="Q50">
        <v>-1.871198E-2</v>
      </c>
      <c r="R50">
        <v>3.0544430000000001E-2</v>
      </c>
      <c r="S50">
        <v>-4.9256420000000002E-2</v>
      </c>
      <c r="U50" s="15">
        <f t="shared" si="13"/>
        <v>1.7714500000000077E-3</v>
      </c>
      <c r="V50" s="15">
        <f t="shared" si="14"/>
        <v>-5.2861999999997966E-4</v>
      </c>
      <c r="W50" s="15"/>
      <c r="X50" s="15"/>
      <c r="Y50" s="16">
        <f t="shared" si="15"/>
        <v>4.4970700000000002E-2</v>
      </c>
      <c r="Z50" s="16">
        <f t="shared" si="16"/>
        <v>-1.871198E-2</v>
      </c>
      <c r="AA50" s="16">
        <f t="shared" si="17"/>
        <v>3.5756139999999999E-2</v>
      </c>
      <c r="AB50" s="16">
        <f t="shared" si="18"/>
        <v>3.0544430000000001E-2</v>
      </c>
      <c r="AC50" s="17">
        <f t="shared" si="19"/>
        <v>2.7918868166216568</v>
      </c>
      <c r="AD50" s="17">
        <f t="shared" si="20"/>
        <v>2.695397033479574</v>
      </c>
      <c r="AE50" s="17">
        <f t="shared" si="21"/>
        <v>337.40816183766486</v>
      </c>
      <c r="AF50" s="17">
        <f t="shared" si="22"/>
        <v>336.94567623766488</v>
      </c>
    </row>
    <row r="51" spans="1:32" x14ac:dyDescent="0.25">
      <c r="A51" s="14">
        <v>49</v>
      </c>
      <c r="B51" t="s">
        <v>60</v>
      </c>
      <c r="C51">
        <v>120</v>
      </c>
      <c r="D51">
        <v>7</v>
      </c>
      <c r="E51">
        <v>-0.46429996000000001</v>
      </c>
      <c r="F51">
        <v>-0.46371415999999999</v>
      </c>
      <c r="G51">
        <v>-5.8578999999999999E-4</v>
      </c>
      <c r="H51">
        <v>0.65584295999999997</v>
      </c>
      <c r="I51">
        <v>0.65169999999999995</v>
      </c>
      <c r="J51">
        <v>4.1429400000000003E-3</v>
      </c>
      <c r="K51">
        <v>23.04</v>
      </c>
      <c r="L51">
        <v>23.05</v>
      </c>
      <c r="M51">
        <v>-0.01</v>
      </c>
      <c r="N51">
        <v>4.0742540000000001E-2</v>
      </c>
      <c r="O51">
        <v>4.0298199999999999E-2</v>
      </c>
      <c r="P51">
        <v>4.4433999999999999E-4</v>
      </c>
      <c r="Q51">
        <v>-1.8971120000000001E-2</v>
      </c>
      <c r="R51">
        <v>3.1011790000000001E-2</v>
      </c>
      <c r="S51">
        <v>-4.9982909999999998E-2</v>
      </c>
      <c r="U51" s="15">
        <f t="shared" si="13"/>
        <v>2.9290000000001259E-4</v>
      </c>
      <c r="V51" s="15">
        <f t="shared" si="14"/>
        <v>2.0714800000000144E-3</v>
      </c>
      <c r="W51" s="15"/>
      <c r="X51" s="15"/>
      <c r="Y51" s="16">
        <f t="shared" si="15"/>
        <v>4.0742540000000001E-2</v>
      </c>
      <c r="Z51" s="16">
        <f t="shared" si="16"/>
        <v>-1.8971120000000001E-2</v>
      </c>
      <c r="AA51" s="16">
        <f t="shared" si="17"/>
        <v>4.0298199999999999E-2</v>
      </c>
      <c r="AB51" s="16">
        <f t="shared" si="18"/>
        <v>3.1011790000000001E-2</v>
      </c>
      <c r="AC51" s="17">
        <f t="shared" si="19"/>
        <v>2.575902129014803</v>
      </c>
      <c r="AD51" s="17">
        <f t="shared" si="20"/>
        <v>2.9147212236548357</v>
      </c>
      <c r="AE51" s="17">
        <f t="shared" si="21"/>
        <v>335.03170275222595</v>
      </c>
      <c r="AF51" s="17">
        <f t="shared" si="22"/>
        <v>334.56798859222596</v>
      </c>
    </row>
    <row r="52" spans="1:32" x14ac:dyDescent="0.25">
      <c r="A52" s="14">
        <v>50</v>
      </c>
      <c r="B52" t="s">
        <v>60</v>
      </c>
      <c r="C52">
        <v>130</v>
      </c>
      <c r="D52">
        <v>9</v>
      </c>
      <c r="E52">
        <v>-0.46149990000000002</v>
      </c>
      <c r="F52">
        <v>-0.46662772000000002</v>
      </c>
      <c r="G52">
        <v>5.1278199999999999E-3</v>
      </c>
      <c r="H52">
        <v>0.64064443999999998</v>
      </c>
      <c r="I52">
        <v>0.6353723</v>
      </c>
      <c r="J52">
        <v>5.2721499999999998E-3</v>
      </c>
      <c r="K52">
        <v>23.33</v>
      </c>
      <c r="L52">
        <v>23.32</v>
      </c>
      <c r="M52">
        <v>0.01</v>
      </c>
      <c r="N52">
        <v>3.5532759999999997E-2</v>
      </c>
      <c r="O52">
        <v>4.414415E-2</v>
      </c>
      <c r="P52">
        <v>-8.6113800000000001E-3</v>
      </c>
      <c r="Q52">
        <v>-1.8763559999999999E-2</v>
      </c>
      <c r="R52">
        <v>3.0442710000000001E-2</v>
      </c>
      <c r="S52">
        <v>-4.9206270000000003E-2</v>
      </c>
      <c r="U52" s="15">
        <f t="shared" si="13"/>
        <v>-2.5639100000000026E-3</v>
      </c>
      <c r="V52" s="15">
        <f t="shared" si="14"/>
        <v>2.6360699999999904E-3</v>
      </c>
      <c r="W52" s="15"/>
      <c r="X52" s="15"/>
      <c r="Y52" s="16">
        <f t="shared" si="15"/>
        <v>3.5532759999999997E-2</v>
      </c>
      <c r="Z52" s="16">
        <f t="shared" si="16"/>
        <v>-1.8763559999999999E-2</v>
      </c>
      <c r="AA52" s="16">
        <f t="shared" si="17"/>
        <v>4.414415E-2</v>
      </c>
      <c r="AB52" s="16">
        <f t="shared" si="18"/>
        <v>3.0442710000000001E-2</v>
      </c>
      <c r="AC52" s="17">
        <f t="shared" si="19"/>
        <v>2.3029183084382541</v>
      </c>
      <c r="AD52" s="17">
        <f t="shared" si="20"/>
        <v>3.0738664567627825</v>
      </c>
      <c r="AE52" s="17">
        <f t="shared" si="21"/>
        <v>332.16309296668345</v>
      </c>
      <c r="AF52" s="17">
        <f t="shared" si="22"/>
        <v>331.69646524668343</v>
      </c>
    </row>
    <row r="53" spans="1:32" x14ac:dyDescent="0.25">
      <c r="A53" s="14">
        <v>51</v>
      </c>
      <c r="B53" t="s">
        <v>60</v>
      </c>
      <c r="C53">
        <v>140</v>
      </c>
      <c r="D53">
        <v>6</v>
      </c>
      <c r="E53">
        <v>-0.46426652000000002</v>
      </c>
      <c r="F53">
        <v>-0.46911659999999999</v>
      </c>
      <c r="G53">
        <v>4.8500599999999998E-3</v>
      </c>
      <c r="H53">
        <v>0.66616668000000001</v>
      </c>
      <c r="I53">
        <v>0.66205829999999999</v>
      </c>
      <c r="J53">
        <v>4.1083700000000001E-3</v>
      </c>
      <c r="K53">
        <v>22.9</v>
      </c>
      <c r="L53">
        <v>22.91</v>
      </c>
      <c r="M53">
        <v>-0.01</v>
      </c>
      <c r="N53">
        <v>3.2892659999999997E-2</v>
      </c>
      <c r="O53">
        <v>4.8270670000000002E-2</v>
      </c>
      <c r="P53">
        <v>-1.5378009999999999E-2</v>
      </c>
      <c r="Q53">
        <v>-1.7495119999999999E-2</v>
      </c>
      <c r="R53">
        <v>2.9894609999999999E-2</v>
      </c>
      <c r="S53">
        <v>-4.7389729999999998E-2</v>
      </c>
      <c r="U53" s="15">
        <f t="shared" si="13"/>
        <v>-2.4250399999999894E-3</v>
      </c>
      <c r="V53" s="15">
        <f t="shared" si="14"/>
        <v>2.0541900000000113E-3</v>
      </c>
      <c r="W53" s="15"/>
      <c r="X53" s="15"/>
      <c r="Y53" s="16">
        <f t="shared" si="15"/>
        <v>3.2892659999999997E-2</v>
      </c>
      <c r="Z53" s="16">
        <f t="shared" si="16"/>
        <v>-1.7495119999999999E-2</v>
      </c>
      <c r="AA53" s="16">
        <f t="shared" si="17"/>
        <v>4.8270670000000002E-2</v>
      </c>
      <c r="AB53" s="16">
        <f t="shared" si="18"/>
        <v>2.9894609999999999E-2</v>
      </c>
      <c r="AC53" s="17">
        <f t="shared" si="19"/>
        <v>2.1351031947666295</v>
      </c>
      <c r="AD53" s="17">
        <f t="shared" si="20"/>
        <v>3.2548922140320151</v>
      </c>
      <c r="AE53" s="17">
        <f t="shared" si="21"/>
        <v>331.99214812469023</v>
      </c>
      <c r="AF53" s="17">
        <f t="shared" si="22"/>
        <v>331.52303152469023</v>
      </c>
    </row>
    <row r="54" spans="1:32" x14ac:dyDescent="0.25">
      <c r="A54" s="14">
        <v>52</v>
      </c>
      <c r="B54" t="s">
        <v>60</v>
      </c>
      <c r="C54">
        <v>150</v>
      </c>
      <c r="D54">
        <v>4</v>
      </c>
      <c r="E54">
        <v>-0.46268730000000002</v>
      </c>
      <c r="F54">
        <v>-0.46668739999999997</v>
      </c>
      <c r="G54">
        <v>4.0001000000000004E-3</v>
      </c>
      <c r="H54">
        <v>0.67005009999999998</v>
      </c>
      <c r="I54">
        <v>0.6666126</v>
      </c>
      <c r="J54">
        <v>3.4374599999999998E-3</v>
      </c>
      <c r="K54">
        <v>22.76</v>
      </c>
      <c r="L54">
        <v>22.77</v>
      </c>
      <c r="M54">
        <v>-0.01</v>
      </c>
      <c r="N54">
        <v>2.8410029999999999E-2</v>
      </c>
      <c r="O54">
        <v>5.3804320000000003E-2</v>
      </c>
      <c r="P54">
        <v>-2.539429E-2</v>
      </c>
      <c r="Q54">
        <v>-1.5451049999999999E-2</v>
      </c>
      <c r="R54">
        <v>2.8236689999999998E-2</v>
      </c>
      <c r="S54">
        <v>-4.3687749999999997E-2</v>
      </c>
      <c r="U54" s="15">
        <f t="shared" si="13"/>
        <v>-2.0000499999999755E-3</v>
      </c>
      <c r="V54" s="15">
        <f t="shared" si="14"/>
        <v>1.7187499999999911E-3</v>
      </c>
      <c r="W54" s="15"/>
      <c r="X54" s="15"/>
      <c r="Y54" s="16">
        <f t="shared" si="15"/>
        <v>2.8410029999999999E-2</v>
      </c>
      <c r="Z54" s="16">
        <f t="shared" si="16"/>
        <v>-1.5451049999999999E-2</v>
      </c>
      <c r="AA54" s="16">
        <f t="shared" si="17"/>
        <v>5.3804320000000003E-2</v>
      </c>
      <c r="AB54" s="16">
        <f t="shared" si="18"/>
        <v>2.8236689999999998E-2</v>
      </c>
      <c r="AC54" s="17">
        <f t="shared" si="19"/>
        <v>1.8532590375747779</v>
      </c>
      <c r="AD54" s="17">
        <f t="shared" si="20"/>
        <v>3.4836440040254724</v>
      </c>
      <c r="AE54" s="17">
        <f t="shared" si="21"/>
        <v>331.46004430155142</v>
      </c>
      <c r="AF54" s="17">
        <f t="shared" si="22"/>
        <v>330.99335690155141</v>
      </c>
    </row>
    <row r="55" spans="1:32" x14ac:dyDescent="0.25">
      <c r="A55" s="14">
        <v>53</v>
      </c>
      <c r="B55" t="s">
        <v>60</v>
      </c>
      <c r="C55">
        <v>160</v>
      </c>
      <c r="D55">
        <v>9</v>
      </c>
      <c r="E55">
        <v>-0.46640544</v>
      </c>
      <c r="F55">
        <v>-0.46660550000000001</v>
      </c>
      <c r="G55">
        <v>2.0006000000000001E-4</v>
      </c>
      <c r="H55">
        <v>0.65271663999999996</v>
      </c>
      <c r="I55">
        <v>0.6477889</v>
      </c>
      <c r="J55">
        <v>4.9277499999999998E-3</v>
      </c>
      <c r="K55">
        <v>23.09</v>
      </c>
      <c r="L55">
        <v>23.09</v>
      </c>
      <c r="M55">
        <v>0</v>
      </c>
      <c r="N55">
        <v>2.4238550000000001E-2</v>
      </c>
      <c r="O55">
        <v>5.6661780000000002E-2</v>
      </c>
      <c r="P55">
        <v>-3.2423239999999999E-2</v>
      </c>
      <c r="Q55">
        <v>-1.2888999999999999E-2</v>
      </c>
      <c r="R55">
        <v>2.5213220000000001E-2</v>
      </c>
      <c r="S55">
        <v>-3.8102219999999999E-2</v>
      </c>
      <c r="U55" s="15">
        <f t="shared" si="13"/>
        <v>-1.0003000000000095E-4</v>
      </c>
      <c r="V55" s="15">
        <f t="shared" si="14"/>
        <v>2.4638699999999791E-3</v>
      </c>
      <c r="W55" s="15"/>
      <c r="X55" s="15"/>
      <c r="Y55" s="16">
        <f t="shared" si="15"/>
        <v>2.4238550000000001E-2</v>
      </c>
      <c r="Z55" s="16">
        <f t="shared" si="16"/>
        <v>-1.2888999999999999E-2</v>
      </c>
      <c r="AA55" s="16">
        <f t="shared" si="17"/>
        <v>5.6661780000000002E-2</v>
      </c>
      <c r="AB55" s="16">
        <f t="shared" si="18"/>
        <v>2.5213220000000001E-2</v>
      </c>
      <c r="AC55" s="17">
        <f t="shared" si="19"/>
        <v>1.573103623874645</v>
      </c>
      <c r="AD55" s="17">
        <f t="shared" si="20"/>
        <v>3.5556660092941779</v>
      </c>
      <c r="AE55" s="17">
        <f t="shared" si="21"/>
        <v>331.99790961398099</v>
      </c>
      <c r="AF55" s="17">
        <f t="shared" si="22"/>
        <v>331.53130411398098</v>
      </c>
    </row>
    <row r="56" spans="1:32" x14ac:dyDescent="0.25">
      <c r="A56" s="14">
        <v>54</v>
      </c>
      <c r="B56" t="s">
        <v>60</v>
      </c>
      <c r="C56">
        <v>170</v>
      </c>
      <c r="D56">
        <v>4</v>
      </c>
      <c r="E56">
        <v>-0.46129991999999997</v>
      </c>
      <c r="F56">
        <v>-0.46479988</v>
      </c>
      <c r="G56">
        <v>3.4999499999999999E-3</v>
      </c>
      <c r="H56">
        <v>0.65766263999999997</v>
      </c>
      <c r="I56">
        <v>0.66139999999999999</v>
      </c>
      <c r="J56">
        <v>-3.7373900000000002E-3</v>
      </c>
      <c r="K56">
        <v>22.99</v>
      </c>
      <c r="L56">
        <v>22.98</v>
      </c>
      <c r="M56">
        <v>0.01</v>
      </c>
      <c r="N56">
        <v>2.136474E-2</v>
      </c>
      <c r="O56">
        <v>5.9519660000000002E-2</v>
      </c>
      <c r="P56">
        <v>-3.815491E-2</v>
      </c>
      <c r="Q56">
        <v>-1.007446E-2</v>
      </c>
      <c r="R56">
        <v>2.290528E-2</v>
      </c>
      <c r="S56">
        <v>-3.297974E-2</v>
      </c>
      <c r="U56" s="15">
        <f t="shared" si="13"/>
        <v>-1.7499800000000121E-3</v>
      </c>
      <c r="V56" s="15">
        <f t="shared" si="14"/>
        <v>-1.8686800000000114E-3</v>
      </c>
      <c r="W56" s="15"/>
      <c r="X56" s="15"/>
      <c r="Y56" s="16">
        <f t="shared" si="15"/>
        <v>2.136474E-2</v>
      </c>
      <c r="Z56" s="16">
        <f t="shared" si="16"/>
        <v>-1.007446E-2</v>
      </c>
      <c r="AA56" s="16">
        <f t="shared" si="17"/>
        <v>5.9519660000000002E-2</v>
      </c>
      <c r="AB56" s="16">
        <f t="shared" si="18"/>
        <v>2.290528E-2</v>
      </c>
      <c r="AC56" s="17">
        <f t="shared" si="19"/>
        <v>1.3535036926243462</v>
      </c>
      <c r="AD56" s="17">
        <f t="shared" si="20"/>
        <v>3.6565158825735304</v>
      </c>
      <c r="AE56" s="17">
        <f t="shared" si="21"/>
        <v>334.75396115490287</v>
      </c>
      <c r="AF56" s="17">
        <f t="shared" si="22"/>
        <v>334.28916127490288</v>
      </c>
    </row>
    <row r="57" spans="1:32" x14ac:dyDescent="0.25">
      <c r="A57" s="14">
        <v>55</v>
      </c>
      <c r="B57" t="s">
        <v>60</v>
      </c>
      <c r="C57">
        <v>180</v>
      </c>
      <c r="D57">
        <v>5</v>
      </c>
      <c r="E57">
        <v>-0.46352996000000002</v>
      </c>
      <c r="F57">
        <v>-0.46606987999999999</v>
      </c>
      <c r="G57">
        <v>2.5398999999999999E-3</v>
      </c>
      <c r="H57">
        <v>0.65942000000000001</v>
      </c>
      <c r="I57">
        <v>0.66296999999999995</v>
      </c>
      <c r="J57">
        <v>-3.5499899999999998E-3</v>
      </c>
      <c r="K57">
        <v>22.85</v>
      </c>
      <c r="L57">
        <v>22.87</v>
      </c>
      <c r="M57">
        <v>-0.03</v>
      </c>
      <c r="N57">
        <v>1.8646969999999999E-2</v>
      </c>
      <c r="O57">
        <v>6.2447759999999998E-2</v>
      </c>
      <c r="P57">
        <v>-4.3800779999999997E-2</v>
      </c>
      <c r="Q57">
        <v>-6.0991200000000004E-3</v>
      </c>
      <c r="R57">
        <v>1.8707029999999999E-2</v>
      </c>
      <c r="S57">
        <v>-2.4806149999999999E-2</v>
      </c>
      <c r="U57" s="15">
        <f t="shared" si="13"/>
        <v>-1.2699599999999867E-3</v>
      </c>
      <c r="V57" s="15">
        <f t="shared" si="14"/>
        <v>-1.774999999999971E-3</v>
      </c>
      <c r="W57" s="15"/>
      <c r="X57" s="15"/>
      <c r="Y57" s="16">
        <f t="shared" si="15"/>
        <v>1.8646969999999999E-2</v>
      </c>
      <c r="Z57" s="16">
        <f t="shared" si="16"/>
        <v>-6.0991200000000004E-3</v>
      </c>
      <c r="AA57" s="16">
        <f t="shared" si="17"/>
        <v>6.2447759999999998E-2</v>
      </c>
      <c r="AB57" s="16">
        <f t="shared" si="18"/>
        <v>1.8707029999999999E-2</v>
      </c>
      <c r="AC57" s="17">
        <f t="shared" si="19"/>
        <v>1.1241632707704099</v>
      </c>
      <c r="AD57" s="17">
        <f t="shared" si="20"/>
        <v>3.737735879134767</v>
      </c>
      <c r="AE57" s="17">
        <f t="shared" si="21"/>
        <v>341.88792280437963</v>
      </c>
      <c r="AF57" s="17">
        <f t="shared" si="22"/>
        <v>341.42185292437961</v>
      </c>
    </row>
    <row r="58" spans="1:32" x14ac:dyDescent="0.25">
      <c r="A58" s="14">
        <v>56</v>
      </c>
      <c r="B58" t="s">
        <v>60</v>
      </c>
      <c r="C58">
        <v>190</v>
      </c>
      <c r="D58">
        <v>3</v>
      </c>
      <c r="E58">
        <v>-0.45993319999999999</v>
      </c>
      <c r="F58">
        <v>-0.46494992000000002</v>
      </c>
      <c r="G58">
        <v>5.0167399999999996E-3</v>
      </c>
      <c r="H58">
        <v>0.64683330000000006</v>
      </c>
      <c r="I58">
        <v>0.65311669999999999</v>
      </c>
      <c r="J58">
        <v>-6.2833999999999997E-3</v>
      </c>
      <c r="K58">
        <v>23.14</v>
      </c>
      <c r="L58">
        <v>23.14</v>
      </c>
      <c r="M58">
        <v>0</v>
      </c>
      <c r="N58">
        <v>1.649577E-2</v>
      </c>
      <c r="O58">
        <v>6.3876950000000002E-2</v>
      </c>
      <c r="P58">
        <v>-4.7381180000000002E-2</v>
      </c>
      <c r="Q58">
        <v>-2.6708999999999999E-3</v>
      </c>
      <c r="R58">
        <v>1.5581869999999999E-2</v>
      </c>
      <c r="S58">
        <v>-1.8252770000000001E-2</v>
      </c>
      <c r="U58" s="15">
        <f t="shared" si="13"/>
        <v>-2.508360000000015E-3</v>
      </c>
      <c r="V58" s="15">
        <f t="shared" si="14"/>
        <v>-3.1416999999999695E-3</v>
      </c>
      <c r="W58" s="15"/>
      <c r="X58" s="15"/>
      <c r="Y58" s="16">
        <f t="shared" si="15"/>
        <v>1.649577E-2</v>
      </c>
      <c r="Z58" s="16">
        <f t="shared" si="16"/>
        <v>-2.6708999999999999E-3</v>
      </c>
      <c r="AA58" s="16">
        <f t="shared" si="17"/>
        <v>6.3876950000000002E-2</v>
      </c>
      <c r="AB58" s="16">
        <f t="shared" si="18"/>
        <v>1.5581869999999999E-2</v>
      </c>
      <c r="AC58" s="17">
        <f t="shared" si="19"/>
        <v>0.95749138869607964</v>
      </c>
      <c r="AD58" s="17">
        <f t="shared" si="20"/>
        <v>3.7699157544897242</v>
      </c>
      <c r="AE58" s="17">
        <f t="shared" si="21"/>
        <v>350.80281513830511</v>
      </c>
      <c r="AF58" s="17">
        <f t="shared" si="22"/>
        <v>350.33786521830513</v>
      </c>
    </row>
    <row r="59" spans="1:32" x14ac:dyDescent="0.25">
      <c r="A59" s="14">
        <v>57</v>
      </c>
      <c r="B59" t="s">
        <v>60</v>
      </c>
      <c r="C59">
        <v>200</v>
      </c>
      <c r="D59">
        <v>9</v>
      </c>
      <c r="E59">
        <v>-0.46409980000000001</v>
      </c>
      <c r="F59">
        <v>-0.46567776</v>
      </c>
      <c r="G59">
        <v>1.5779100000000001E-3</v>
      </c>
      <c r="H59">
        <v>0.66222784000000001</v>
      </c>
      <c r="I59">
        <v>0.66390009999999999</v>
      </c>
      <c r="J59">
        <v>-1.6722099999999999E-3</v>
      </c>
      <c r="K59">
        <v>22.91</v>
      </c>
      <c r="L59">
        <v>22.92</v>
      </c>
      <c r="M59">
        <v>-0.01</v>
      </c>
      <c r="N59">
        <v>1.6041119999999999E-2</v>
      </c>
      <c r="O59">
        <v>6.5504549999999995E-2</v>
      </c>
      <c r="P59">
        <v>-4.9463430000000003E-2</v>
      </c>
      <c r="Q59">
        <v>1.8730999999999999E-3</v>
      </c>
      <c r="R59">
        <v>1.099528E-2</v>
      </c>
      <c r="S59">
        <v>-9.1221800000000006E-3</v>
      </c>
      <c r="U59" s="15">
        <f t="shared" si="13"/>
        <v>-7.8897999999999469E-4</v>
      </c>
      <c r="V59" s="15">
        <f t="shared" si="14"/>
        <v>-8.3612999999999049E-4</v>
      </c>
      <c r="W59" s="15"/>
      <c r="X59" s="15"/>
      <c r="Y59" s="16">
        <f t="shared" si="15"/>
        <v>1.6041119999999999E-2</v>
      </c>
      <c r="Z59" s="16">
        <f t="shared" si="16"/>
        <v>1.8730999999999999E-3</v>
      </c>
      <c r="AA59" s="16">
        <f t="shared" si="17"/>
        <v>6.5504549999999995E-2</v>
      </c>
      <c r="AB59" s="16">
        <f t="shared" si="18"/>
        <v>1.099528E-2</v>
      </c>
      <c r="AC59" s="17">
        <f t="shared" si="19"/>
        <v>0.92537333865408378</v>
      </c>
      <c r="AD59" s="17">
        <f t="shared" si="20"/>
        <v>3.8084437774379971</v>
      </c>
      <c r="AE59" s="17">
        <f t="shared" si="21"/>
        <v>6.6601899858777074</v>
      </c>
      <c r="AF59" s="17">
        <f t="shared" si="22"/>
        <v>6.1945122258777072</v>
      </c>
    </row>
    <row r="60" spans="1:32" x14ac:dyDescent="0.25">
      <c r="A60" s="14">
        <v>58</v>
      </c>
      <c r="B60" t="s">
        <v>60</v>
      </c>
      <c r="C60">
        <v>210</v>
      </c>
      <c r="D60">
        <v>10</v>
      </c>
      <c r="E60">
        <v>-0.46407480000000001</v>
      </c>
      <c r="F60">
        <v>-0.46597996000000003</v>
      </c>
      <c r="G60">
        <v>1.9051700000000001E-3</v>
      </c>
      <c r="H60">
        <v>0.66133500000000001</v>
      </c>
      <c r="I60">
        <v>0.67128504</v>
      </c>
      <c r="J60">
        <v>-9.9500400000000003E-3</v>
      </c>
      <c r="K60">
        <v>22.82</v>
      </c>
      <c r="L60">
        <v>22.83</v>
      </c>
      <c r="M60">
        <v>-0.01</v>
      </c>
      <c r="N60">
        <v>1.5575439999999999E-2</v>
      </c>
      <c r="O60">
        <v>6.5725099999999995E-2</v>
      </c>
      <c r="P60">
        <v>-5.0149659999999999E-2</v>
      </c>
      <c r="Q60">
        <v>6.0542E-3</v>
      </c>
      <c r="R60">
        <v>7.0112300000000002E-3</v>
      </c>
      <c r="S60">
        <v>-9.5702999999999999E-4</v>
      </c>
      <c r="U60" s="15">
        <f t="shared" si="13"/>
        <v>-9.5258000000000842E-4</v>
      </c>
      <c r="V60" s="15">
        <f t="shared" si="14"/>
        <v>-4.9750199999999967E-3</v>
      </c>
      <c r="W60" s="15"/>
      <c r="X60" s="15"/>
      <c r="Y60" s="16">
        <f t="shared" si="15"/>
        <v>1.5575439999999999E-2</v>
      </c>
      <c r="Z60" s="16">
        <f t="shared" si="16"/>
        <v>6.0542E-3</v>
      </c>
      <c r="AA60" s="16">
        <f t="shared" si="17"/>
        <v>6.5725099999999995E-2</v>
      </c>
      <c r="AB60" s="16">
        <f t="shared" si="18"/>
        <v>7.0112300000000002E-3</v>
      </c>
      <c r="AC60" s="17">
        <f t="shared" si="19"/>
        <v>0.95749744827554617</v>
      </c>
      <c r="AD60" s="17">
        <f t="shared" si="20"/>
        <v>3.7898997245999264</v>
      </c>
      <c r="AE60" s="17">
        <f t="shared" si="21"/>
        <v>21.241188696538345</v>
      </c>
      <c r="AF60" s="17">
        <f t="shared" si="22"/>
        <v>20.775208736538346</v>
      </c>
    </row>
    <row r="61" spans="1:32" x14ac:dyDescent="0.25">
      <c r="A61" s="14">
        <v>59</v>
      </c>
      <c r="B61" t="s">
        <v>60</v>
      </c>
      <c r="C61">
        <v>220</v>
      </c>
      <c r="D61">
        <v>7</v>
      </c>
      <c r="E61">
        <v>-0.46042129999999998</v>
      </c>
      <c r="F61">
        <v>-0.46657852</v>
      </c>
      <c r="G61">
        <v>6.1572500000000004E-3</v>
      </c>
      <c r="H61">
        <v>0.63701419999999997</v>
      </c>
      <c r="I61">
        <v>0.63741415999999995</v>
      </c>
      <c r="J61">
        <v>-3.9994999999999999E-4</v>
      </c>
      <c r="K61">
        <v>23.33</v>
      </c>
      <c r="L61">
        <v>23.33</v>
      </c>
      <c r="M61">
        <v>0</v>
      </c>
      <c r="N61">
        <v>1.479597E-2</v>
      </c>
      <c r="O61">
        <v>6.3942869999999999E-2</v>
      </c>
      <c r="P61">
        <v>-4.91469E-2</v>
      </c>
      <c r="Q61">
        <v>1.017264E-2</v>
      </c>
      <c r="R61">
        <v>2.0765900000000001E-3</v>
      </c>
      <c r="S61">
        <v>8.0960500000000005E-3</v>
      </c>
      <c r="U61" s="15">
        <f t="shared" si="13"/>
        <v>-3.0786100000000094E-3</v>
      </c>
      <c r="V61" s="15">
        <f t="shared" si="14"/>
        <v>-1.999799999999885E-4</v>
      </c>
      <c r="W61" s="15"/>
      <c r="X61" s="15"/>
      <c r="Y61" s="16">
        <f t="shared" si="15"/>
        <v>1.479597E-2</v>
      </c>
      <c r="Z61" s="16">
        <f t="shared" si="16"/>
        <v>1.017264E-2</v>
      </c>
      <c r="AA61" s="16">
        <f t="shared" si="17"/>
        <v>6.3942869999999999E-2</v>
      </c>
      <c r="AB61" s="16">
        <f t="shared" si="18"/>
        <v>2.0765900000000001E-3</v>
      </c>
      <c r="AC61" s="17">
        <f t="shared" si="19"/>
        <v>1.0288350063795544</v>
      </c>
      <c r="AD61" s="17">
        <f t="shared" si="20"/>
        <v>3.6680932097648418</v>
      </c>
      <c r="AE61" s="17">
        <f t="shared" si="21"/>
        <v>34.509602723628475</v>
      </c>
      <c r="AF61" s="17">
        <f t="shared" si="22"/>
        <v>34.043024203628477</v>
      </c>
    </row>
    <row r="62" spans="1:32" x14ac:dyDescent="0.25">
      <c r="A62" s="14">
        <v>60</v>
      </c>
      <c r="B62" t="s">
        <v>60</v>
      </c>
      <c r="C62">
        <v>230</v>
      </c>
      <c r="D62">
        <v>14</v>
      </c>
      <c r="E62">
        <v>-0.46526424</v>
      </c>
      <c r="F62">
        <v>-0.4626248</v>
      </c>
      <c r="G62">
        <v>-2.6394399999999998E-3</v>
      </c>
      <c r="H62">
        <v>0.64728220000000003</v>
      </c>
      <c r="I62">
        <v>0.6509393</v>
      </c>
      <c r="J62">
        <v>-3.6570999999999999E-3</v>
      </c>
      <c r="K62">
        <v>23.14</v>
      </c>
      <c r="L62">
        <v>23.14</v>
      </c>
      <c r="M62">
        <v>0.01</v>
      </c>
      <c r="N62">
        <v>1.6342599999999999E-2</v>
      </c>
      <c r="O62">
        <v>6.3795519999999994E-2</v>
      </c>
      <c r="P62">
        <v>-4.7452920000000003E-2</v>
      </c>
      <c r="Q62">
        <v>1.4557580000000001E-2</v>
      </c>
      <c r="R62">
        <v>-2.15489E-3</v>
      </c>
      <c r="S62">
        <v>1.671247E-2</v>
      </c>
      <c r="U62" s="15">
        <f t="shared" si="13"/>
        <v>1.3197199999999965E-3</v>
      </c>
      <c r="V62" s="15">
        <f t="shared" si="14"/>
        <v>-1.8285499999999844E-3</v>
      </c>
      <c r="W62" s="15"/>
      <c r="X62" s="15"/>
      <c r="Y62" s="16">
        <f t="shared" si="15"/>
        <v>1.6342599999999999E-2</v>
      </c>
      <c r="Z62" s="16">
        <f t="shared" si="16"/>
        <v>1.4557580000000001E-2</v>
      </c>
      <c r="AA62" s="16">
        <f t="shared" si="17"/>
        <v>6.3795519999999994E-2</v>
      </c>
      <c r="AB62" s="16">
        <f t="shared" si="18"/>
        <v>-2.15489E-3</v>
      </c>
      <c r="AC62" s="17">
        <f t="shared" si="19"/>
        <v>1.2540843511312414</v>
      </c>
      <c r="AD62" s="17">
        <f t="shared" si="20"/>
        <v>3.6597868598693704</v>
      </c>
      <c r="AE62" s="17">
        <f t="shared" si="21"/>
        <v>41.693851796231876</v>
      </c>
      <c r="AF62" s="17">
        <f t="shared" si="22"/>
        <v>41.231226996231875</v>
      </c>
    </row>
    <row r="63" spans="1:32" x14ac:dyDescent="0.25">
      <c r="A63" s="14">
        <v>61</v>
      </c>
      <c r="B63" t="s">
        <v>60</v>
      </c>
      <c r="C63">
        <v>240</v>
      </c>
      <c r="D63">
        <v>8</v>
      </c>
      <c r="E63">
        <v>-0.46713120000000002</v>
      </c>
      <c r="F63">
        <v>-0.47158744000000002</v>
      </c>
      <c r="G63">
        <v>4.4562500000000001E-3</v>
      </c>
      <c r="H63">
        <v>0.64982499999999999</v>
      </c>
      <c r="I63">
        <v>0.65511244000000002</v>
      </c>
      <c r="J63">
        <v>-5.2874699999999998E-3</v>
      </c>
      <c r="K63">
        <v>23.09</v>
      </c>
      <c r="L63">
        <v>23.09</v>
      </c>
      <c r="M63">
        <v>0</v>
      </c>
      <c r="N63">
        <v>1.8229370000000002E-2</v>
      </c>
      <c r="O63">
        <v>6.2520149999999997E-2</v>
      </c>
      <c r="P63">
        <v>-4.4290780000000002E-2</v>
      </c>
      <c r="Q63">
        <v>1.8604740000000002E-2</v>
      </c>
      <c r="R63">
        <v>-5.7623300000000004E-3</v>
      </c>
      <c r="S63">
        <v>2.4367070000000001E-2</v>
      </c>
      <c r="U63" s="15">
        <f t="shared" si="13"/>
        <v>-2.2281200000000001E-3</v>
      </c>
      <c r="V63" s="15">
        <f t="shared" si="14"/>
        <v>-2.6437200000000161E-3</v>
      </c>
      <c r="W63" s="15"/>
      <c r="X63" s="15"/>
      <c r="Y63" s="16">
        <f t="shared" si="15"/>
        <v>1.8229370000000002E-2</v>
      </c>
      <c r="Z63" s="16">
        <f t="shared" si="16"/>
        <v>1.8604740000000002E-2</v>
      </c>
      <c r="AA63" s="16">
        <f t="shared" si="17"/>
        <v>6.2520149999999997E-2</v>
      </c>
      <c r="AB63" s="16">
        <f t="shared" si="18"/>
        <v>-5.7623300000000004E-3</v>
      </c>
      <c r="AC63" s="17">
        <f t="shared" si="19"/>
        <v>1.4925520500888674</v>
      </c>
      <c r="AD63" s="17">
        <f t="shared" si="20"/>
        <v>3.5996910740683963</v>
      </c>
      <c r="AE63" s="17">
        <f t="shared" si="21"/>
        <v>45.583871098731819</v>
      </c>
      <c r="AF63" s="17">
        <f t="shared" si="22"/>
        <v>45.112283658731819</v>
      </c>
    </row>
    <row r="64" spans="1:32" x14ac:dyDescent="0.25">
      <c r="A64" s="14">
        <v>62</v>
      </c>
      <c r="B64" t="s">
        <v>60</v>
      </c>
      <c r="C64">
        <v>250</v>
      </c>
      <c r="D64">
        <v>6</v>
      </c>
      <c r="E64">
        <v>-0.46477488</v>
      </c>
      <c r="F64">
        <v>-0.46575</v>
      </c>
      <c r="G64">
        <v>9.7510000000000001E-4</v>
      </c>
      <c r="H64">
        <v>0.64944999999999997</v>
      </c>
      <c r="I64">
        <v>0.65823332000000001</v>
      </c>
      <c r="J64">
        <v>-8.7833400000000006E-3</v>
      </c>
      <c r="K64">
        <v>23.07</v>
      </c>
      <c r="L64">
        <v>23.05</v>
      </c>
      <c r="M64">
        <v>0.02</v>
      </c>
      <c r="N64">
        <v>2.0638839999999999E-2</v>
      </c>
      <c r="O64">
        <v>6.042318E-2</v>
      </c>
      <c r="P64">
        <v>-3.9784340000000001E-2</v>
      </c>
      <c r="Q64">
        <v>2.1796059999999999E-2</v>
      </c>
      <c r="R64">
        <v>-9.4673699999999993E-3</v>
      </c>
      <c r="S64">
        <v>3.1263430000000002E-2</v>
      </c>
      <c r="U64" s="15">
        <f t="shared" si="13"/>
        <v>-4.8755999999999799E-4</v>
      </c>
      <c r="V64" s="15">
        <f t="shared" si="14"/>
        <v>-4.3916600000000194E-3</v>
      </c>
      <c r="W64" s="15"/>
      <c r="X64" s="15"/>
      <c r="Y64" s="16">
        <f t="shared" si="15"/>
        <v>2.0638839999999999E-2</v>
      </c>
      <c r="Z64" s="16">
        <f t="shared" si="16"/>
        <v>2.1796059999999999E-2</v>
      </c>
      <c r="AA64" s="16">
        <f t="shared" si="17"/>
        <v>6.042318E-2</v>
      </c>
      <c r="AB64" s="16">
        <f t="shared" si="18"/>
        <v>-9.4673699999999993E-3</v>
      </c>
      <c r="AC64" s="17">
        <f t="shared" si="19"/>
        <v>1.7201150106260672</v>
      </c>
      <c r="AD64" s="17">
        <f t="shared" si="20"/>
        <v>3.5064198396981316</v>
      </c>
      <c r="AE64" s="17">
        <f t="shared" si="21"/>
        <v>46.562096129500119</v>
      </c>
      <c r="AF64" s="17">
        <f t="shared" si="22"/>
        <v>46.09634612950012</v>
      </c>
    </row>
    <row r="65" spans="1:32" x14ac:dyDescent="0.25">
      <c r="A65" s="14">
        <v>63</v>
      </c>
      <c r="B65" t="s">
        <v>60</v>
      </c>
      <c r="C65">
        <v>260</v>
      </c>
      <c r="D65">
        <v>13</v>
      </c>
      <c r="E65">
        <v>-0.46472688000000001</v>
      </c>
      <c r="F65">
        <v>-0.46704990000000002</v>
      </c>
      <c r="G65">
        <v>2.3230299999999998E-3</v>
      </c>
      <c r="H65">
        <v>0.64866919999999995</v>
      </c>
      <c r="I65">
        <v>0.65449999999999997</v>
      </c>
      <c r="J65">
        <v>-5.8308199999999996E-3</v>
      </c>
      <c r="K65">
        <v>23.09</v>
      </c>
      <c r="L65">
        <v>23.08</v>
      </c>
      <c r="M65">
        <v>0.01</v>
      </c>
      <c r="N65">
        <v>2.3786439999999999E-2</v>
      </c>
      <c r="O65">
        <v>5.7324600000000003E-2</v>
      </c>
      <c r="P65">
        <v>-3.3538159999999997E-2</v>
      </c>
      <c r="Q65">
        <v>2.5332219999999999E-2</v>
      </c>
      <c r="R65">
        <v>-1.259916E-2</v>
      </c>
      <c r="S65">
        <v>3.7931380000000001E-2</v>
      </c>
      <c r="U65" s="15">
        <f t="shared" si="13"/>
        <v>-1.1615100000000045E-3</v>
      </c>
      <c r="V65" s="15">
        <f t="shared" si="14"/>
        <v>-2.9154000000000124E-3</v>
      </c>
      <c r="W65" s="15"/>
      <c r="X65" s="15"/>
      <c r="Y65" s="16">
        <f t="shared" si="15"/>
        <v>2.3786439999999999E-2</v>
      </c>
      <c r="Z65" s="16">
        <f t="shared" si="16"/>
        <v>2.5332219999999999E-2</v>
      </c>
      <c r="AA65" s="16">
        <f t="shared" si="17"/>
        <v>5.7324600000000003E-2</v>
      </c>
      <c r="AB65" s="16">
        <f t="shared" si="18"/>
        <v>-1.259916E-2</v>
      </c>
      <c r="AC65" s="17">
        <f t="shared" si="19"/>
        <v>1.9913909939004535</v>
      </c>
      <c r="AD65" s="17">
        <f t="shared" si="20"/>
        <v>3.3647853468865638</v>
      </c>
      <c r="AE65" s="17">
        <f t="shared" si="21"/>
        <v>46.802521672321781</v>
      </c>
      <c r="AF65" s="17">
        <f t="shared" si="22"/>
        <v>46.335471772321782</v>
      </c>
    </row>
    <row r="66" spans="1:32" x14ac:dyDescent="0.25">
      <c r="A66" s="14">
        <v>64</v>
      </c>
      <c r="B66" t="s">
        <v>60</v>
      </c>
      <c r="C66">
        <v>270</v>
      </c>
      <c r="D66">
        <v>5</v>
      </c>
      <c r="E66">
        <v>-0.46344995999999999</v>
      </c>
      <c r="F66">
        <v>-0.46331995999999998</v>
      </c>
      <c r="G66">
        <v>-1.2999999999999999E-4</v>
      </c>
      <c r="H66">
        <v>0.65011996000000005</v>
      </c>
      <c r="I66">
        <v>0.65076007999999996</v>
      </c>
      <c r="J66">
        <v>-6.4008999999999995E-4</v>
      </c>
      <c r="K66">
        <v>23.04</v>
      </c>
      <c r="L66">
        <v>23.05</v>
      </c>
      <c r="M66">
        <v>-0.01</v>
      </c>
      <c r="N66">
        <v>2.817969E-2</v>
      </c>
      <c r="O66">
        <v>5.4395510000000001E-2</v>
      </c>
      <c r="P66">
        <v>-2.6215820000000001E-2</v>
      </c>
      <c r="Q66">
        <v>2.7564459999999999E-2</v>
      </c>
      <c r="R66">
        <v>-1.5359859999999999E-2</v>
      </c>
      <c r="S66">
        <v>4.2924320000000002E-2</v>
      </c>
      <c r="U66" s="15">
        <f t="shared" si="13"/>
        <v>6.5000000000009495E-5</v>
      </c>
      <c r="V66" s="15">
        <f t="shared" si="14"/>
        <v>-3.2005999999995538E-4</v>
      </c>
      <c r="W66" s="15"/>
      <c r="X66" s="15"/>
      <c r="Y66" s="16">
        <f t="shared" si="15"/>
        <v>2.817969E-2</v>
      </c>
      <c r="Z66" s="16">
        <f t="shared" si="16"/>
        <v>2.7564459999999999E-2</v>
      </c>
      <c r="AA66" s="16">
        <f t="shared" si="17"/>
        <v>5.4395510000000001E-2</v>
      </c>
      <c r="AB66" s="16">
        <f t="shared" si="18"/>
        <v>-1.5359859999999999E-2</v>
      </c>
      <c r="AC66" s="17">
        <f t="shared" si="19"/>
        <v>2.2591544324365134</v>
      </c>
      <c r="AD66" s="17">
        <f t="shared" si="20"/>
        <v>3.2402295008809578</v>
      </c>
      <c r="AE66" s="17">
        <f t="shared" si="21"/>
        <v>44.367670844651883</v>
      </c>
      <c r="AF66" s="17">
        <f t="shared" si="22"/>
        <v>43.904350884651883</v>
      </c>
    </row>
    <row r="67" spans="1:32" x14ac:dyDescent="0.25">
      <c r="A67" s="14">
        <v>65</v>
      </c>
      <c r="B67" t="s">
        <v>60</v>
      </c>
      <c r="C67">
        <v>280</v>
      </c>
      <c r="D67">
        <v>5</v>
      </c>
      <c r="E67">
        <v>-0.46525991999999999</v>
      </c>
      <c r="F67">
        <v>-0.46407984000000002</v>
      </c>
      <c r="G67">
        <v>-1.18008E-3</v>
      </c>
      <c r="H67">
        <v>0.64358009999999999</v>
      </c>
      <c r="I67">
        <v>0.64795007999999998</v>
      </c>
      <c r="J67">
        <v>-4.3699699999999999E-3</v>
      </c>
      <c r="K67">
        <v>23.21</v>
      </c>
      <c r="L67">
        <v>23.23</v>
      </c>
      <c r="M67">
        <v>-0.03</v>
      </c>
      <c r="N67">
        <v>3.146728E-2</v>
      </c>
      <c r="O67">
        <v>4.9914550000000002E-2</v>
      </c>
      <c r="P67">
        <v>-1.844726E-2</v>
      </c>
      <c r="Q67">
        <v>2.9628419999999999E-2</v>
      </c>
      <c r="R67">
        <v>-1.7381839999999999E-2</v>
      </c>
      <c r="S67">
        <v>4.7010259999999998E-2</v>
      </c>
      <c r="U67" s="15">
        <f t="shared" si="13"/>
        <v>5.9003999999998613E-4</v>
      </c>
      <c r="V67" s="15">
        <f t="shared" si="14"/>
        <v>-2.1849899999999978E-3</v>
      </c>
      <c r="W67" s="15"/>
      <c r="X67" s="15"/>
      <c r="Y67" s="16">
        <f t="shared" si="15"/>
        <v>3.146728E-2</v>
      </c>
      <c r="Z67" s="16">
        <f t="shared" si="16"/>
        <v>2.9628419999999999E-2</v>
      </c>
      <c r="AA67" s="16">
        <f t="shared" si="17"/>
        <v>4.9914550000000002E-2</v>
      </c>
      <c r="AB67" s="16">
        <f t="shared" si="18"/>
        <v>-1.7381839999999999E-2</v>
      </c>
      <c r="AC67" s="17">
        <f t="shared" si="19"/>
        <v>2.4771380356757291</v>
      </c>
      <c r="AD67" s="17">
        <f t="shared" si="20"/>
        <v>3.0297474733656302</v>
      </c>
      <c r="AE67" s="17">
        <f t="shared" si="21"/>
        <v>43.276030558213357</v>
      </c>
      <c r="AF67" s="17">
        <f t="shared" si="22"/>
        <v>42.81195071821336</v>
      </c>
    </row>
    <row r="68" spans="1:32" x14ac:dyDescent="0.25">
      <c r="A68" s="14">
        <v>66</v>
      </c>
      <c r="B68" t="s">
        <v>60</v>
      </c>
      <c r="C68">
        <v>290</v>
      </c>
      <c r="D68">
        <v>8</v>
      </c>
      <c r="E68">
        <v>-0.46534364</v>
      </c>
      <c r="F68">
        <v>-0.46211864000000002</v>
      </c>
      <c r="G68">
        <v>-3.2250299999999998E-3</v>
      </c>
      <c r="H68">
        <v>0.64980623999999998</v>
      </c>
      <c r="I68">
        <v>0.65290619999999999</v>
      </c>
      <c r="J68">
        <v>-3.0999199999999999E-3</v>
      </c>
      <c r="K68">
        <v>23.08</v>
      </c>
      <c r="L68">
        <v>23.07</v>
      </c>
      <c r="M68">
        <v>0.01</v>
      </c>
      <c r="N68">
        <v>3.5873410000000001E-2</v>
      </c>
      <c r="O68">
        <v>4.5122679999999998E-2</v>
      </c>
      <c r="P68">
        <v>-9.2492700000000004E-3</v>
      </c>
      <c r="Q68">
        <v>3.0838319999999999E-2</v>
      </c>
      <c r="R68">
        <v>-1.8760990000000002E-2</v>
      </c>
      <c r="S68">
        <v>4.9599299999999999E-2</v>
      </c>
      <c r="U68" s="15">
        <f t="shared" si="13"/>
        <v>1.6124999999999889E-3</v>
      </c>
      <c r="V68" s="15">
        <f t="shared" si="14"/>
        <v>-1.5499800000000064E-3</v>
      </c>
      <c r="W68" s="15"/>
      <c r="X68" s="15"/>
      <c r="Y68" s="16">
        <f t="shared" si="15"/>
        <v>3.5873410000000001E-2</v>
      </c>
      <c r="Z68" s="16">
        <f t="shared" si="16"/>
        <v>3.0838319999999999E-2</v>
      </c>
      <c r="AA68" s="16">
        <f t="shared" si="17"/>
        <v>4.5122679999999998E-2</v>
      </c>
      <c r="AB68" s="16">
        <f t="shared" si="18"/>
        <v>-1.8760990000000002E-2</v>
      </c>
      <c r="AC68" s="17">
        <f t="shared" si="19"/>
        <v>2.7114739137205555</v>
      </c>
      <c r="AD68" s="17">
        <f t="shared" si="20"/>
        <v>2.8010161649031682</v>
      </c>
      <c r="AE68" s="17">
        <f t="shared" si="21"/>
        <v>40.683765427454496</v>
      </c>
      <c r="AF68" s="17">
        <f t="shared" si="22"/>
        <v>40.221646787454496</v>
      </c>
    </row>
    <row r="69" spans="1:32" x14ac:dyDescent="0.25">
      <c r="A69" s="14">
        <v>67</v>
      </c>
      <c r="B69" t="s">
        <v>60</v>
      </c>
      <c r="C69">
        <v>300</v>
      </c>
      <c r="D69">
        <v>3</v>
      </c>
      <c r="E69">
        <v>-0.46636660000000002</v>
      </c>
      <c r="F69">
        <v>-0.46678320000000001</v>
      </c>
      <c r="G69">
        <v>4.1658E-4</v>
      </c>
      <c r="H69">
        <v>0.64118324000000004</v>
      </c>
      <c r="I69">
        <v>0.64728330000000001</v>
      </c>
      <c r="J69">
        <v>-6.10006E-3</v>
      </c>
      <c r="K69">
        <v>23.29</v>
      </c>
      <c r="L69">
        <v>23.25</v>
      </c>
      <c r="M69">
        <v>0.04</v>
      </c>
      <c r="N69">
        <v>3.958822E-2</v>
      </c>
      <c r="O69">
        <v>4.0905759999999999E-2</v>
      </c>
      <c r="P69">
        <v>-1.3175400000000001E-3</v>
      </c>
      <c r="Q69">
        <v>3.103272E-2</v>
      </c>
      <c r="R69">
        <v>-1.9047040000000001E-2</v>
      </c>
      <c r="S69">
        <v>5.0079760000000001E-2</v>
      </c>
      <c r="U69" s="15">
        <f t="shared" si="13"/>
        <v>-2.082999999999946E-4</v>
      </c>
      <c r="V69" s="15">
        <f t="shared" si="14"/>
        <v>-3.0500299999999814E-3</v>
      </c>
      <c r="W69" s="15"/>
      <c r="X69" s="15"/>
      <c r="Y69" s="16">
        <f t="shared" si="15"/>
        <v>3.958822E-2</v>
      </c>
      <c r="Z69" s="16">
        <f t="shared" si="16"/>
        <v>3.103272E-2</v>
      </c>
      <c r="AA69" s="16">
        <f t="shared" si="17"/>
        <v>4.0905759999999999E-2</v>
      </c>
      <c r="AB69" s="16">
        <f t="shared" si="18"/>
        <v>-1.9047040000000001E-2</v>
      </c>
      <c r="AC69" s="17">
        <f t="shared" si="19"/>
        <v>2.883289532445815</v>
      </c>
      <c r="AD69" s="17">
        <f t="shared" si="20"/>
        <v>2.5862265770103789</v>
      </c>
      <c r="AE69" s="17">
        <f t="shared" si="21"/>
        <v>38.092462062412061</v>
      </c>
      <c r="AF69" s="17">
        <f t="shared" si="22"/>
        <v>37.625678862412059</v>
      </c>
    </row>
    <row r="70" spans="1:32" x14ac:dyDescent="0.25">
      <c r="A70" s="14">
        <v>68</v>
      </c>
      <c r="B70" t="s">
        <v>60</v>
      </c>
      <c r="C70">
        <v>310</v>
      </c>
      <c r="D70">
        <v>9</v>
      </c>
      <c r="E70">
        <v>-0.46269440000000001</v>
      </c>
      <c r="F70">
        <v>-0.46407767999999999</v>
      </c>
      <c r="G70">
        <v>1.3833000000000001E-3</v>
      </c>
      <c r="H70">
        <v>0.65351669999999995</v>
      </c>
      <c r="I70">
        <v>0.66073320000000002</v>
      </c>
      <c r="J70">
        <v>-7.2165099999999998E-3</v>
      </c>
      <c r="K70">
        <v>23</v>
      </c>
      <c r="L70">
        <v>23</v>
      </c>
      <c r="M70">
        <v>0</v>
      </c>
      <c r="N70">
        <v>4.5161949999999999E-2</v>
      </c>
      <c r="O70">
        <v>3.6710609999999998E-2</v>
      </c>
      <c r="P70">
        <v>8.4513399999999999E-3</v>
      </c>
      <c r="Q70">
        <v>3.1172419999999999E-2</v>
      </c>
      <c r="R70">
        <v>-1.8515630000000002E-2</v>
      </c>
      <c r="S70">
        <v>4.9688040000000003E-2</v>
      </c>
      <c r="U70" s="15">
        <f t="shared" si="13"/>
        <v>-6.9163999999999337E-4</v>
      </c>
      <c r="V70" s="15">
        <f t="shared" si="14"/>
        <v>-3.608250000000035E-3</v>
      </c>
      <c r="W70" s="15"/>
      <c r="X70" s="15"/>
      <c r="Y70" s="16">
        <f t="shared" si="15"/>
        <v>4.5161949999999999E-2</v>
      </c>
      <c r="Z70" s="16">
        <f t="shared" si="16"/>
        <v>3.1172419999999999E-2</v>
      </c>
      <c r="AA70" s="16">
        <f t="shared" si="17"/>
        <v>3.6710609999999998E-2</v>
      </c>
      <c r="AB70" s="16">
        <f t="shared" si="18"/>
        <v>-1.8515630000000002E-2</v>
      </c>
      <c r="AC70" s="17">
        <f t="shared" si="19"/>
        <v>3.145715211177277</v>
      </c>
      <c r="AD70" s="17">
        <f t="shared" si="20"/>
        <v>2.3564179886610135</v>
      </c>
      <c r="AE70" s="17">
        <f t="shared" si="21"/>
        <v>34.614849023296394</v>
      </c>
      <c r="AF70" s="17">
        <f t="shared" si="22"/>
        <v>34.150771343296391</v>
      </c>
    </row>
    <row r="71" spans="1:32" x14ac:dyDescent="0.25">
      <c r="A71" s="14">
        <v>69</v>
      </c>
      <c r="B71" t="s">
        <v>60</v>
      </c>
      <c r="C71">
        <v>320</v>
      </c>
      <c r="D71">
        <v>6</v>
      </c>
      <c r="E71">
        <v>-0.46862500000000001</v>
      </c>
      <c r="F71">
        <v>-0.45872484000000002</v>
      </c>
      <c r="G71">
        <v>-9.9001499999999999E-3</v>
      </c>
      <c r="H71">
        <v>0.64838320000000005</v>
      </c>
      <c r="I71">
        <v>0.6542249</v>
      </c>
      <c r="J71">
        <v>-5.8416700000000002E-3</v>
      </c>
      <c r="K71">
        <v>23.08</v>
      </c>
      <c r="L71">
        <v>23.09</v>
      </c>
      <c r="M71">
        <v>0</v>
      </c>
      <c r="N71">
        <v>4.8874920000000002E-2</v>
      </c>
      <c r="O71">
        <v>3.2851560000000002E-2</v>
      </c>
      <c r="P71">
        <v>1.602336E-2</v>
      </c>
      <c r="Q71">
        <v>2.9562990000000001E-2</v>
      </c>
      <c r="R71">
        <v>-1.7193199999999999E-2</v>
      </c>
      <c r="S71">
        <v>4.6756190000000003E-2</v>
      </c>
      <c r="U71" s="15">
        <f t="shared" si="13"/>
        <v>4.9500799999999956E-3</v>
      </c>
      <c r="V71" s="15">
        <f t="shared" si="14"/>
        <v>-2.9208499999999749E-3</v>
      </c>
      <c r="W71" s="15"/>
      <c r="X71" s="15"/>
      <c r="Y71" s="16">
        <f t="shared" si="15"/>
        <v>4.8874920000000002E-2</v>
      </c>
      <c r="Z71" s="16">
        <f t="shared" si="16"/>
        <v>2.9562990000000001E-2</v>
      </c>
      <c r="AA71" s="16">
        <f t="shared" si="17"/>
        <v>3.2851560000000002E-2</v>
      </c>
      <c r="AB71" s="16">
        <f t="shared" si="18"/>
        <v>-1.7193199999999999E-2</v>
      </c>
      <c r="AC71" s="17">
        <f t="shared" si="19"/>
        <v>3.2745341704570148</v>
      </c>
      <c r="AD71" s="17">
        <f t="shared" si="20"/>
        <v>2.1249409862001625</v>
      </c>
      <c r="AE71" s="17">
        <f t="shared" si="21"/>
        <v>31.168499949538869</v>
      </c>
      <c r="AF71" s="17">
        <f t="shared" si="22"/>
        <v>30.709775109538871</v>
      </c>
    </row>
    <row r="72" spans="1:32" x14ac:dyDescent="0.25">
      <c r="A72" s="14">
        <v>70</v>
      </c>
      <c r="B72" t="s">
        <v>60</v>
      </c>
      <c r="C72">
        <v>330</v>
      </c>
      <c r="D72">
        <v>11</v>
      </c>
      <c r="E72">
        <v>-0.46569991999999999</v>
      </c>
      <c r="F72">
        <v>-0.46023170000000002</v>
      </c>
      <c r="G72">
        <v>-5.46825E-3</v>
      </c>
      <c r="H72">
        <v>0.65206816000000001</v>
      </c>
      <c r="I72">
        <v>0.65578183999999995</v>
      </c>
      <c r="J72">
        <v>-3.7137300000000002E-3</v>
      </c>
      <c r="K72">
        <v>23.05</v>
      </c>
      <c r="L72">
        <v>23.04</v>
      </c>
      <c r="M72">
        <v>0.01</v>
      </c>
      <c r="N72">
        <v>5.2446729999999997E-2</v>
      </c>
      <c r="O72">
        <v>2.7918370000000001E-2</v>
      </c>
      <c r="P72">
        <v>2.4528370000000001E-2</v>
      </c>
      <c r="Q72">
        <v>2.7842459999999999E-2</v>
      </c>
      <c r="R72">
        <v>-1.5733750000000001E-2</v>
      </c>
      <c r="S72">
        <v>4.3576219999999999E-2</v>
      </c>
      <c r="U72" s="15">
        <f t="shared" si="13"/>
        <v>2.7341099999999841E-3</v>
      </c>
      <c r="V72" s="15">
        <f t="shared" si="14"/>
        <v>-1.8568399999999707E-3</v>
      </c>
      <c r="W72" s="15"/>
      <c r="X72" s="15"/>
      <c r="Y72" s="16">
        <f t="shared" si="15"/>
        <v>5.2446729999999997E-2</v>
      </c>
      <c r="Z72" s="16">
        <f t="shared" si="16"/>
        <v>2.7842459999999999E-2</v>
      </c>
      <c r="AA72" s="16">
        <f t="shared" si="17"/>
        <v>2.7918370000000001E-2</v>
      </c>
      <c r="AB72" s="16">
        <f t="shared" si="18"/>
        <v>-1.5733750000000001E-2</v>
      </c>
      <c r="AC72" s="17">
        <f t="shared" si="19"/>
        <v>3.4041668063380652</v>
      </c>
      <c r="AD72" s="17">
        <f t="shared" si="20"/>
        <v>1.8364508747934605</v>
      </c>
      <c r="AE72" s="17">
        <f t="shared" si="21"/>
        <v>27.962546491939133</v>
      </c>
      <c r="AF72" s="17">
        <f t="shared" si="22"/>
        <v>27.502314791939131</v>
      </c>
    </row>
    <row r="73" spans="1:32" x14ac:dyDescent="0.25">
      <c r="A73" s="14">
        <v>71</v>
      </c>
      <c r="B73" t="s">
        <v>60</v>
      </c>
      <c r="C73">
        <v>340</v>
      </c>
      <c r="D73">
        <v>5</v>
      </c>
      <c r="E73">
        <v>-0.46306999999999998</v>
      </c>
      <c r="F73">
        <v>-0.45390987999999999</v>
      </c>
      <c r="G73">
        <v>-9.1600999999999991E-3</v>
      </c>
      <c r="H73">
        <v>0.6621901</v>
      </c>
      <c r="I73">
        <v>0.66508009999999995</v>
      </c>
      <c r="J73">
        <v>-2.8899899999999998E-3</v>
      </c>
      <c r="K73">
        <v>22.87</v>
      </c>
      <c r="L73">
        <v>22.89</v>
      </c>
      <c r="M73">
        <v>-0.02</v>
      </c>
      <c r="N73">
        <v>5.7121089999999999E-2</v>
      </c>
      <c r="O73">
        <v>2.549512E-2</v>
      </c>
      <c r="P73">
        <v>3.1625979999999998E-2</v>
      </c>
      <c r="Q73">
        <v>2.5666020000000001E-2</v>
      </c>
      <c r="R73">
        <v>-1.35044E-2</v>
      </c>
      <c r="S73">
        <v>3.9170410000000003E-2</v>
      </c>
      <c r="U73" s="15">
        <f t="shared" si="13"/>
        <v>4.5800599999999969E-3</v>
      </c>
      <c r="V73" s="15">
        <f t="shared" si="14"/>
        <v>-1.4449999999999741E-3</v>
      </c>
      <c r="W73" s="15"/>
      <c r="X73" s="15"/>
      <c r="Y73" s="16">
        <f t="shared" si="15"/>
        <v>5.7121089999999999E-2</v>
      </c>
      <c r="Z73" s="16">
        <f t="shared" si="16"/>
        <v>2.5666020000000001E-2</v>
      </c>
      <c r="AA73" s="16">
        <f t="shared" si="17"/>
        <v>2.549512E-2</v>
      </c>
      <c r="AB73" s="16">
        <f t="shared" si="18"/>
        <v>-1.35044E-2</v>
      </c>
      <c r="AC73" s="17">
        <f t="shared" si="19"/>
        <v>3.590347789710882</v>
      </c>
      <c r="AD73" s="17">
        <f t="shared" si="20"/>
        <v>1.6532597770259461</v>
      </c>
      <c r="AE73" s="17">
        <f t="shared" si="21"/>
        <v>24.195647292486782</v>
      </c>
      <c r="AF73" s="17">
        <f t="shared" si="22"/>
        <v>23.741737412486781</v>
      </c>
    </row>
    <row r="74" spans="1:32" x14ac:dyDescent="0.25">
      <c r="A74" s="14">
        <v>72</v>
      </c>
      <c r="B74" t="s">
        <v>60</v>
      </c>
      <c r="C74">
        <v>350</v>
      </c>
      <c r="D74">
        <v>4</v>
      </c>
      <c r="E74">
        <v>-0.46941243999999999</v>
      </c>
      <c r="F74">
        <v>-0.46182484000000001</v>
      </c>
      <c r="G74">
        <v>-7.58758E-3</v>
      </c>
      <c r="H74">
        <v>0.66159999999999997</v>
      </c>
      <c r="I74">
        <v>0.65502499999999997</v>
      </c>
      <c r="J74">
        <v>6.5749900000000002E-3</v>
      </c>
      <c r="K74">
        <v>22.96</v>
      </c>
      <c r="L74">
        <v>22.96</v>
      </c>
      <c r="M74">
        <v>0</v>
      </c>
      <c r="N74">
        <v>5.8964839999999998E-2</v>
      </c>
      <c r="O74">
        <v>2.1926879999999999E-2</v>
      </c>
      <c r="P74">
        <v>3.7037960000000002E-2</v>
      </c>
      <c r="Q74">
        <v>2.2752689999999999E-2</v>
      </c>
      <c r="R74">
        <v>-1.068115E-2</v>
      </c>
      <c r="S74">
        <v>3.3433839999999999E-2</v>
      </c>
      <c r="U74" s="15">
        <f t="shared" si="13"/>
        <v>3.7937999999999861E-3</v>
      </c>
      <c r="V74" s="15">
        <f t="shared" si="14"/>
        <v>3.2874999999999988E-3</v>
      </c>
      <c r="W74" s="15"/>
      <c r="X74" s="15"/>
      <c r="Y74" s="16">
        <f t="shared" si="15"/>
        <v>5.8964839999999998E-2</v>
      </c>
      <c r="Z74" s="16">
        <f t="shared" si="16"/>
        <v>2.2752689999999999E-2</v>
      </c>
      <c r="AA74" s="16">
        <f t="shared" si="17"/>
        <v>2.1926879999999999E-2</v>
      </c>
      <c r="AB74" s="16">
        <f t="shared" si="18"/>
        <v>-1.068115E-2</v>
      </c>
      <c r="AC74" s="17">
        <f t="shared" si="19"/>
        <v>3.6236432058053345</v>
      </c>
      <c r="AD74" s="17">
        <f t="shared" si="20"/>
        <v>1.3975860942136624</v>
      </c>
      <c r="AE74" s="17">
        <f t="shared" si="21"/>
        <v>21.100043850471948</v>
      </c>
      <c r="AF74" s="17">
        <f t="shared" si="22"/>
        <v>20.63821901047195</v>
      </c>
    </row>
    <row r="77" spans="1:32" x14ac:dyDescent="0.25">
      <c r="A77">
        <v>1</v>
      </c>
      <c r="C77" s="14">
        <v>0</v>
      </c>
      <c r="K77">
        <f>(K3+K39)/2</f>
        <v>23.164999999999999</v>
      </c>
      <c r="L77">
        <f>(L3+L39)/2</f>
        <v>23.16</v>
      </c>
      <c r="M77">
        <f>K77-L77</f>
        <v>4.9999999999990052E-3</v>
      </c>
      <c r="U77">
        <f>(U3+U39)/2</f>
        <v>2.0083099999999993E-3</v>
      </c>
      <c r="V77">
        <f>(V3+V39)/2</f>
        <v>-1.633355000000003E-3</v>
      </c>
      <c r="AC77">
        <f>(AC3+AC39)/2</f>
        <v>3.6549297345139964</v>
      </c>
      <c r="AD77">
        <f>(AD3+AD39)/2</f>
        <v>1.1438770531956139</v>
      </c>
    </row>
    <row r="78" spans="1:32" x14ac:dyDescent="0.25">
      <c r="A78">
        <v>2</v>
      </c>
      <c r="C78" s="14">
        <v>10</v>
      </c>
      <c r="K78">
        <f t="shared" ref="K78:L78" si="23">(K4+K40)/2</f>
        <v>23.195</v>
      </c>
      <c r="L78">
        <f t="shared" si="23"/>
        <v>23.184999999999999</v>
      </c>
      <c r="M78">
        <f t="shared" ref="M78:M112" si="24">K78-L78</f>
        <v>1.0000000000001563E-2</v>
      </c>
      <c r="U78">
        <f t="shared" ref="U78:V78" si="25">(U4+U40)/2</f>
        <v>1.4111900000000066E-3</v>
      </c>
      <c r="V78">
        <f t="shared" si="25"/>
        <v>8.6943000000000437E-4</v>
      </c>
      <c r="AC78">
        <f t="shared" ref="AC78:AD78" si="26">(AC4+AC40)/2</f>
        <v>3.7109124777735136</v>
      </c>
      <c r="AD78">
        <f t="shared" si="26"/>
        <v>0.95165073905369435</v>
      </c>
    </row>
    <row r="79" spans="1:32" x14ac:dyDescent="0.25">
      <c r="A79">
        <v>3</v>
      </c>
      <c r="C79" s="14">
        <v>20</v>
      </c>
      <c r="K79">
        <f t="shared" ref="K79:L79" si="27">(K5+K41)/2</f>
        <v>23.14</v>
      </c>
      <c r="L79">
        <f t="shared" si="27"/>
        <v>23.145</v>
      </c>
      <c r="M79">
        <f t="shared" si="24"/>
        <v>-4.9999999999990052E-3</v>
      </c>
      <c r="U79">
        <f t="shared" ref="U79:V79" si="28">(U5+U41)/2</f>
        <v>3.7616199999999933E-3</v>
      </c>
      <c r="V79">
        <f t="shared" si="28"/>
        <v>-5.2622000000002167E-4</v>
      </c>
      <c r="AC79">
        <f t="shared" ref="AC79:AD79" si="29">(AC5+AC41)/2</f>
        <v>3.7471728041850096</v>
      </c>
      <c r="AD79">
        <f t="shared" si="29"/>
        <v>0.89139217730344211</v>
      </c>
    </row>
    <row r="80" spans="1:32" x14ac:dyDescent="0.25">
      <c r="A80">
        <v>4</v>
      </c>
      <c r="C80" s="14">
        <v>30</v>
      </c>
      <c r="K80">
        <f t="shared" ref="K80:L80" si="30">(K6+K42)/2</f>
        <v>23.125</v>
      </c>
      <c r="L80">
        <f t="shared" si="30"/>
        <v>23.11</v>
      </c>
      <c r="M80">
        <f t="shared" si="24"/>
        <v>1.5000000000000568E-2</v>
      </c>
      <c r="U80">
        <f t="shared" ref="U80:V80" si="31">(U6+U42)/2</f>
        <v>2.4970600000000093E-3</v>
      </c>
      <c r="V80">
        <f t="shared" si="31"/>
        <v>3.6160000000001746E-4</v>
      </c>
      <c r="AC80">
        <f t="shared" ref="AC80:AD80" si="32">(AC6+AC42)/2</f>
        <v>3.7328545183273962</v>
      </c>
      <c r="AD80">
        <f t="shared" si="32"/>
        <v>0.95656424234467574</v>
      </c>
    </row>
    <row r="81" spans="1:30" x14ac:dyDescent="0.25">
      <c r="A81">
        <v>5</v>
      </c>
      <c r="C81" s="14">
        <v>40</v>
      </c>
      <c r="K81">
        <f t="shared" ref="K81:L81" si="33">(K7+K43)/2</f>
        <v>22.994999999999997</v>
      </c>
      <c r="L81">
        <f t="shared" si="33"/>
        <v>23.005000000000003</v>
      </c>
      <c r="M81">
        <f t="shared" si="24"/>
        <v>-1.0000000000005116E-2</v>
      </c>
      <c r="U81">
        <f t="shared" ref="U81:V81" si="34">(U7+U43)/2</f>
        <v>4.4635600000000053E-3</v>
      </c>
      <c r="V81">
        <f t="shared" si="34"/>
        <v>4.6604299999999932E-3</v>
      </c>
      <c r="AC81">
        <f t="shared" ref="AC81:AD81" si="35">(AC7+AC43)/2</f>
        <v>3.7053553684500882</v>
      </c>
      <c r="AD81">
        <f t="shared" si="35"/>
        <v>1.0727796313924625</v>
      </c>
    </row>
    <row r="82" spans="1:30" x14ac:dyDescent="0.25">
      <c r="A82">
        <v>6</v>
      </c>
      <c r="C82" s="14">
        <v>50</v>
      </c>
      <c r="K82">
        <f t="shared" ref="K82:L82" si="36">(K8+K44)/2</f>
        <v>22.975000000000001</v>
      </c>
      <c r="L82">
        <f t="shared" si="36"/>
        <v>22.990000000000002</v>
      </c>
      <c r="M82">
        <f t="shared" si="24"/>
        <v>-1.5000000000000568E-2</v>
      </c>
      <c r="U82">
        <f t="shared" ref="U82:V82" si="37">(U8+U44)/2</f>
        <v>1.8500299999999886E-3</v>
      </c>
      <c r="V82">
        <f t="shared" si="37"/>
        <v>2.9562449999999685E-3</v>
      </c>
      <c r="AC82">
        <f t="shared" ref="AC82:AD82" si="38">(AC8+AC44)/2</f>
        <v>3.6327343787097428</v>
      </c>
      <c r="AD82">
        <f t="shared" si="38"/>
        <v>1.2674448191626404</v>
      </c>
    </row>
    <row r="83" spans="1:30" x14ac:dyDescent="0.25">
      <c r="A83">
        <v>7</v>
      </c>
      <c r="C83" s="14">
        <v>60</v>
      </c>
      <c r="K83">
        <f t="shared" ref="K83:L83" si="39">(K9+K45)/2</f>
        <v>22.93</v>
      </c>
      <c r="L83">
        <f t="shared" si="39"/>
        <v>22.935000000000002</v>
      </c>
      <c r="M83">
        <f t="shared" si="24"/>
        <v>-5.000000000002558E-3</v>
      </c>
      <c r="U83">
        <f t="shared" ref="U83:V83" si="40">(U9+U45)/2</f>
        <v>7.0001000000001479E-4</v>
      </c>
      <c r="V83">
        <f t="shared" si="40"/>
        <v>2.1813100000000196E-3</v>
      </c>
      <c r="AC83">
        <f t="shared" ref="AC83:AD83" si="41">(AC9+AC45)/2</f>
        <v>3.585252501743061</v>
      </c>
      <c r="AD83">
        <f t="shared" si="41"/>
        <v>1.5136426129633516</v>
      </c>
    </row>
    <row r="84" spans="1:30" x14ac:dyDescent="0.25">
      <c r="A84">
        <v>8</v>
      </c>
      <c r="C84" s="14">
        <v>70</v>
      </c>
      <c r="K84">
        <f t="shared" ref="K84:L84" si="42">(K10+K46)/2</f>
        <v>23.045000000000002</v>
      </c>
      <c r="L84">
        <f t="shared" si="42"/>
        <v>23.04</v>
      </c>
      <c r="M84">
        <f t="shared" si="24"/>
        <v>5.000000000002558E-3</v>
      </c>
      <c r="U84">
        <f t="shared" ref="U84:V84" si="43">(U10+U46)/2</f>
        <v>4.0322499999999317E-4</v>
      </c>
      <c r="V84">
        <f t="shared" si="43"/>
        <v>2.9146599999999856E-3</v>
      </c>
      <c r="AC84">
        <f t="shared" ref="AC84:AD84" si="44">(AC10+AC46)/2</f>
        <v>3.4472230337136676</v>
      </c>
      <c r="AD84">
        <f t="shared" si="44"/>
        <v>1.7128316104361472</v>
      </c>
    </row>
    <row r="85" spans="1:30" x14ac:dyDescent="0.25">
      <c r="A85">
        <v>9</v>
      </c>
      <c r="C85" s="14">
        <v>80</v>
      </c>
      <c r="K85">
        <f t="shared" ref="K85:L85" si="45">(K11+K47)/2</f>
        <v>23.145</v>
      </c>
      <c r="L85">
        <f t="shared" si="45"/>
        <v>23.145</v>
      </c>
      <c r="M85">
        <f t="shared" si="24"/>
        <v>0</v>
      </c>
      <c r="U85">
        <f t="shared" ref="U85:V85" si="46">(U11+U47)/2</f>
        <v>7.4751500000000415E-4</v>
      </c>
      <c r="V85">
        <f t="shared" si="46"/>
        <v>6.9545000000001411E-4</v>
      </c>
      <c r="AC85">
        <f t="shared" ref="AC85:AD85" si="47">(AC11+AC47)/2</f>
        <v>3.314035524813491</v>
      </c>
      <c r="AD85">
        <f t="shared" si="47"/>
        <v>1.9781582945872205</v>
      </c>
    </row>
    <row r="86" spans="1:30" x14ac:dyDescent="0.25">
      <c r="A86">
        <v>10</v>
      </c>
      <c r="C86" s="14">
        <v>90</v>
      </c>
      <c r="K86">
        <f t="shared" ref="K86:L86" si="48">(K12+K48)/2</f>
        <v>22.945</v>
      </c>
      <c r="L86">
        <f t="shared" si="48"/>
        <v>22.93</v>
      </c>
      <c r="M86">
        <f t="shared" si="24"/>
        <v>1.5000000000000568E-2</v>
      </c>
      <c r="U86">
        <f t="shared" ref="U86:V86" si="49">(U12+U48)/2</f>
        <v>-2.1843600000000102E-3</v>
      </c>
      <c r="V86">
        <f t="shared" si="49"/>
        <v>2.1386150000000104E-3</v>
      </c>
      <c r="AC86">
        <f t="shared" ref="AC86:AD86" si="50">(AC12+AC48)/2</f>
        <v>3.174442392855561</v>
      </c>
      <c r="AD86">
        <f t="shared" si="50"/>
        <v>2.2563123686069853</v>
      </c>
    </row>
    <row r="87" spans="1:30" x14ac:dyDescent="0.25">
      <c r="A87">
        <v>11</v>
      </c>
      <c r="C87" s="14">
        <v>100</v>
      </c>
      <c r="K87">
        <f t="shared" ref="K87:L87" si="51">(K13+K49)/2</f>
        <v>22.93</v>
      </c>
      <c r="L87">
        <f t="shared" si="51"/>
        <v>22.914999999999999</v>
      </c>
      <c r="M87">
        <f t="shared" si="24"/>
        <v>1.5000000000000568E-2</v>
      </c>
      <c r="U87">
        <f t="shared" ref="U87:V87" si="52">(U13+U49)/2</f>
        <v>-1.5656450000000044E-3</v>
      </c>
      <c r="V87">
        <f t="shared" si="52"/>
        <v>2.0468899999999957E-3</v>
      </c>
      <c r="AC87">
        <f t="shared" ref="AC87:AD87" si="53">(AC13+AC49)/2</f>
        <v>2.9657430021269615</v>
      </c>
      <c r="AD87">
        <f t="shared" si="53"/>
        <v>2.5322242954607228</v>
      </c>
    </row>
    <row r="88" spans="1:30" x14ac:dyDescent="0.25">
      <c r="A88">
        <v>12</v>
      </c>
      <c r="C88" s="14">
        <v>110</v>
      </c>
      <c r="K88">
        <f t="shared" ref="K88:L88" si="54">(K14+K50)/2</f>
        <v>23.105</v>
      </c>
      <c r="L88">
        <f t="shared" si="54"/>
        <v>23.1</v>
      </c>
      <c r="M88">
        <f t="shared" si="24"/>
        <v>4.9999999999990052E-3</v>
      </c>
      <c r="U88">
        <f t="shared" ref="U88:V88" si="55">(U14+U50)/2</f>
        <v>-3.8677500000000586E-4</v>
      </c>
      <c r="V88">
        <f t="shared" si="55"/>
        <v>-5.8431999999997153E-4</v>
      </c>
      <c r="AC88">
        <f t="shared" ref="AC88:AD88" si="56">(AC14+AC50)/2</f>
        <v>2.7753985293290246</v>
      </c>
      <c r="AD88">
        <f t="shared" si="56"/>
        <v>2.7022706943118173</v>
      </c>
    </row>
    <row r="89" spans="1:30" x14ac:dyDescent="0.25">
      <c r="A89">
        <v>13</v>
      </c>
      <c r="C89" s="14">
        <v>120</v>
      </c>
      <c r="K89">
        <f t="shared" ref="K89:L89" si="57">(K15+K51)/2</f>
        <v>23.024999999999999</v>
      </c>
      <c r="L89">
        <f t="shared" si="57"/>
        <v>23.04</v>
      </c>
      <c r="M89">
        <f t="shared" si="24"/>
        <v>-1.5000000000000568E-2</v>
      </c>
      <c r="U89">
        <f t="shared" ref="U89:V89" si="58">(U15+U51)/2</f>
        <v>-6.6855499999998735E-4</v>
      </c>
      <c r="V89">
        <f t="shared" si="58"/>
        <v>1.641965000000023E-3</v>
      </c>
      <c r="AC89">
        <f t="shared" ref="AC89:AD89" si="59">(AC15+AC51)/2</f>
        <v>2.5635469602719061</v>
      </c>
      <c r="AD89">
        <f t="shared" si="59"/>
        <v>2.9125173717201642</v>
      </c>
    </row>
    <row r="90" spans="1:30" x14ac:dyDescent="0.25">
      <c r="A90">
        <v>14</v>
      </c>
      <c r="C90" s="14">
        <v>130</v>
      </c>
      <c r="K90">
        <f t="shared" ref="K90:L90" si="60">(K16+K52)/2</f>
        <v>23.164999999999999</v>
      </c>
      <c r="L90">
        <f t="shared" si="60"/>
        <v>23.15</v>
      </c>
      <c r="M90">
        <f t="shared" si="24"/>
        <v>1.5000000000000568E-2</v>
      </c>
      <c r="U90">
        <f t="shared" ref="U90:V90" si="61">(U16+U52)/2</f>
        <v>-2.1587500000000009E-3</v>
      </c>
      <c r="V90">
        <f t="shared" si="61"/>
        <v>2.5734099999999704E-3</v>
      </c>
      <c r="AC90">
        <f t="shared" ref="AC90:AD90" si="62">(AC16+AC52)/2</f>
        <v>2.3010564544696948</v>
      </c>
      <c r="AD90">
        <f t="shared" si="62"/>
        <v>3.0885465606882123</v>
      </c>
    </row>
    <row r="91" spans="1:30" x14ac:dyDescent="0.25">
      <c r="A91">
        <v>15</v>
      </c>
      <c r="C91" s="14">
        <v>140</v>
      </c>
      <c r="K91">
        <f t="shared" ref="K91:L91" si="63">(K17+K53)/2</f>
        <v>23.004999999999999</v>
      </c>
      <c r="L91">
        <f t="shared" si="63"/>
        <v>23.015000000000001</v>
      </c>
      <c r="M91">
        <f t="shared" si="24"/>
        <v>-1.0000000000001563E-2</v>
      </c>
      <c r="U91">
        <f t="shared" ref="U91:V91" si="64">(U17+U53)/2</f>
        <v>-2.760744999999995E-3</v>
      </c>
      <c r="V91">
        <f t="shared" si="64"/>
        <v>7.7094999999999247E-5</v>
      </c>
      <c r="AC91">
        <f t="shared" ref="AC91:AD91" si="65">(AC17+AC53)/2</f>
        <v>2.1078567670506656</v>
      </c>
      <c r="AD91">
        <f t="shared" si="65"/>
        <v>3.2630752690164111</v>
      </c>
    </row>
    <row r="92" spans="1:30" x14ac:dyDescent="0.25">
      <c r="A92">
        <v>16</v>
      </c>
      <c r="C92" s="14">
        <v>150</v>
      </c>
      <c r="K92">
        <f t="shared" ref="K92:L92" si="66">(K18+K54)/2</f>
        <v>22.995000000000001</v>
      </c>
      <c r="L92">
        <f t="shared" si="66"/>
        <v>23.009999999999998</v>
      </c>
      <c r="M92">
        <f t="shared" si="24"/>
        <v>-1.4999999999997016E-2</v>
      </c>
      <c r="U92">
        <f t="shared" ref="U92:V92" si="67">(U18+U54)/2</f>
        <v>-2.6450249999999953E-3</v>
      </c>
      <c r="V92">
        <f t="shared" si="67"/>
        <v>8.2937499999999331E-4</v>
      </c>
      <c r="AC92">
        <f t="shared" ref="AC92:AD92" si="68">(AC18+AC54)/2</f>
        <v>1.8320937916738917</v>
      </c>
      <c r="AD92">
        <f t="shared" si="68"/>
        <v>3.4477260450886504</v>
      </c>
    </row>
    <row r="93" spans="1:30" x14ac:dyDescent="0.25">
      <c r="A93">
        <v>17</v>
      </c>
      <c r="C93" s="14">
        <v>160</v>
      </c>
      <c r="K93">
        <f t="shared" ref="K93:L93" si="69">(K19+K55)/2</f>
        <v>22.95</v>
      </c>
      <c r="L93">
        <f t="shared" si="69"/>
        <v>22.939999999999998</v>
      </c>
      <c r="M93">
        <f t="shared" si="24"/>
        <v>1.0000000000001563E-2</v>
      </c>
      <c r="U93">
        <f t="shared" ref="U93:V93" si="70">(U19+U55)/2</f>
        <v>-3.0500150000000031E-3</v>
      </c>
      <c r="V93">
        <f t="shared" si="70"/>
        <v>7.6630999999999228E-4</v>
      </c>
      <c r="AC93">
        <f t="shared" ref="AC93:AD93" si="71">(AC19+AC55)/2</f>
        <v>1.5801331623152337</v>
      </c>
      <c r="AD93">
        <f t="shared" si="71"/>
        <v>3.5670065676087956</v>
      </c>
    </row>
    <row r="94" spans="1:30" x14ac:dyDescent="0.25">
      <c r="A94">
        <v>18</v>
      </c>
      <c r="C94" s="14">
        <v>170</v>
      </c>
      <c r="K94">
        <f t="shared" ref="K94:L94" si="72">(K20+K56)/2</f>
        <v>22.89</v>
      </c>
      <c r="L94">
        <f t="shared" si="72"/>
        <v>22.880000000000003</v>
      </c>
      <c r="M94">
        <f t="shared" si="24"/>
        <v>9.9999999999980105E-3</v>
      </c>
      <c r="U94">
        <f t="shared" ref="U94:V94" si="73">(U20+U56)/2</f>
        <v>-2.7767900000000012E-3</v>
      </c>
      <c r="V94">
        <f t="shared" si="73"/>
        <v>2.6922499999998406E-4</v>
      </c>
      <c r="AC94">
        <f t="shared" ref="AC94:AD94" si="74">(AC20+AC56)/2</f>
        <v>1.352289910525508</v>
      </c>
      <c r="AD94">
        <f t="shared" si="74"/>
        <v>3.6688292767453015</v>
      </c>
    </row>
    <row r="95" spans="1:30" x14ac:dyDescent="0.25">
      <c r="A95">
        <v>19</v>
      </c>
      <c r="C95" s="14">
        <v>180</v>
      </c>
      <c r="K95">
        <f t="shared" ref="K95:L95" si="75">(K21+K57)/2</f>
        <v>22.935000000000002</v>
      </c>
      <c r="L95">
        <f t="shared" si="75"/>
        <v>22.94</v>
      </c>
      <c r="M95">
        <f t="shared" si="24"/>
        <v>-4.9999999999990052E-3</v>
      </c>
      <c r="U95">
        <f t="shared" ref="U95:V95" si="76">(U21+U57)/2</f>
        <v>-2.4943499999999924E-3</v>
      </c>
      <c r="V95">
        <f t="shared" si="76"/>
        <v>-1.1874799999999908E-3</v>
      </c>
      <c r="AC95">
        <f t="shared" ref="AC95:AD95" si="77">(AC21+AC57)/2</f>
        <v>1.1282818033773632</v>
      </c>
      <c r="AD95">
        <f t="shared" si="77"/>
        <v>3.721719678687653</v>
      </c>
    </row>
    <row r="96" spans="1:30" x14ac:dyDescent="0.25">
      <c r="A96">
        <v>20</v>
      </c>
      <c r="C96" s="14">
        <v>190</v>
      </c>
      <c r="K96">
        <f t="shared" ref="K96:L96" si="78">(K22+K58)/2</f>
        <v>23</v>
      </c>
      <c r="L96">
        <f t="shared" si="78"/>
        <v>23</v>
      </c>
      <c r="M96">
        <f t="shared" si="24"/>
        <v>0</v>
      </c>
      <c r="U96">
        <f t="shared" ref="U96:V96" si="79">(U22+U58)/2</f>
        <v>-1.6901000000000138E-3</v>
      </c>
      <c r="V96">
        <f t="shared" si="79"/>
        <v>-2.0599149999999677E-3</v>
      </c>
      <c r="AC96">
        <f t="shared" ref="AC96:AD96" si="80">(AC22+AC58)/2</f>
        <v>0.97342503785006451</v>
      </c>
      <c r="AD96">
        <f t="shared" si="80"/>
        <v>3.7894158174572219</v>
      </c>
    </row>
    <row r="97" spans="1:30" x14ac:dyDescent="0.25">
      <c r="A97">
        <v>21</v>
      </c>
      <c r="C97" s="14">
        <v>200</v>
      </c>
      <c r="K97">
        <f t="shared" ref="K97:L97" si="81">(K23+K59)/2</f>
        <v>22.895</v>
      </c>
      <c r="L97">
        <f t="shared" si="81"/>
        <v>22.905000000000001</v>
      </c>
      <c r="M97">
        <f t="shared" si="24"/>
        <v>-1.0000000000001563E-2</v>
      </c>
      <c r="U97">
        <f t="shared" ref="U97:V97" si="82">(U23+U59)/2</f>
        <v>-1.2902999999999942E-3</v>
      </c>
      <c r="V97">
        <f t="shared" si="82"/>
        <v>-1.0764299999999893E-3</v>
      </c>
      <c r="AC97">
        <f t="shared" ref="AC97:AD97" si="83">(AC23+AC59)/2</f>
        <v>0.91768222794850685</v>
      </c>
      <c r="AD97">
        <f t="shared" si="83"/>
        <v>3.7935813157865095</v>
      </c>
    </row>
    <row r="98" spans="1:30" x14ac:dyDescent="0.25">
      <c r="A98">
        <v>22</v>
      </c>
      <c r="C98" s="14">
        <v>210</v>
      </c>
      <c r="K98">
        <f t="shared" ref="K98:L98" si="84">(K24+K60)/2</f>
        <v>22.85</v>
      </c>
      <c r="L98">
        <f t="shared" si="84"/>
        <v>22.854999999999997</v>
      </c>
      <c r="M98">
        <f t="shared" si="24"/>
        <v>-4.9999999999954525E-3</v>
      </c>
      <c r="U98">
        <f t="shared" ref="U98:V98" si="85">(U24+U60)/2</f>
        <v>-1.6659000000000118E-3</v>
      </c>
      <c r="V98">
        <f t="shared" si="85"/>
        <v>-3.1916399999999956E-3</v>
      </c>
      <c r="AC98">
        <f t="shared" ref="AC98:AD98" si="86">(AC24+AC60)/2</f>
        <v>0.95523969686195853</v>
      </c>
      <c r="AD98">
        <f t="shared" si="86"/>
        <v>3.7813952563108457</v>
      </c>
    </row>
    <row r="99" spans="1:30" x14ac:dyDescent="0.25">
      <c r="A99">
        <v>23</v>
      </c>
      <c r="C99" s="14">
        <v>220</v>
      </c>
      <c r="K99">
        <f t="shared" ref="K99:L99" si="87">(K25+K61)/2</f>
        <v>23.1</v>
      </c>
      <c r="L99">
        <f t="shared" si="87"/>
        <v>23.11</v>
      </c>
      <c r="M99">
        <f t="shared" si="24"/>
        <v>-9.9999999999980105E-3</v>
      </c>
      <c r="U99">
        <f t="shared" ref="U99:V99" si="88">(U25+U61)/2</f>
        <v>-1.2627350000000009E-3</v>
      </c>
      <c r="V99">
        <f t="shared" si="88"/>
        <v>-8.9061999999998087E-4</v>
      </c>
      <c r="AC99">
        <f t="shared" ref="AC99:AD99" si="89">(AC25+AC61)/2</f>
        <v>1.0587091759027314</v>
      </c>
      <c r="AD99">
        <f t="shared" si="89"/>
        <v>3.6933216903235575</v>
      </c>
    </row>
    <row r="100" spans="1:30" x14ac:dyDescent="0.25">
      <c r="A100">
        <v>24</v>
      </c>
      <c r="C100" s="14">
        <v>230</v>
      </c>
      <c r="K100">
        <f t="shared" ref="K100:L100" si="90">(K26+K62)/2</f>
        <v>23.195</v>
      </c>
      <c r="L100">
        <f t="shared" si="90"/>
        <v>23.189999999999998</v>
      </c>
      <c r="M100">
        <f t="shared" si="24"/>
        <v>5.000000000002558E-3</v>
      </c>
      <c r="U100">
        <f t="shared" ref="U100:V100" si="91">(U26+U62)/2</f>
        <v>5.5985999999999536E-4</v>
      </c>
      <c r="V100">
        <f t="shared" si="91"/>
        <v>-5.5926500000000323E-4</v>
      </c>
      <c r="AC100">
        <f t="shared" ref="AC100:AD100" si="92">(AC26+AC62)/2</f>
        <v>1.2584320217560649</v>
      </c>
      <c r="AD100">
        <f t="shared" si="92"/>
        <v>3.6555128378987964</v>
      </c>
    </row>
    <row r="101" spans="1:30" x14ac:dyDescent="0.25">
      <c r="A101">
        <v>25</v>
      </c>
      <c r="C101" s="14">
        <v>240</v>
      </c>
      <c r="K101">
        <f t="shared" ref="K101:L101" si="93">(K27+K63)/2</f>
        <v>22.914999999999999</v>
      </c>
      <c r="L101">
        <f t="shared" si="93"/>
        <v>22.925000000000001</v>
      </c>
      <c r="M101">
        <f t="shared" si="24"/>
        <v>-1.0000000000001563E-2</v>
      </c>
      <c r="U101">
        <f t="shared" ref="U101:V101" si="94">(U27+U63)/2</f>
        <v>-7.7768500000000018E-4</v>
      </c>
      <c r="V101">
        <f t="shared" si="94"/>
        <v>-4.2252850000000231E-3</v>
      </c>
      <c r="AC101">
        <f t="shared" ref="AC101:AD101" si="95">(AC27+AC63)/2</f>
        <v>1.5032106940243408</v>
      </c>
      <c r="AD101">
        <f t="shared" si="95"/>
        <v>3.5883001995951425</v>
      </c>
    </row>
    <row r="102" spans="1:30" x14ac:dyDescent="0.25">
      <c r="A102">
        <v>26</v>
      </c>
      <c r="C102" s="14">
        <v>250</v>
      </c>
      <c r="K102">
        <f t="shared" ref="K102:L102" si="96">(K28+K64)/2</f>
        <v>22.995000000000001</v>
      </c>
      <c r="L102">
        <f t="shared" si="96"/>
        <v>23</v>
      </c>
      <c r="M102">
        <f t="shared" si="24"/>
        <v>-4.9999999999990052E-3</v>
      </c>
      <c r="U102">
        <f t="shared" ref="U102:V102" si="97">(U28+U64)/2</f>
        <v>6.2125999999999848E-4</v>
      </c>
      <c r="V102">
        <f t="shared" si="97"/>
        <v>-5.3108300000000164E-3</v>
      </c>
      <c r="AC102">
        <f t="shared" ref="AC102:AD102" si="98">(AC28+AC64)/2</f>
        <v>1.7393455949818202</v>
      </c>
      <c r="AD102">
        <f t="shared" si="98"/>
        <v>3.4665849153700785</v>
      </c>
    </row>
    <row r="103" spans="1:30" x14ac:dyDescent="0.25">
      <c r="A103">
        <v>27</v>
      </c>
      <c r="C103" s="14">
        <v>260</v>
      </c>
      <c r="K103">
        <f t="shared" ref="K103:L103" si="99">(K29+K65)/2</f>
        <v>23.02</v>
      </c>
      <c r="L103">
        <f t="shared" si="99"/>
        <v>23.009999999999998</v>
      </c>
      <c r="M103">
        <f t="shared" si="24"/>
        <v>1.0000000000001563E-2</v>
      </c>
      <c r="U103">
        <f t="shared" ref="U103:V103" si="100">(U29+U65)/2</f>
        <v>-1.3539800000000046E-3</v>
      </c>
      <c r="V103">
        <f t="shared" si="100"/>
        <v>-3.3398649999999974E-3</v>
      </c>
      <c r="AC103">
        <f t="shared" ref="AC103:AD103" si="101">(AC29+AC65)/2</f>
        <v>1.9979199524906135</v>
      </c>
      <c r="AD103">
        <f t="shared" si="101"/>
        <v>3.3497156107027171</v>
      </c>
    </row>
    <row r="104" spans="1:30" x14ac:dyDescent="0.25">
      <c r="A104">
        <v>28</v>
      </c>
      <c r="C104" s="14">
        <v>270</v>
      </c>
      <c r="K104">
        <f t="shared" ref="K104:L104" si="102">(K30+K66)/2</f>
        <v>23.105</v>
      </c>
      <c r="L104">
        <f t="shared" si="102"/>
        <v>23.11</v>
      </c>
      <c r="M104">
        <f t="shared" si="24"/>
        <v>-4.9999999999990052E-3</v>
      </c>
      <c r="U104">
        <f t="shared" ref="U104:V104" si="103">(U30+U66)/2</f>
        <v>-2.8749499999999872E-4</v>
      </c>
      <c r="V104">
        <f t="shared" si="103"/>
        <v>-1.0275449999999631E-3</v>
      </c>
      <c r="AC104">
        <f t="shared" ref="AC104:AD104" si="104">(AC30+AC66)/2</f>
        <v>2.2398786034583091</v>
      </c>
      <c r="AD104">
        <f t="shared" si="104"/>
        <v>3.1839983375740717</v>
      </c>
    </row>
    <row r="105" spans="1:30" x14ac:dyDescent="0.25">
      <c r="A105">
        <v>29</v>
      </c>
      <c r="C105" s="14">
        <v>280</v>
      </c>
      <c r="K105">
        <f t="shared" ref="K105:L105" si="105">(K31+K67)/2</f>
        <v>23.11</v>
      </c>
      <c r="L105">
        <f t="shared" si="105"/>
        <v>23.130000000000003</v>
      </c>
      <c r="M105">
        <f t="shared" si="24"/>
        <v>-2.0000000000003126E-2</v>
      </c>
      <c r="U105">
        <f t="shared" ref="U105:V105" si="106">(U31+U67)/2</f>
        <v>1.2478049999999907E-3</v>
      </c>
      <c r="V105">
        <f t="shared" si="106"/>
        <v>-3.2313750000000085E-3</v>
      </c>
      <c r="AC105">
        <f t="shared" ref="AC105:AD105" si="107">(AC31+AC67)/2</f>
        <v>2.4731073528473964</v>
      </c>
      <c r="AD105">
        <f t="shared" si="107"/>
        <v>3.0143333729975836</v>
      </c>
    </row>
    <row r="106" spans="1:30" x14ac:dyDescent="0.25">
      <c r="A106">
        <v>30</v>
      </c>
      <c r="C106" s="14">
        <v>290</v>
      </c>
      <c r="K106">
        <f t="shared" ref="K106:L106" si="108">(K32+K68)/2</f>
        <v>23.134999999999998</v>
      </c>
      <c r="L106">
        <f t="shared" si="108"/>
        <v>23.134999999999998</v>
      </c>
      <c r="M106">
        <f t="shared" si="24"/>
        <v>0</v>
      </c>
      <c r="U106">
        <f t="shared" ref="U106:V106" si="109">(U32+U68)/2</f>
        <v>1.531249999999984E-3</v>
      </c>
      <c r="V106">
        <f t="shared" si="109"/>
        <v>-1.9089149999999833E-3</v>
      </c>
      <c r="AC106">
        <f t="shared" ref="AC106:AD106" si="110">(AC32+AC68)/2</f>
        <v>2.6881705643210769</v>
      </c>
      <c r="AD106">
        <f t="shared" si="110"/>
        <v>2.7872227230377655</v>
      </c>
    </row>
    <row r="107" spans="1:30" x14ac:dyDescent="0.25">
      <c r="A107">
        <v>31</v>
      </c>
      <c r="C107" s="14">
        <v>300</v>
      </c>
      <c r="K107">
        <f t="shared" ref="K107:L107" si="111">(K33+K69)/2</f>
        <v>23.1</v>
      </c>
      <c r="L107">
        <f t="shared" si="111"/>
        <v>23.07</v>
      </c>
      <c r="M107">
        <f t="shared" si="24"/>
        <v>3.0000000000001137E-2</v>
      </c>
      <c r="U107">
        <f t="shared" ref="U107:V107" si="112">(U33+U69)/2</f>
        <v>6.2211500000000641E-4</v>
      </c>
      <c r="V107">
        <f t="shared" si="112"/>
        <v>-3.4600499999999923E-3</v>
      </c>
      <c r="AC107">
        <f t="shared" ref="AC107:AD107" si="113">(AC33+AC69)/2</f>
        <v>2.9014073977980801</v>
      </c>
      <c r="AD107">
        <f t="shared" si="113"/>
        <v>2.5857389735928225</v>
      </c>
    </row>
    <row r="108" spans="1:30" x14ac:dyDescent="0.25">
      <c r="A108">
        <v>32</v>
      </c>
      <c r="C108" s="14">
        <v>310</v>
      </c>
      <c r="K108">
        <f t="shared" ref="K108:L108" si="114">(K34+K70)/2</f>
        <v>23.074999999999999</v>
      </c>
      <c r="L108">
        <f t="shared" si="114"/>
        <v>23.08</v>
      </c>
      <c r="M108">
        <f t="shared" si="24"/>
        <v>-4.9999999999990052E-3</v>
      </c>
      <c r="U108">
        <f t="shared" ref="U108:V108" si="115">(U34+U70)/2</f>
        <v>2.1892100000000109E-3</v>
      </c>
      <c r="V108">
        <f t="shared" si="115"/>
        <v>-1.5191250000000101E-3</v>
      </c>
      <c r="AC108">
        <f t="shared" ref="AC108:AD108" si="116">(AC34+AC70)/2</f>
        <v>3.1052463142389652</v>
      </c>
      <c r="AD108">
        <f t="shared" si="116"/>
        <v>2.346855642573213</v>
      </c>
    </row>
    <row r="109" spans="1:30" x14ac:dyDescent="0.25">
      <c r="A109">
        <v>33</v>
      </c>
      <c r="C109">
        <v>320</v>
      </c>
      <c r="K109">
        <f t="shared" ref="K109:L109" si="117">(K35+K71)/2</f>
        <v>22.96</v>
      </c>
      <c r="L109">
        <f t="shared" si="117"/>
        <v>22.965</v>
      </c>
      <c r="M109">
        <f t="shared" si="24"/>
        <v>-4.9999999999990052E-3</v>
      </c>
      <c r="U109">
        <f t="shared" ref="U109:V109" si="118">(U35+U71)/2</f>
        <v>4.4475500000000084E-3</v>
      </c>
      <c r="V109">
        <f t="shared" si="118"/>
        <v>-1.5079249999999933E-3</v>
      </c>
      <c r="AC109">
        <f t="shared" ref="AC109:AD109" si="119">(AC35+AC71)/2</f>
        <v>3.2752014622827001</v>
      </c>
      <c r="AD109">
        <f t="shared" si="119"/>
        <v>2.1080037823479723</v>
      </c>
    </row>
    <row r="110" spans="1:30" x14ac:dyDescent="0.25">
      <c r="A110">
        <v>34</v>
      </c>
      <c r="C110">
        <v>330</v>
      </c>
      <c r="K110">
        <f t="shared" ref="K110:L110" si="120">(K36+K72)/2</f>
        <v>23.414999999999999</v>
      </c>
      <c r="L110">
        <f t="shared" si="120"/>
        <v>23.4</v>
      </c>
      <c r="M110">
        <f t="shared" si="24"/>
        <v>1.5000000000000568E-2</v>
      </c>
      <c r="U110">
        <f t="shared" ref="U110:V110" si="121">(U36+U72)/2</f>
        <v>2.5045850000000036E-3</v>
      </c>
      <c r="V110">
        <f t="shared" si="121"/>
        <v>4.0840450000000084E-3</v>
      </c>
      <c r="AC110">
        <f t="shared" ref="AC110:AD110" si="122">(AC36+AC72)/2</f>
        <v>3.408258477810874</v>
      </c>
      <c r="AD110">
        <f t="shared" si="122"/>
        <v>1.9269229243571389</v>
      </c>
    </row>
    <row r="111" spans="1:30" x14ac:dyDescent="0.25">
      <c r="A111">
        <v>35</v>
      </c>
      <c r="C111">
        <v>340</v>
      </c>
      <c r="K111">
        <f t="shared" ref="K111:L111" si="123">(K37+K73)/2</f>
        <v>22.950000000000003</v>
      </c>
      <c r="L111">
        <f t="shared" si="123"/>
        <v>22.96</v>
      </c>
      <c r="M111">
        <f t="shared" si="24"/>
        <v>-9.9999999999980105E-3</v>
      </c>
      <c r="U111">
        <f t="shared" ref="U111:V111" si="124">(U37+U73)/2</f>
        <v>2.1587350000000088E-3</v>
      </c>
      <c r="V111">
        <f t="shared" si="124"/>
        <v>-2.166239999999986E-3</v>
      </c>
      <c r="AC111">
        <f t="shared" ref="AC111:AD111" si="125">(AC37+AC73)/2</f>
        <v>3.5659861691460497</v>
      </c>
      <c r="AD111">
        <f t="shared" si="125"/>
        <v>1.6352789574680624</v>
      </c>
    </row>
    <row r="112" spans="1:30" x14ac:dyDescent="0.25">
      <c r="A112">
        <v>36</v>
      </c>
      <c r="C112">
        <v>350</v>
      </c>
      <c r="K112">
        <f t="shared" ref="K112:L112" si="126">(K38+K74)/2</f>
        <v>23</v>
      </c>
      <c r="L112">
        <f t="shared" si="126"/>
        <v>22.990000000000002</v>
      </c>
      <c r="M112">
        <f t="shared" si="24"/>
        <v>9.9999999999980105E-3</v>
      </c>
      <c r="U112">
        <f t="shared" ref="U112:V112" si="127">(U38+U74)/2</f>
        <v>2.5614899999999857E-3</v>
      </c>
      <c r="V112">
        <f t="shared" si="127"/>
        <v>1.5791649999999935E-3</v>
      </c>
      <c r="AC112">
        <f t="shared" ref="AC112:AD112" si="128">(AC38+AC74)/2</f>
        <v>3.5928855875403967</v>
      </c>
      <c r="AD112">
        <f t="shared" si="128"/>
        <v>1.3801042471510432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T19-1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2026-08-04T07:06:06Z</dcterms:modified>
</cp:coreProperties>
</file>