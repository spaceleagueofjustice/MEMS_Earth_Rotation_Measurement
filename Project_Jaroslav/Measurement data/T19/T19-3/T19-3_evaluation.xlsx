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3\"/>
    </mc:Choice>
  </mc:AlternateContent>
  <xr:revisionPtr revIDLastSave="0" documentId="13_ncr:1_{65E625DF-D9DE-48B6-9681-CA8F047A107B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3" sheetId="1" r:id="rId2"/>
    <sheet name="Regre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B113" i="3"/>
  <c r="B109" i="3"/>
  <c r="AA104" i="3"/>
  <c r="E104" i="3"/>
  <c r="J104" i="3" s="1"/>
  <c r="AA103" i="3"/>
  <c r="I103" i="3"/>
  <c r="E103" i="3"/>
  <c r="H103" i="3" s="1"/>
  <c r="AA102" i="3"/>
  <c r="I102" i="3"/>
  <c r="H102" i="3"/>
  <c r="G102" i="3"/>
  <c r="F102" i="3"/>
  <c r="E102" i="3"/>
  <c r="J102" i="3" s="1"/>
  <c r="AA101" i="3"/>
  <c r="G101" i="3"/>
  <c r="F101" i="3"/>
  <c r="E101" i="3"/>
  <c r="J101" i="3" s="1"/>
  <c r="AA100" i="3"/>
  <c r="J100" i="3"/>
  <c r="I100" i="3"/>
  <c r="H100" i="3"/>
  <c r="G100" i="3"/>
  <c r="F100" i="3"/>
  <c r="E100" i="3"/>
  <c r="AA99" i="3"/>
  <c r="E99" i="3"/>
  <c r="J99" i="3" s="1"/>
  <c r="AA98" i="3"/>
  <c r="J98" i="3"/>
  <c r="I98" i="3"/>
  <c r="H98" i="3"/>
  <c r="G98" i="3"/>
  <c r="E98" i="3"/>
  <c r="F98" i="3" s="1"/>
  <c r="AA97" i="3"/>
  <c r="E97" i="3"/>
  <c r="F97" i="3" s="1"/>
  <c r="AA96" i="3"/>
  <c r="J96" i="3"/>
  <c r="F96" i="3"/>
  <c r="E96" i="3"/>
  <c r="I96" i="3" s="1"/>
  <c r="AA95" i="3"/>
  <c r="I95" i="3"/>
  <c r="H95" i="3"/>
  <c r="G95" i="3"/>
  <c r="E95" i="3"/>
  <c r="J95" i="3" s="1"/>
  <c r="AA94" i="3"/>
  <c r="H94" i="3"/>
  <c r="E94" i="3"/>
  <c r="J94" i="3" s="1"/>
  <c r="AA93" i="3"/>
  <c r="J93" i="3"/>
  <c r="I93" i="3"/>
  <c r="H93" i="3"/>
  <c r="G93" i="3"/>
  <c r="F93" i="3"/>
  <c r="E93" i="3"/>
  <c r="AA92" i="3"/>
  <c r="E92" i="3"/>
  <c r="J92" i="3" s="1"/>
  <c r="AA91" i="3"/>
  <c r="I91" i="3"/>
  <c r="E91" i="3"/>
  <c r="H91" i="3" s="1"/>
  <c r="AA90" i="3"/>
  <c r="H90" i="3"/>
  <c r="G90" i="3"/>
  <c r="F90" i="3"/>
  <c r="E90" i="3"/>
  <c r="J90" i="3" s="1"/>
  <c r="AA89" i="3"/>
  <c r="J89" i="3"/>
  <c r="G89" i="3"/>
  <c r="F89" i="3"/>
  <c r="E89" i="3"/>
  <c r="I89" i="3" s="1"/>
  <c r="AA88" i="3"/>
  <c r="J88" i="3"/>
  <c r="I88" i="3"/>
  <c r="H88" i="3"/>
  <c r="G88" i="3"/>
  <c r="F88" i="3"/>
  <c r="E88" i="3"/>
  <c r="AA87" i="3"/>
  <c r="E87" i="3"/>
  <c r="J87" i="3" s="1"/>
  <c r="AA86" i="3"/>
  <c r="J86" i="3"/>
  <c r="I86" i="3"/>
  <c r="H86" i="3"/>
  <c r="G86" i="3"/>
  <c r="E86" i="3"/>
  <c r="F86" i="3" s="1"/>
  <c r="AA85" i="3"/>
  <c r="E85" i="3"/>
  <c r="G85" i="3" s="1"/>
  <c r="AA84" i="3"/>
  <c r="J84" i="3"/>
  <c r="I84" i="3"/>
  <c r="F84" i="3"/>
  <c r="E84" i="3"/>
  <c r="H84" i="3" s="1"/>
  <c r="AA83" i="3"/>
  <c r="I83" i="3"/>
  <c r="H83" i="3"/>
  <c r="G83" i="3"/>
  <c r="E83" i="3"/>
  <c r="J83" i="3" s="1"/>
  <c r="AA82" i="3"/>
  <c r="H82" i="3"/>
  <c r="E82" i="3"/>
  <c r="J82" i="3" s="1"/>
  <c r="AA81" i="3"/>
  <c r="J81" i="3"/>
  <c r="I81" i="3"/>
  <c r="H81" i="3"/>
  <c r="G81" i="3"/>
  <c r="F81" i="3"/>
  <c r="E81" i="3"/>
  <c r="AA80" i="3"/>
  <c r="E80" i="3"/>
  <c r="F80" i="3" s="1"/>
  <c r="AA79" i="3"/>
  <c r="I79" i="3"/>
  <c r="E79" i="3"/>
  <c r="H79" i="3" s="1"/>
  <c r="AA78" i="3"/>
  <c r="H78" i="3"/>
  <c r="G78" i="3"/>
  <c r="F78" i="3"/>
  <c r="E78" i="3"/>
  <c r="J78" i="3" s="1"/>
  <c r="AA77" i="3"/>
  <c r="E77" i="3"/>
  <c r="J77" i="3" s="1"/>
  <c r="AA76" i="3"/>
  <c r="J76" i="3"/>
  <c r="F76" i="3"/>
  <c r="E76" i="3"/>
  <c r="I76" i="3" s="1"/>
  <c r="AA75" i="3"/>
  <c r="J75" i="3"/>
  <c r="I75" i="3"/>
  <c r="H75" i="3"/>
  <c r="G75" i="3"/>
  <c r="F75" i="3"/>
  <c r="E75" i="3"/>
  <c r="AA74" i="3"/>
  <c r="H74" i="3"/>
  <c r="G74" i="3"/>
  <c r="F74" i="3"/>
  <c r="E74" i="3"/>
  <c r="J74" i="3" s="1"/>
  <c r="AA73" i="3"/>
  <c r="E73" i="3"/>
  <c r="J73" i="3" s="1"/>
  <c r="AA72" i="3"/>
  <c r="J72" i="3"/>
  <c r="F72" i="3"/>
  <c r="E72" i="3"/>
  <c r="I72" i="3" s="1"/>
  <c r="AA71" i="3"/>
  <c r="J71" i="3"/>
  <c r="I71" i="3"/>
  <c r="H71" i="3"/>
  <c r="G71" i="3"/>
  <c r="F71" i="3"/>
  <c r="E71" i="3"/>
  <c r="AA70" i="3"/>
  <c r="H70" i="3"/>
  <c r="G70" i="3"/>
  <c r="F70" i="3"/>
  <c r="E70" i="3"/>
  <c r="J70" i="3" s="1"/>
  <c r="AA69" i="3"/>
  <c r="E69" i="3"/>
  <c r="J69" i="3" s="1"/>
  <c r="AA68" i="3"/>
  <c r="J68" i="3"/>
  <c r="F68" i="3"/>
  <c r="E68" i="3"/>
  <c r="I68" i="3" s="1"/>
  <c r="AA67" i="3"/>
  <c r="J67" i="3"/>
  <c r="I67" i="3"/>
  <c r="H67" i="3"/>
  <c r="G67" i="3"/>
  <c r="F67" i="3"/>
  <c r="E67" i="3"/>
  <c r="AA66" i="3"/>
  <c r="H66" i="3"/>
  <c r="G66" i="3"/>
  <c r="F66" i="3"/>
  <c r="E66" i="3"/>
  <c r="J66" i="3" s="1"/>
  <c r="AA65" i="3"/>
  <c r="E65" i="3"/>
  <c r="J65" i="3" s="1"/>
  <c r="AA64" i="3"/>
  <c r="J64" i="3"/>
  <c r="F64" i="3"/>
  <c r="E64" i="3"/>
  <c r="I64" i="3" s="1"/>
  <c r="AA63" i="3"/>
  <c r="J63" i="3"/>
  <c r="I63" i="3"/>
  <c r="H63" i="3"/>
  <c r="G63" i="3"/>
  <c r="F63" i="3"/>
  <c r="E63" i="3"/>
  <c r="AA62" i="3"/>
  <c r="H62" i="3"/>
  <c r="G62" i="3"/>
  <c r="F62" i="3"/>
  <c r="E62" i="3"/>
  <c r="J62" i="3" s="1"/>
  <c r="AA61" i="3"/>
  <c r="E61" i="3"/>
  <c r="J61" i="3" s="1"/>
  <c r="AA60" i="3"/>
  <c r="J60" i="3"/>
  <c r="F60" i="3"/>
  <c r="E60" i="3"/>
  <c r="I60" i="3" s="1"/>
  <c r="AA59" i="3"/>
  <c r="J59" i="3"/>
  <c r="I59" i="3"/>
  <c r="H59" i="3"/>
  <c r="G59" i="3"/>
  <c r="F59" i="3"/>
  <c r="E59" i="3"/>
  <c r="AA58" i="3"/>
  <c r="H58" i="3"/>
  <c r="G58" i="3"/>
  <c r="F58" i="3"/>
  <c r="E58" i="3"/>
  <c r="J58" i="3" s="1"/>
  <c r="AA57" i="3"/>
  <c r="E57" i="3"/>
  <c r="J57" i="3" s="1"/>
  <c r="AA56" i="3"/>
  <c r="J56" i="3"/>
  <c r="F56" i="3"/>
  <c r="E56" i="3"/>
  <c r="I56" i="3" s="1"/>
  <c r="AA55" i="3"/>
  <c r="J55" i="3"/>
  <c r="I55" i="3"/>
  <c r="H55" i="3"/>
  <c r="G55" i="3"/>
  <c r="F55" i="3"/>
  <c r="E55" i="3"/>
  <c r="AA54" i="3"/>
  <c r="H54" i="3"/>
  <c r="G54" i="3"/>
  <c r="F54" i="3"/>
  <c r="E54" i="3"/>
  <c r="J54" i="3" s="1"/>
  <c r="AA53" i="3"/>
  <c r="E53" i="3"/>
  <c r="J53" i="3" s="1"/>
  <c r="AA52" i="3"/>
  <c r="J52" i="3"/>
  <c r="F52" i="3"/>
  <c r="E52" i="3"/>
  <c r="I52" i="3" s="1"/>
  <c r="AA51" i="3"/>
  <c r="J51" i="3"/>
  <c r="I51" i="3"/>
  <c r="H51" i="3"/>
  <c r="G51" i="3"/>
  <c r="F51" i="3"/>
  <c r="E51" i="3"/>
  <c r="AA50" i="3"/>
  <c r="H50" i="3"/>
  <c r="G50" i="3"/>
  <c r="F50" i="3"/>
  <c r="E50" i="3"/>
  <c r="J50" i="3" s="1"/>
  <c r="AA49" i="3"/>
  <c r="E49" i="3"/>
  <c r="J49" i="3" s="1"/>
  <c r="AA48" i="3"/>
  <c r="J48" i="3"/>
  <c r="F48" i="3"/>
  <c r="E48" i="3"/>
  <c r="I48" i="3" s="1"/>
  <c r="AA47" i="3"/>
  <c r="J47" i="3"/>
  <c r="I47" i="3"/>
  <c r="H47" i="3"/>
  <c r="G47" i="3"/>
  <c r="F47" i="3"/>
  <c r="E47" i="3"/>
  <c r="AA46" i="3"/>
  <c r="H46" i="3"/>
  <c r="G46" i="3"/>
  <c r="F46" i="3"/>
  <c r="E46" i="3"/>
  <c r="J46" i="3" s="1"/>
  <c r="AA45" i="3"/>
  <c r="E45" i="3"/>
  <c r="J45" i="3" s="1"/>
  <c r="AA44" i="3"/>
  <c r="J44" i="3"/>
  <c r="F44" i="3"/>
  <c r="E44" i="3"/>
  <c r="I44" i="3" s="1"/>
  <c r="AA43" i="3"/>
  <c r="J43" i="3"/>
  <c r="I43" i="3"/>
  <c r="H43" i="3"/>
  <c r="G43" i="3"/>
  <c r="F43" i="3"/>
  <c r="E43" i="3"/>
  <c r="AA42" i="3"/>
  <c r="H42" i="3"/>
  <c r="G42" i="3"/>
  <c r="F42" i="3"/>
  <c r="E42" i="3"/>
  <c r="J42" i="3" s="1"/>
  <c r="AA41" i="3"/>
  <c r="E41" i="3"/>
  <c r="J41" i="3" s="1"/>
  <c r="AA40" i="3"/>
  <c r="J40" i="3"/>
  <c r="F40" i="3"/>
  <c r="E40" i="3"/>
  <c r="I40" i="3" s="1"/>
  <c r="AA39" i="3"/>
  <c r="J39" i="3"/>
  <c r="I39" i="3"/>
  <c r="G39" i="3"/>
  <c r="F39" i="3"/>
  <c r="H39" i="3" s="1"/>
  <c r="E39" i="3"/>
  <c r="AA38" i="3"/>
  <c r="F38" i="3"/>
  <c r="H38" i="3" s="1"/>
  <c r="E38" i="3"/>
  <c r="J38" i="3" s="1"/>
  <c r="AA37" i="3"/>
  <c r="E37" i="3"/>
  <c r="AA36" i="3"/>
  <c r="J36" i="3"/>
  <c r="F36" i="3"/>
  <c r="E36" i="3"/>
  <c r="I36" i="3" s="1"/>
  <c r="AA35" i="3"/>
  <c r="J35" i="3"/>
  <c r="I35" i="3"/>
  <c r="H35" i="3"/>
  <c r="G35" i="3"/>
  <c r="F35" i="3"/>
  <c r="E35" i="3"/>
  <c r="AA34" i="3"/>
  <c r="F34" i="3"/>
  <c r="G34" i="3" s="1"/>
  <c r="E34" i="3"/>
  <c r="J34" i="3" s="1"/>
  <c r="AA33" i="3"/>
  <c r="E33" i="3"/>
  <c r="AA32" i="3"/>
  <c r="J32" i="3"/>
  <c r="F32" i="3"/>
  <c r="E32" i="3"/>
  <c r="I32" i="3" s="1"/>
  <c r="AA31" i="3"/>
  <c r="J31" i="3"/>
  <c r="I31" i="3"/>
  <c r="H31" i="3"/>
  <c r="G31" i="3"/>
  <c r="F31" i="3"/>
  <c r="E31" i="3"/>
  <c r="AA30" i="3"/>
  <c r="F30" i="3"/>
  <c r="H30" i="3" s="1"/>
  <c r="E30" i="3"/>
  <c r="J30" i="3" s="1"/>
  <c r="AA29" i="3"/>
  <c r="E29" i="3"/>
  <c r="AA28" i="3"/>
  <c r="J28" i="3"/>
  <c r="F28" i="3"/>
  <c r="E28" i="3"/>
  <c r="I28" i="3" s="1"/>
  <c r="AA27" i="3"/>
  <c r="J27" i="3"/>
  <c r="I27" i="3"/>
  <c r="H27" i="3"/>
  <c r="G27" i="3"/>
  <c r="F27" i="3"/>
  <c r="E27" i="3"/>
  <c r="AA26" i="3"/>
  <c r="F26" i="3"/>
  <c r="H26" i="3" s="1"/>
  <c r="E26" i="3"/>
  <c r="J26" i="3" s="1"/>
  <c r="AA25" i="3"/>
  <c r="E25" i="3"/>
  <c r="AA24" i="3"/>
  <c r="J24" i="3"/>
  <c r="F24" i="3"/>
  <c r="E24" i="3"/>
  <c r="I24" i="3" s="1"/>
  <c r="AA23" i="3"/>
  <c r="J23" i="3"/>
  <c r="I23" i="3"/>
  <c r="H23" i="3"/>
  <c r="G23" i="3"/>
  <c r="F23" i="3"/>
  <c r="E23" i="3"/>
  <c r="AA22" i="3"/>
  <c r="F22" i="3"/>
  <c r="H22" i="3" s="1"/>
  <c r="E22" i="3"/>
  <c r="J22" i="3" s="1"/>
  <c r="AA21" i="3"/>
  <c r="E21" i="3"/>
  <c r="AA20" i="3"/>
  <c r="J20" i="3"/>
  <c r="F20" i="3"/>
  <c r="E20" i="3"/>
  <c r="I20" i="3" s="1"/>
  <c r="AA19" i="3"/>
  <c r="J19" i="3"/>
  <c r="I19" i="3"/>
  <c r="H19" i="3"/>
  <c r="G19" i="3"/>
  <c r="F19" i="3"/>
  <c r="E19" i="3"/>
  <c r="AA18" i="3"/>
  <c r="F18" i="3"/>
  <c r="G18" i="3" s="1"/>
  <c r="E18" i="3"/>
  <c r="J18" i="3" s="1"/>
  <c r="AA17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O1" i="3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M94" i="1" s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M87" i="1" s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M79" i="1" s="1"/>
  <c r="L78" i="1"/>
  <c r="M78" i="1" s="1"/>
  <c r="K78" i="1"/>
  <c r="L77" i="1"/>
  <c r="K77" i="1"/>
  <c r="AB74" i="1"/>
  <c r="AD74" i="1" s="1"/>
  <c r="AA74" i="1"/>
  <c r="Z74" i="1"/>
  <c r="Y74" i="1"/>
  <c r="V74" i="1"/>
  <c r="U74" i="1"/>
  <c r="AB73" i="1"/>
  <c r="AA73" i="1"/>
  <c r="Z73" i="1"/>
  <c r="Y73" i="1"/>
  <c r="V73" i="1"/>
  <c r="U73" i="1"/>
  <c r="AC72" i="1"/>
  <c r="AB72" i="1"/>
  <c r="AA72" i="1"/>
  <c r="AD72" i="1" s="1"/>
  <c r="Z72" i="1"/>
  <c r="Y72" i="1"/>
  <c r="V72" i="1"/>
  <c r="U72" i="1"/>
  <c r="AB71" i="1"/>
  <c r="AA71" i="1"/>
  <c r="Z71" i="1"/>
  <c r="Y71" i="1"/>
  <c r="V71" i="1"/>
  <c r="U71" i="1"/>
  <c r="AB70" i="1"/>
  <c r="AA70" i="1"/>
  <c r="AD70" i="1" s="1"/>
  <c r="Z70" i="1"/>
  <c r="Y70" i="1"/>
  <c r="V70" i="1"/>
  <c r="U70" i="1"/>
  <c r="AB69" i="1"/>
  <c r="AA69" i="1"/>
  <c r="Z69" i="1"/>
  <c r="Y69" i="1"/>
  <c r="V69" i="1"/>
  <c r="U69" i="1"/>
  <c r="AB68" i="1"/>
  <c r="AA68" i="1"/>
  <c r="Z68" i="1"/>
  <c r="Y68" i="1"/>
  <c r="V68" i="1"/>
  <c r="U68" i="1"/>
  <c r="AB67" i="1"/>
  <c r="AA67" i="1"/>
  <c r="Z67" i="1"/>
  <c r="Y67" i="1"/>
  <c r="AE67" i="1" s="1"/>
  <c r="AF67" i="1" s="1"/>
  <c r="V67" i="1"/>
  <c r="U67" i="1"/>
  <c r="AB66" i="1"/>
  <c r="AA66" i="1"/>
  <c r="AD66" i="1" s="1"/>
  <c r="Z66" i="1"/>
  <c r="Y66" i="1"/>
  <c r="V66" i="1"/>
  <c r="U66" i="1"/>
  <c r="AB65" i="1"/>
  <c r="AA65" i="1"/>
  <c r="Z65" i="1"/>
  <c r="Y65" i="1"/>
  <c r="V65" i="1"/>
  <c r="U65" i="1"/>
  <c r="AB64" i="1"/>
  <c r="AA64" i="1"/>
  <c r="AD64" i="1" s="1"/>
  <c r="Z64" i="1"/>
  <c r="Y64" i="1"/>
  <c r="V64" i="1"/>
  <c r="U64" i="1"/>
  <c r="AB63" i="1"/>
  <c r="AA63" i="1"/>
  <c r="Z63" i="1"/>
  <c r="Y63" i="1"/>
  <c r="V63" i="1"/>
  <c r="U63" i="1"/>
  <c r="AB62" i="1"/>
  <c r="AA62" i="1"/>
  <c r="AD62" i="1" s="1"/>
  <c r="Z62" i="1"/>
  <c r="Y62" i="1"/>
  <c r="V62" i="1"/>
  <c r="U62" i="1"/>
  <c r="AB61" i="1"/>
  <c r="AA61" i="1"/>
  <c r="Z61" i="1"/>
  <c r="Y61" i="1"/>
  <c r="AE61" i="1" s="1"/>
  <c r="AF61" i="1" s="1"/>
  <c r="V61" i="1"/>
  <c r="U61" i="1"/>
  <c r="AB60" i="1"/>
  <c r="AA60" i="1"/>
  <c r="Z60" i="1"/>
  <c r="AC60" i="1" s="1"/>
  <c r="Y60" i="1"/>
  <c r="V60" i="1"/>
  <c r="U60" i="1"/>
  <c r="AB59" i="1"/>
  <c r="AA59" i="1"/>
  <c r="Z59" i="1"/>
  <c r="Y59" i="1"/>
  <c r="V59" i="1"/>
  <c r="U59" i="1"/>
  <c r="AB58" i="1"/>
  <c r="AA58" i="1"/>
  <c r="Z58" i="1"/>
  <c r="Y58" i="1"/>
  <c r="V58" i="1"/>
  <c r="U58" i="1"/>
  <c r="AB57" i="1"/>
  <c r="AA57" i="1"/>
  <c r="Z57" i="1"/>
  <c r="Y57" i="1"/>
  <c r="V57" i="1"/>
  <c r="U57" i="1"/>
  <c r="AB56" i="1"/>
  <c r="AA56" i="1"/>
  <c r="Z56" i="1"/>
  <c r="Y56" i="1"/>
  <c r="V56" i="1"/>
  <c r="U56" i="1"/>
  <c r="AB55" i="1"/>
  <c r="AA55" i="1"/>
  <c r="AD55" i="1" s="1"/>
  <c r="Z55" i="1"/>
  <c r="Y55" i="1"/>
  <c r="V55" i="1"/>
  <c r="U55" i="1"/>
  <c r="AB54" i="1"/>
  <c r="AA54" i="1"/>
  <c r="Z54" i="1"/>
  <c r="Y54" i="1"/>
  <c r="V54" i="1"/>
  <c r="U54" i="1"/>
  <c r="AB53" i="1"/>
  <c r="AA53" i="1"/>
  <c r="AD53" i="1" s="1"/>
  <c r="Z53" i="1"/>
  <c r="Y53" i="1"/>
  <c r="V53" i="1"/>
  <c r="U53" i="1"/>
  <c r="AB52" i="1"/>
  <c r="AA52" i="1"/>
  <c r="Z52" i="1"/>
  <c r="Y52" i="1"/>
  <c r="V52" i="1"/>
  <c r="U52" i="1"/>
  <c r="AB51" i="1"/>
  <c r="AA51" i="1"/>
  <c r="AD51" i="1" s="1"/>
  <c r="Z51" i="1"/>
  <c r="Y51" i="1"/>
  <c r="V51" i="1"/>
  <c r="U51" i="1"/>
  <c r="AB50" i="1"/>
  <c r="AA50" i="1"/>
  <c r="Z50" i="1"/>
  <c r="Y50" i="1"/>
  <c r="V50" i="1"/>
  <c r="U50" i="1"/>
  <c r="AB49" i="1"/>
  <c r="AA49" i="1"/>
  <c r="Z49" i="1"/>
  <c r="Y49" i="1"/>
  <c r="V49" i="1"/>
  <c r="U49" i="1"/>
  <c r="AB48" i="1"/>
  <c r="AA48" i="1"/>
  <c r="Z48" i="1"/>
  <c r="Y48" i="1"/>
  <c r="V48" i="1"/>
  <c r="U48" i="1"/>
  <c r="AB47" i="1"/>
  <c r="AA47" i="1"/>
  <c r="Z47" i="1"/>
  <c r="Y47" i="1"/>
  <c r="V47" i="1"/>
  <c r="U47" i="1"/>
  <c r="AB46" i="1"/>
  <c r="AA46" i="1"/>
  <c r="Z46" i="1"/>
  <c r="Y46" i="1"/>
  <c r="V46" i="1"/>
  <c r="U46" i="1"/>
  <c r="AB45" i="1"/>
  <c r="AA45" i="1"/>
  <c r="Z45" i="1"/>
  <c r="Y45" i="1"/>
  <c r="V45" i="1"/>
  <c r="U45" i="1"/>
  <c r="AB44" i="1"/>
  <c r="AA44" i="1"/>
  <c r="Z44" i="1"/>
  <c r="AE44" i="1" s="1"/>
  <c r="Y44" i="1"/>
  <c r="V44" i="1"/>
  <c r="U44" i="1"/>
  <c r="AB43" i="1"/>
  <c r="AA43" i="1"/>
  <c r="Z43" i="1"/>
  <c r="Y43" i="1"/>
  <c r="AE43" i="1" s="1"/>
  <c r="AF43" i="1" s="1"/>
  <c r="V43" i="1"/>
  <c r="U43" i="1"/>
  <c r="AB42" i="1"/>
  <c r="AA42" i="1"/>
  <c r="Z42" i="1"/>
  <c r="Y42" i="1"/>
  <c r="V42" i="1"/>
  <c r="U42" i="1"/>
  <c r="AB41" i="1"/>
  <c r="AA41" i="1"/>
  <c r="Z41" i="1"/>
  <c r="Y41" i="1"/>
  <c r="AC41" i="1" s="1"/>
  <c r="V41" i="1"/>
  <c r="U41" i="1"/>
  <c r="AB40" i="1"/>
  <c r="AA40" i="1"/>
  <c r="Z40" i="1"/>
  <c r="Y40" i="1"/>
  <c r="V40" i="1"/>
  <c r="U40" i="1"/>
  <c r="AB39" i="1"/>
  <c r="AA39" i="1"/>
  <c r="Z39" i="1"/>
  <c r="Y39" i="1"/>
  <c r="AE39" i="1" s="1"/>
  <c r="AF39" i="1" s="1"/>
  <c r="V39" i="1"/>
  <c r="U39" i="1"/>
  <c r="AE38" i="1"/>
  <c r="AB38" i="1"/>
  <c r="AA38" i="1"/>
  <c r="Z38" i="1"/>
  <c r="Y38" i="1"/>
  <c r="V38" i="1"/>
  <c r="V112" i="1" s="1"/>
  <c r="U38" i="1"/>
  <c r="U112" i="1" s="1"/>
  <c r="AB37" i="1"/>
  <c r="AA37" i="1"/>
  <c r="AD37" i="1" s="1"/>
  <c r="Z37" i="1"/>
  <c r="Y37" i="1"/>
  <c r="V37" i="1"/>
  <c r="U37" i="1"/>
  <c r="AB36" i="1"/>
  <c r="AA36" i="1"/>
  <c r="Z36" i="1"/>
  <c r="Y36" i="1"/>
  <c r="AC36" i="1" s="1"/>
  <c r="AC110" i="1" s="1"/>
  <c r="V36" i="1"/>
  <c r="V110" i="1" s="1"/>
  <c r="U36" i="1"/>
  <c r="AB35" i="1"/>
  <c r="AA35" i="1"/>
  <c r="Z35" i="1"/>
  <c r="Y35" i="1"/>
  <c r="V35" i="1"/>
  <c r="U35" i="1"/>
  <c r="U109" i="1" s="1"/>
  <c r="U34" i="1"/>
  <c r="U33" i="1"/>
  <c r="U107" i="1" s="1"/>
  <c r="U32" i="1"/>
  <c r="U31" i="1"/>
  <c r="U105" i="1" s="1"/>
  <c r="U30" i="1"/>
  <c r="U29" i="1"/>
  <c r="U103" i="1" s="1"/>
  <c r="U28" i="1"/>
  <c r="U27" i="1"/>
  <c r="U101" i="1" s="1"/>
  <c r="U26" i="1"/>
  <c r="U100" i="1" s="1"/>
  <c r="U25" i="1"/>
  <c r="U99" i="1" s="1"/>
  <c r="U24" i="1"/>
  <c r="U23" i="1"/>
  <c r="U22" i="1"/>
  <c r="U21" i="1"/>
  <c r="U20" i="1"/>
  <c r="U94" i="1" s="1"/>
  <c r="U19" i="1"/>
  <c r="U18" i="1"/>
  <c r="U17" i="1"/>
  <c r="U16" i="1"/>
  <c r="U15" i="1"/>
  <c r="U89" i="1" s="1"/>
  <c r="U14" i="1"/>
  <c r="U13" i="1"/>
  <c r="U12" i="1"/>
  <c r="U86" i="1" s="1"/>
  <c r="U11" i="1"/>
  <c r="U10" i="1"/>
  <c r="U84" i="1" s="1"/>
  <c r="U9" i="1"/>
  <c r="U8" i="1"/>
  <c r="U7" i="1"/>
  <c r="U6" i="1"/>
  <c r="U5" i="1"/>
  <c r="U4" i="1"/>
  <c r="U3" i="1"/>
  <c r="V34" i="1"/>
  <c r="V108" i="1" s="1"/>
  <c r="V33" i="1"/>
  <c r="V32" i="1"/>
  <c r="V106" i="1" s="1"/>
  <c r="V31" i="1"/>
  <c r="V30" i="1"/>
  <c r="V29" i="1"/>
  <c r="V28" i="1"/>
  <c r="V27" i="1"/>
  <c r="V26" i="1"/>
  <c r="V25" i="1"/>
  <c r="V99" i="1" s="1"/>
  <c r="V24" i="1"/>
  <c r="V23" i="1"/>
  <c r="V97" i="1" s="1"/>
  <c r="V22" i="1"/>
  <c r="V96" i="1" s="1"/>
  <c r="V21" i="1"/>
  <c r="V95" i="1" s="1"/>
  <c r="V20" i="1"/>
  <c r="V19" i="1"/>
  <c r="V18" i="1"/>
  <c r="V17" i="1"/>
  <c r="V16" i="1"/>
  <c r="V15" i="1"/>
  <c r="V14" i="1"/>
  <c r="V13" i="1"/>
  <c r="V12" i="1"/>
  <c r="V11" i="1"/>
  <c r="V85" i="1" s="1"/>
  <c r="V10" i="1"/>
  <c r="V84" i="1" s="1"/>
  <c r="V9" i="1"/>
  <c r="V8" i="1"/>
  <c r="V82" i="1" s="1"/>
  <c r="V7" i="1"/>
  <c r="V6" i="1"/>
  <c r="V80" i="1" s="1"/>
  <c r="V5" i="1"/>
  <c r="V4" i="1"/>
  <c r="V78" i="1" s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I9" i="3" l="1"/>
  <c r="J21" i="3"/>
  <c r="J29" i="3"/>
  <c r="J11" i="3"/>
  <c r="J12" i="3"/>
  <c r="G22" i="3"/>
  <c r="G30" i="3"/>
  <c r="F6" i="3"/>
  <c r="F9" i="3"/>
  <c r="F12" i="3"/>
  <c r="F15" i="3"/>
  <c r="J79" i="3"/>
  <c r="F83" i="3"/>
  <c r="J91" i="3"/>
  <c r="F95" i="3"/>
  <c r="J103" i="3"/>
  <c r="G26" i="3"/>
  <c r="G97" i="3"/>
  <c r="F5" i="3"/>
  <c r="J5" i="3" s="1"/>
  <c r="F8" i="3"/>
  <c r="J8" i="3" s="1"/>
  <c r="J9" i="3"/>
  <c r="F11" i="3"/>
  <c r="H11" i="3" s="1"/>
  <c r="F14" i="3"/>
  <c r="J14" i="3" s="1"/>
  <c r="J15" i="3"/>
  <c r="F17" i="3"/>
  <c r="I17" i="3" s="1"/>
  <c r="I18" i="3"/>
  <c r="F21" i="3"/>
  <c r="I22" i="3"/>
  <c r="F25" i="3"/>
  <c r="J25" i="3" s="1"/>
  <c r="I26" i="3"/>
  <c r="F29" i="3"/>
  <c r="G29" i="3" s="1"/>
  <c r="I30" i="3"/>
  <c r="F33" i="3"/>
  <c r="G33" i="3" s="1"/>
  <c r="I34" i="3"/>
  <c r="F37" i="3"/>
  <c r="J37" i="3" s="1"/>
  <c r="I38" i="3"/>
  <c r="F41" i="3"/>
  <c r="I42" i="3"/>
  <c r="F45" i="3"/>
  <c r="I46" i="3"/>
  <c r="F49" i="3"/>
  <c r="I50" i="3"/>
  <c r="F53" i="3"/>
  <c r="I54" i="3"/>
  <c r="F57" i="3"/>
  <c r="I58" i="3"/>
  <c r="F61" i="3"/>
  <c r="I62" i="3"/>
  <c r="F65" i="3"/>
  <c r="I66" i="3"/>
  <c r="F69" i="3"/>
  <c r="I70" i="3"/>
  <c r="F73" i="3"/>
  <c r="I74" i="3"/>
  <c r="F77" i="3"/>
  <c r="I78" i="3"/>
  <c r="G80" i="3"/>
  <c r="H85" i="3"/>
  <c r="F87" i="3"/>
  <c r="I90" i="3"/>
  <c r="G92" i="3"/>
  <c r="H97" i="3"/>
  <c r="F99" i="3"/>
  <c r="G104" i="3"/>
  <c r="F92" i="3"/>
  <c r="F104" i="3"/>
  <c r="G5" i="3"/>
  <c r="G11" i="3"/>
  <c r="G17" i="3"/>
  <c r="G21" i="3"/>
  <c r="G25" i="3"/>
  <c r="G41" i="3"/>
  <c r="G45" i="3"/>
  <c r="G49" i="3"/>
  <c r="G53" i="3"/>
  <c r="G57" i="3"/>
  <c r="G61" i="3"/>
  <c r="G65" i="3"/>
  <c r="G69" i="3"/>
  <c r="G73" i="3"/>
  <c r="G77" i="3"/>
  <c r="H80" i="3"/>
  <c r="F82" i="3"/>
  <c r="I85" i="3"/>
  <c r="G87" i="3"/>
  <c r="H92" i="3"/>
  <c r="F94" i="3"/>
  <c r="I97" i="3"/>
  <c r="G99" i="3"/>
  <c r="H104" i="3"/>
  <c r="F85" i="3"/>
  <c r="H34" i="3"/>
  <c r="H5" i="3"/>
  <c r="H17" i="3"/>
  <c r="H21" i="3"/>
  <c r="H25" i="3"/>
  <c r="H29" i="3"/>
  <c r="H33" i="3"/>
  <c r="H41" i="3"/>
  <c r="H45" i="3"/>
  <c r="H49" i="3"/>
  <c r="H53" i="3"/>
  <c r="H57" i="3"/>
  <c r="H61" i="3"/>
  <c r="H65" i="3"/>
  <c r="H69" i="3"/>
  <c r="H73" i="3"/>
  <c r="H77" i="3"/>
  <c r="I80" i="3"/>
  <c r="G82" i="3"/>
  <c r="J85" i="3"/>
  <c r="H87" i="3"/>
  <c r="I92" i="3"/>
  <c r="G94" i="3"/>
  <c r="J97" i="3"/>
  <c r="H99" i="3"/>
  <c r="I104" i="3"/>
  <c r="I5" i="3"/>
  <c r="I11" i="3"/>
  <c r="I14" i="3"/>
  <c r="I21" i="3"/>
  <c r="I25" i="3"/>
  <c r="I29" i="3"/>
  <c r="I33" i="3"/>
  <c r="I41" i="3"/>
  <c r="I45" i="3"/>
  <c r="I49" i="3"/>
  <c r="I53" i="3"/>
  <c r="I57" i="3"/>
  <c r="I61" i="3"/>
  <c r="I65" i="3"/>
  <c r="I69" i="3"/>
  <c r="I73" i="3"/>
  <c r="I77" i="3"/>
  <c r="J80" i="3"/>
  <c r="I87" i="3"/>
  <c r="I99" i="3"/>
  <c r="I8" i="3"/>
  <c r="F7" i="3"/>
  <c r="I7" i="3" s="1"/>
  <c r="F10" i="3"/>
  <c r="I10" i="3" s="1"/>
  <c r="F13" i="3"/>
  <c r="I13" i="3" s="1"/>
  <c r="F16" i="3"/>
  <c r="I16" i="3" s="1"/>
  <c r="J17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72" i="3"/>
  <c r="G76" i="3"/>
  <c r="F79" i="3"/>
  <c r="I82" i="3"/>
  <c r="G84" i="3"/>
  <c r="H89" i="3"/>
  <c r="F91" i="3"/>
  <c r="I94" i="3"/>
  <c r="G96" i="3"/>
  <c r="H101" i="3"/>
  <c r="F103" i="3"/>
  <c r="H18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G79" i="3"/>
  <c r="G91" i="3"/>
  <c r="H96" i="3"/>
  <c r="I101" i="3"/>
  <c r="G103" i="3"/>
  <c r="G38" i="3"/>
  <c r="AE55" i="1"/>
  <c r="AF55" i="1" s="1"/>
  <c r="M102" i="1"/>
  <c r="V101" i="1"/>
  <c r="AE56" i="1"/>
  <c r="V103" i="1"/>
  <c r="AC66" i="1"/>
  <c r="AE68" i="1"/>
  <c r="AD50" i="1"/>
  <c r="V105" i="1"/>
  <c r="U111" i="1"/>
  <c r="V109" i="1"/>
  <c r="V111" i="1"/>
  <c r="V107" i="1"/>
  <c r="V92" i="1"/>
  <c r="U96" i="1"/>
  <c r="AD38" i="1"/>
  <c r="AD112" i="1" s="1"/>
  <c r="AE48" i="1"/>
  <c r="AF48" i="1" s="1"/>
  <c r="AC54" i="1"/>
  <c r="U104" i="1"/>
  <c r="AC67" i="1"/>
  <c r="AD73" i="1"/>
  <c r="AD111" i="1" s="1"/>
  <c r="M96" i="1"/>
  <c r="M85" i="1"/>
  <c r="AE37" i="1"/>
  <c r="AF37" i="1" s="1"/>
  <c r="U88" i="1"/>
  <c r="AD27" i="1"/>
  <c r="U98" i="1"/>
  <c r="U77" i="1"/>
  <c r="AE49" i="1"/>
  <c r="AF49" i="1" s="1"/>
  <c r="V94" i="1"/>
  <c r="V86" i="1"/>
  <c r="V98" i="1"/>
  <c r="U78" i="1"/>
  <c r="U90" i="1"/>
  <c r="U102" i="1"/>
  <c r="AC61" i="1"/>
  <c r="AD68" i="1"/>
  <c r="M82" i="1"/>
  <c r="V90" i="1"/>
  <c r="U82" i="1"/>
  <c r="AE69" i="1"/>
  <c r="AF69" i="1" s="1"/>
  <c r="M77" i="1"/>
  <c r="M83" i="1"/>
  <c r="M112" i="1"/>
  <c r="AE62" i="1"/>
  <c r="U91" i="1"/>
  <c r="M106" i="1"/>
  <c r="AD34" i="1"/>
  <c r="AD108" i="1" s="1"/>
  <c r="V88" i="1"/>
  <c r="V100" i="1"/>
  <c r="U80" i="1"/>
  <c r="U92" i="1"/>
  <c r="U110" i="1"/>
  <c r="AD39" i="1"/>
  <c r="AD41" i="1"/>
  <c r="AD43" i="1"/>
  <c r="AE51" i="1"/>
  <c r="AF51" i="1" s="1"/>
  <c r="M97" i="1"/>
  <c r="M107" i="1"/>
  <c r="U79" i="1"/>
  <c r="V89" i="1"/>
  <c r="U81" i="1"/>
  <c r="U93" i="1"/>
  <c r="AD45" i="1"/>
  <c r="AD47" i="1"/>
  <c r="AE57" i="1"/>
  <c r="AF57" i="1" s="1"/>
  <c r="M81" i="1"/>
  <c r="M98" i="1"/>
  <c r="AD8" i="1"/>
  <c r="AD82" i="1" s="1"/>
  <c r="U106" i="1"/>
  <c r="V79" i="1"/>
  <c r="V91" i="1"/>
  <c r="U83" i="1"/>
  <c r="U95" i="1"/>
  <c r="M90" i="1"/>
  <c r="V87" i="1"/>
  <c r="V104" i="1"/>
  <c r="U108" i="1"/>
  <c r="AD36" i="1"/>
  <c r="AD110" i="1" s="1"/>
  <c r="AC42" i="1"/>
  <c r="AD61" i="1"/>
  <c r="M109" i="1"/>
  <c r="V102" i="1"/>
  <c r="V81" i="1"/>
  <c r="V93" i="1"/>
  <c r="U85" i="1"/>
  <c r="U97" i="1"/>
  <c r="AD63" i="1"/>
  <c r="AD101" i="1" s="1"/>
  <c r="AD65" i="1"/>
  <c r="AD67" i="1"/>
  <c r="M99" i="1"/>
  <c r="V83" i="1"/>
  <c r="U87" i="1"/>
  <c r="AD44" i="1"/>
  <c r="AD46" i="1"/>
  <c r="AD48" i="1"/>
  <c r="AE73" i="1"/>
  <c r="AF73" i="1" s="1"/>
  <c r="M95" i="1"/>
  <c r="AC37" i="1"/>
  <c r="AD52" i="1"/>
  <c r="AD54" i="1"/>
  <c r="AD56" i="1"/>
  <c r="AD69" i="1"/>
  <c r="AD71" i="1"/>
  <c r="M111" i="1"/>
  <c r="M84" i="1"/>
  <c r="M86" i="1"/>
  <c r="M88" i="1"/>
  <c r="M92" i="1"/>
  <c r="AE36" i="1"/>
  <c r="AF36" i="1" s="1"/>
  <c r="AE28" i="1"/>
  <c r="AF28" i="1" s="1"/>
  <c r="AF44" i="1"/>
  <c r="AC49" i="1"/>
  <c r="AE60" i="1"/>
  <c r="AF60" i="1" s="1"/>
  <c r="X17" i="2"/>
  <c r="T17" i="2"/>
  <c r="AD58" i="1"/>
  <c r="AD60" i="1"/>
  <c r="AF62" i="1"/>
  <c r="M100" i="1"/>
  <c r="M104" i="1"/>
  <c r="M108" i="1"/>
  <c r="M110" i="1"/>
  <c r="M89" i="1"/>
  <c r="M91" i="1"/>
  <c r="M93" i="1"/>
  <c r="AF38" i="1"/>
  <c r="AC48" i="1"/>
  <c r="AC55" i="1"/>
  <c r="AE66" i="1"/>
  <c r="AF66" i="1" s="1"/>
  <c r="AC43" i="1"/>
  <c r="AE45" i="1"/>
  <c r="AF45" i="1" s="1"/>
  <c r="AC47" i="1"/>
  <c r="AE54" i="1"/>
  <c r="AF54" i="1" s="1"/>
  <c r="AD57" i="1"/>
  <c r="AD59" i="1"/>
  <c r="AF68" i="1"/>
  <c r="AC73" i="1"/>
  <c r="AC111" i="1" s="1"/>
  <c r="M101" i="1"/>
  <c r="M103" i="1"/>
  <c r="M105" i="1"/>
  <c r="R17" i="2"/>
  <c r="V17" i="2"/>
  <c r="AC38" i="1"/>
  <c r="AE42" i="1"/>
  <c r="AF42" i="1" s="1"/>
  <c r="AE50" i="1"/>
  <c r="AF50" i="1" s="1"/>
  <c r="AF56" i="1"/>
  <c r="AD35" i="1"/>
  <c r="AD40" i="1"/>
  <c r="AD42" i="1"/>
  <c r="AD49" i="1"/>
  <c r="AE63" i="1"/>
  <c r="AF63" i="1" s="1"/>
  <c r="AE72" i="1"/>
  <c r="AF72" i="1" s="1"/>
  <c r="M80" i="1"/>
  <c r="V77" i="1"/>
  <c r="AC53" i="1"/>
  <c r="AC59" i="1"/>
  <c r="AC65" i="1"/>
  <c r="AC71" i="1"/>
  <c r="AE35" i="1"/>
  <c r="AF35" i="1" s="1"/>
  <c r="AC40" i="1"/>
  <c r="AC46" i="1"/>
  <c r="AE47" i="1"/>
  <c r="AF47" i="1" s="1"/>
  <c r="AC52" i="1"/>
  <c r="AE53" i="1"/>
  <c r="AF53" i="1" s="1"/>
  <c r="AC58" i="1"/>
  <c r="AE59" i="1"/>
  <c r="AF59" i="1" s="1"/>
  <c r="AC64" i="1"/>
  <c r="AE65" i="1"/>
  <c r="AF65" i="1" s="1"/>
  <c r="AC70" i="1"/>
  <c r="AE71" i="1"/>
  <c r="AF71" i="1" s="1"/>
  <c r="AC35" i="1"/>
  <c r="AE41" i="1"/>
  <c r="AF41" i="1"/>
  <c r="AC39" i="1"/>
  <c r="AE40" i="1"/>
  <c r="AF40" i="1" s="1"/>
  <c r="AC45" i="1"/>
  <c r="AE46" i="1"/>
  <c r="AF46" i="1" s="1"/>
  <c r="AC51" i="1"/>
  <c r="AE52" i="1"/>
  <c r="AF52" i="1" s="1"/>
  <c r="AC57" i="1"/>
  <c r="AE58" i="1"/>
  <c r="AF58" i="1" s="1"/>
  <c r="AC63" i="1"/>
  <c r="AE64" i="1"/>
  <c r="AF64" i="1" s="1"/>
  <c r="AC69" i="1"/>
  <c r="AE70" i="1"/>
  <c r="AF70" i="1" s="1"/>
  <c r="AC44" i="1"/>
  <c r="AC50" i="1"/>
  <c r="AC56" i="1"/>
  <c r="AC62" i="1"/>
  <c r="AC68" i="1"/>
  <c r="AC74" i="1"/>
  <c r="AE74" i="1"/>
  <c r="AF74" i="1" s="1"/>
  <c r="AD33" i="1"/>
  <c r="AD4" i="1"/>
  <c r="AD78" i="1" s="1"/>
  <c r="AC34" i="1"/>
  <c r="AC108" i="1" s="1"/>
  <c r="AD28" i="1"/>
  <c r="AD102" i="1" s="1"/>
  <c r="AD19" i="1"/>
  <c r="AD93" i="1" s="1"/>
  <c r="AE25" i="1"/>
  <c r="AF25" i="1" s="1"/>
  <c r="AE31" i="1"/>
  <c r="AF31" i="1" s="1"/>
  <c r="AE21" i="1"/>
  <c r="AF21" i="1" s="1"/>
  <c r="AD32" i="1"/>
  <c r="AD18" i="1"/>
  <c r="AD24" i="1"/>
  <c r="AD22" i="1"/>
  <c r="AD11" i="1"/>
  <c r="AD85" i="1" s="1"/>
  <c r="AD14" i="1"/>
  <c r="AD88" i="1" s="1"/>
  <c r="AD23" i="1"/>
  <c r="AD26" i="1"/>
  <c r="AD100" i="1" s="1"/>
  <c r="AC24" i="1"/>
  <c r="AC98" i="1" s="1"/>
  <c r="AC27" i="1"/>
  <c r="AC101" i="1" s="1"/>
  <c r="AD3" i="1"/>
  <c r="AD77" i="1" s="1"/>
  <c r="AD6" i="1"/>
  <c r="AD80" i="1" s="1"/>
  <c r="AD9" i="1"/>
  <c r="AD12" i="1"/>
  <c r="AD15" i="1"/>
  <c r="AD89" i="1" s="1"/>
  <c r="AD21" i="1"/>
  <c r="AC18" i="1"/>
  <c r="AC92" i="1" s="1"/>
  <c r="AE30" i="1"/>
  <c r="AF30" i="1" s="1"/>
  <c r="AD30" i="1"/>
  <c r="AD104" i="1" s="1"/>
  <c r="AD25" i="1"/>
  <c r="AE22" i="1"/>
  <c r="AF22" i="1" s="1"/>
  <c r="AD31" i="1"/>
  <c r="AD20" i="1"/>
  <c r="AE3" i="1"/>
  <c r="AF3" i="1" s="1"/>
  <c r="AC6" i="1"/>
  <c r="AC12" i="1"/>
  <c r="AC15" i="1"/>
  <c r="AC21" i="1"/>
  <c r="AC95" i="1" s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C104" i="1" s="1"/>
  <c r="AE32" i="1"/>
  <c r="AF32" i="1" s="1"/>
  <c r="AC33" i="1"/>
  <c r="AC20" i="1"/>
  <c r="AC23" i="1"/>
  <c r="AC97" i="1" s="1"/>
  <c r="AC26" i="1"/>
  <c r="AC29" i="1"/>
  <c r="AC103" i="1" s="1"/>
  <c r="AC32" i="1"/>
  <c r="AC22" i="1"/>
  <c r="AC25" i="1"/>
  <c r="AC28" i="1"/>
  <c r="AC102" i="1" s="1"/>
  <c r="AC31" i="1"/>
  <c r="AD13" i="1"/>
  <c r="AD16" i="1"/>
  <c r="AD7" i="1"/>
  <c r="AD10" i="1"/>
  <c r="AD5" i="1"/>
  <c r="AC9" i="1"/>
  <c r="AD17" i="1"/>
  <c r="AD91" i="1" s="1"/>
  <c r="AC5" i="1"/>
  <c r="AC79" i="1" s="1"/>
  <c r="AC8" i="1"/>
  <c r="AC11" i="1"/>
  <c r="AC14" i="1"/>
  <c r="AC17" i="1"/>
  <c r="AC91" i="1" s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8" i="1" s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J7" i="3" l="1"/>
  <c r="H13" i="3"/>
  <c r="H37" i="3"/>
  <c r="G6" i="3"/>
  <c r="H6" i="3"/>
  <c r="G8" i="3"/>
  <c r="H16" i="3"/>
  <c r="H10" i="3"/>
  <c r="G14" i="3"/>
  <c r="J16" i="3"/>
  <c r="H14" i="3"/>
  <c r="J6" i="3"/>
  <c r="G15" i="3"/>
  <c r="H15" i="3"/>
  <c r="I6" i="3"/>
  <c r="J33" i="3"/>
  <c r="G16" i="3"/>
  <c r="G13" i="3"/>
  <c r="J13" i="3"/>
  <c r="I15" i="3"/>
  <c r="G10" i="3"/>
  <c r="I37" i="3"/>
  <c r="H8" i="3"/>
  <c r="G37" i="3"/>
  <c r="G12" i="3"/>
  <c r="H12" i="3"/>
  <c r="G7" i="3"/>
  <c r="B111" i="3" s="1"/>
  <c r="I12" i="3"/>
  <c r="J10" i="3"/>
  <c r="H7" i="3"/>
  <c r="H9" i="3"/>
  <c r="G9" i="3"/>
  <c r="B135" i="3" s="1"/>
  <c r="AC106" i="1"/>
  <c r="AC89" i="1"/>
  <c r="AC81" i="1"/>
  <c r="AD84" i="1"/>
  <c r="AD99" i="1"/>
  <c r="AD109" i="1"/>
  <c r="AC93" i="1"/>
  <c r="AC107" i="1"/>
  <c r="AD87" i="1"/>
  <c r="AD107" i="1"/>
  <c r="AC105" i="1"/>
  <c r="AD96" i="1"/>
  <c r="AD98" i="1"/>
  <c r="AC99" i="1"/>
  <c r="AC86" i="1"/>
  <c r="AC80" i="1"/>
  <c r="AD83" i="1"/>
  <c r="AD106" i="1"/>
  <c r="AC112" i="1"/>
  <c r="AD79" i="1"/>
  <c r="AD105" i="1"/>
  <c r="AC94" i="1"/>
  <c r="AC100" i="1"/>
  <c r="AC109" i="1"/>
  <c r="AD94" i="1"/>
  <c r="AD81" i="1"/>
  <c r="AC83" i="1"/>
  <c r="AD97" i="1"/>
  <c r="AD95" i="1"/>
  <c r="AD90" i="1"/>
  <c r="AC85" i="1"/>
  <c r="AC87" i="1"/>
  <c r="AC96" i="1"/>
  <c r="AD103" i="1"/>
  <c r="AD86" i="1"/>
  <c r="AD92" i="1"/>
  <c r="AC88" i="1"/>
  <c r="AC90" i="1"/>
  <c r="AC82" i="1"/>
  <c r="AC77" i="1"/>
  <c r="AC84" i="1"/>
  <c r="B114" i="3" l="1"/>
  <c r="B139" i="3"/>
  <c r="B137" i="3"/>
  <c r="B136" i="3"/>
  <c r="B140" i="3"/>
  <c r="B110" i="3"/>
  <c r="M45" i="3" l="1"/>
  <c r="M64" i="3"/>
  <c r="M47" i="3"/>
  <c r="M20" i="3"/>
  <c r="M68" i="3"/>
  <c r="M15" i="3"/>
  <c r="M46" i="3"/>
  <c r="M13" i="3"/>
  <c r="M41" i="3"/>
  <c r="M16" i="3"/>
  <c r="M12" i="3"/>
  <c r="M42" i="3"/>
  <c r="M37" i="3"/>
  <c r="M24" i="3"/>
  <c r="M72" i="3"/>
  <c r="M23" i="3"/>
  <c r="M50" i="3"/>
  <c r="M67" i="3"/>
  <c r="B117" i="3"/>
  <c r="B116" i="3"/>
  <c r="M28" i="3"/>
  <c r="M76" i="3"/>
  <c r="M51" i="3"/>
  <c r="M54" i="3"/>
  <c r="M5" i="3"/>
  <c r="M49" i="3"/>
  <c r="M32" i="3"/>
  <c r="M19" i="3"/>
  <c r="M55" i="3"/>
  <c r="M58" i="3"/>
  <c r="M8" i="3"/>
  <c r="M53" i="3"/>
  <c r="M36" i="3"/>
  <c r="M43" i="3"/>
  <c r="M63" i="3"/>
  <c r="M62" i="3"/>
  <c r="M11" i="3"/>
  <c r="M57" i="3"/>
  <c r="B143" i="3"/>
  <c r="B142" i="3"/>
  <c r="M40" i="3"/>
  <c r="M71" i="3"/>
  <c r="M18" i="3"/>
  <c r="M66" i="3"/>
  <c r="M14" i="3"/>
  <c r="M61" i="3"/>
  <c r="N77" i="3"/>
  <c r="N73" i="3"/>
  <c r="N69" i="3"/>
  <c r="N65" i="3"/>
  <c r="N61" i="3"/>
  <c r="N57" i="3"/>
  <c r="N53" i="3"/>
  <c r="N49" i="3"/>
  <c r="N45" i="3"/>
  <c r="N41" i="3"/>
  <c r="N37" i="3"/>
  <c r="N33" i="3"/>
  <c r="N29" i="3"/>
  <c r="N25" i="3"/>
  <c r="N21" i="3"/>
  <c r="N17" i="3"/>
  <c r="N14" i="3"/>
  <c r="N11" i="3"/>
  <c r="N8" i="3"/>
  <c r="N5" i="3"/>
  <c r="N32" i="3"/>
  <c r="N34" i="3"/>
  <c r="N22" i="3"/>
  <c r="N48" i="3"/>
  <c r="N68" i="3"/>
  <c r="N28" i="3"/>
  <c r="N74" i="3"/>
  <c r="N70" i="3"/>
  <c r="N66" i="3"/>
  <c r="N62" i="3"/>
  <c r="N58" i="3"/>
  <c r="N54" i="3"/>
  <c r="N50" i="3"/>
  <c r="N46" i="3"/>
  <c r="N42" i="3"/>
  <c r="N38" i="3"/>
  <c r="N30" i="3"/>
  <c r="N26" i="3"/>
  <c r="N18" i="3"/>
  <c r="N52" i="3"/>
  <c r="N24" i="3"/>
  <c r="N15" i="3"/>
  <c r="N12" i="3"/>
  <c r="N9" i="3"/>
  <c r="N6" i="3"/>
  <c r="N40" i="3"/>
  <c r="N20" i="3"/>
  <c r="N7" i="3"/>
  <c r="N36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3" i="3"/>
  <c r="N16" i="3"/>
  <c r="N76" i="3"/>
  <c r="N72" i="3"/>
  <c r="N64" i="3"/>
  <c r="N60" i="3"/>
  <c r="N56" i="3"/>
  <c r="N10" i="3"/>
  <c r="N44" i="3"/>
  <c r="M44" i="3"/>
  <c r="M27" i="3"/>
  <c r="M22" i="3"/>
  <c r="M70" i="3"/>
  <c r="M17" i="3"/>
  <c r="M65" i="3"/>
  <c r="M48" i="3"/>
  <c r="M35" i="3"/>
  <c r="M26" i="3"/>
  <c r="M74" i="3"/>
  <c r="M21" i="3"/>
  <c r="M69" i="3"/>
  <c r="M75" i="3"/>
  <c r="M25" i="3"/>
  <c r="M52" i="3"/>
  <c r="M30" i="3"/>
  <c r="M31" i="3"/>
  <c r="M73" i="3"/>
  <c r="M56" i="3"/>
  <c r="M6" i="3"/>
  <c r="M34" i="3"/>
  <c r="M59" i="3"/>
  <c r="M29" i="3"/>
  <c r="M77" i="3"/>
  <c r="M10" i="3"/>
  <c r="M60" i="3"/>
  <c r="M9" i="3"/>
  <c r="M38" i="3"/>
  <c r="M39" i="3"/>
  <c r="M33" i="3"/>
  <c r="M7" i="3"/>
</calcChain>
</file>

<file path=xl/sharedStrings.xml><?xml version="1.0" encoding="utf-8"?>
<sst xmlns="http://schemas.openxmlformats.org/spreadsheetml/2006/main" count="191" uniqueCount="94">
  <si>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</si>
  <si>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</si>
  <si>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</si>
  <si>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</si>
  <si>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</si>
  <si>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</si>
  <si>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</si>
  <si>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</si>
  <si>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</si>
  <si>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</si>
  <si>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</si>
  <si>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</si>
  <si>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</si>
  <si>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</si>
  <si>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</si>
  <si>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</si>
  <si>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</si>
  <si>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</si>
  <si>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</si>
  <si>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</si>
  <si>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</si>
  <si>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</si>
  <si>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</si>
  <si>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</si>
  <si>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</si>
  <si>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</si>
  <si>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</si>
  <si>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</si>
  <si>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</si>
  <si>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</si>
  <si>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</si>
  <si>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</si>
  <si>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</si>
  <si>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</si>
  <si>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</si>
  <si>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</si>
  <si>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</si>
  <si>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</si>
  <si>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</si>
  <si>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</si>
  <si>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</si>
  <si>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</si>
  <si>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</si>
  <si>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</si>
  <si>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</si>
  <si>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</si>
  <si>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</si>
  <si>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</si>
  <si>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</si>
  <si>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</si>
  <si>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</si>
  <si>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</si>
  <si>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</si>
  <si>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</si>
  <si>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</si>
  <si>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</si>
  <si>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</si>
  <si>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</si>
  <si>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</si>
  <si>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CCW</t>
  </si>
  <si>
    <t>CW</t>
  </si>
  <si>
    <t>(xC-xA)/2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</si>
  <si>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</si>
  <si>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</si>
  <si>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T19-3</t>
  </si>
  <si>
    <t>0 najdi sever</t>
  </si>
  <si>
    <t>- _najdi sever 3-move to azimuth-AC-watchdog.py
- HORIZONTAL slepý test 360-kontrola accel-lepší csv-azimut parametr-fixed trim settle-s navratem do A-antibacklash-CW-CCW-I2Coprava-název testu-teplota-oprava2-watchdog.py</t>
  </si>
  <si>
    <t>Harmonická regrese pomocí LINEST</t>
  </si>
  <si>
    <t>n_data =</t>
  </si>
  <si>
    <t>Model: diff(θ) = a0 + a1·cos(θ) + a2·sin(θ)  [+ a3·cos(2θ) + a4·sin(2θ) pro 2. harmonickou]. Amplituda = √(a1²+a2²), fáze = atan2(a2,a1).</t>
  </si>
  <si>
    <t>Modře = vstupní data k přepsání (sloupce A:C). Vlož azimut, diffx_prumer, diffy_prumer z mereni_random_summary.csv.</t>
  </si>
  <si>
    <t>Azimut (°)</t>
  </si>
  <si>
    <t>diffX_prumer (°/s)</t>
  </si>
  <si>
    <t>diffY_prumer (°/s)</t>
  </si>
  <si>
    <t>θ (rad)</t>
  </si>
  <si>
    <t>cos θ</t>
  </si>
  <si>
    <t>sin θ</t>
  </si>
  <si>
    <t>cos 2θ</t>
  </si>
  <si>
    <t>sin 2θ</t>
  </si>
  <si>
    <t>Azimut - proklad (°)</t>
  </si>
  <si>
    <t>diffX proklad (1H)</t>
  </si>
  <si>
    <t>diffY proklad (1H)</t>
  </si>
  <si>
    <t>Osa X - 1. harmonická (cos θ, sin θ)</t>
  </si>
  <si>
    <t>Koeficient</t>
  </si>
  <si>
    <t>Hodnota</t>
  </si>
  <si>
    <t>a_sin</t>
  </si>
  <si>
    <t>a_cos</t>
  </si>
  <si>
    <t>a0 (intercept)</t>
  </si>
  <si>
    <t>R²</t>
  </si>
  <si>
    <t>SE odhadu (y)</t>
  </si>
  <si>
    <t>Amplituda (°/s)</t>
  </si>
  <si>
    <t>Fáze (°, 0-360)</t>
  </si>
  <si>
    <t>Osa Y - 1. harmonická (cos θ, sin θ)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</si>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</sst>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"/>
    <numFmt numFmtId="166" formatCode="0.0000"/>
    <numFmt numFmtId="167" formatCode="0.000"/>
  </numFmts>
  <fonts count="1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2"/>
      <color rgb="FFFF000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BFBFB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9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10" fillId="0" borderId="17" xfId="0" applyFont="1" applyBorder="1" applyAlignment="1">
      <alignment horizontal="center"/>
    </xf>
    <xf numFmtId="165" fontId="10" fillId="0" borderId="17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9" fillId="3" borderId="17" xfId="0" applyFont="1" applyFill="1" applyBorder="1"/>
    <xf numFmtId="0" fontId="10" fillId="0" borderId="17" xfId="0" applyFont="1" applyBorder="1"/>
    <xf numFmtId="165" fontId="10" fillId="0" borderId="17" xfId="0" applyNumberFormat="1" applyFont="1" applyBorder="1"/>
    <xf numFmtId="166" fontId="10" fillId="0" borderId="17" xfId="0" applyNumberFormat="1" applyFont="1" applyBorder="1"/>
    <xf numFmtId="0" fontId="9" fillId="0" borderId="17" xfId="0" applyFont="1" applyBorder="1"/>
    <xf numFmtId="165" fontId="9" fillId="0" borderId="17" xfId="0" applyNumberFormat="1" applyFont="1" applyBorder="1"/>
    <xf numFmtId="2" fontId="9" fillId="0" borderId="17" xfId="0" applyNumberFormat="1" applyFont="1" applyBorder="1"/>
    <xf numFmtId="165" fontId="10" fillId="0" borderId="0" xfId="0" applyNumberFormat="1" applyFont="1"/>
    <xf numFmtId="166" fontId="10" fillId="0" borderId="0" xfId="0" applyNumberFormat="1" applyFont="1"/>
    <xf numFmtId="165" fontId="9" fillId="0" borderId="0" xfId="0" applyNumberFormat="1" applyFont="1"/>
    <xf numFmtId="2" fontId="9" fillId="0" borderId="0" xfId="0" applyNumberFormat="1" applyFont="1"/>
    <xf numFmtId="0" fontId="9" fillId="0" borderId="18" xfId="0" applyFont="1" applyBorder="1"/>
    <xf numFmtId="165" fontId="9" fillId="0" borderId="18" xfId="0" applyNumberFormat="1" applyFont="1" applyBorder="1"/>
    <xf numFmtId="0" fontId="10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'T19-3'!$U$2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'T19-3'!$U$3:$U$38</c:f>
              <c:numCache>
                <c:formatCode>0.000000</c:formatCode>
                <c:ptCount val="36"/>
                <c:pt idx="0">
                  <c:v>3.567860000000006E-3</c:v>
                </c:pt>
                <c:pt idx="1">
                  <c:v>2.1700299999999895E-3</c:v>
                </c:pt>
                <c:pt idx="2">
                  <c:v>1.6449699999999956E-3</c:v>
                </c:pt>
                <c:pt idx="3">
                  <c:v>1.0187600000000074E-3</c:v>
                </c:pt>
                <c:pt idx="4">
                  <c:v>1.106280000000015E-3</c:v>
                </c:pt>
                <c:pt idx="5">
                  <c:v>6.3999700000000048E-3</c:v>
                </c:pt>
                <c:pt idx="6">
                  <c:v>4.4071799999999828E-3</c:v>
                </c:pt>
                <c:pt idx="7">
                  <c:v>-1.1856699999999998E-3</c:v>
                </c:pt>
                <c:pt idx="8">
                  <c:v>-4.2498999999998621E-4</c:v>
                </c:pt>
                <c:pt idx="9">
                  <c:v>-9.1665999999998582E-4</c:v>
                </c:pt>
                <c:pt idx="10">
                  <c:v>-1.337480000000002E-3</c:v>
                </c:pt>
                <c:pt idx="11">
                  <c:v>-1.6500799999999982E-3</c:v>
                </c:pt>
                <c:pt idx="12">
                  <c:v>-1.6936999999999924E-3</c:v>
                </c:pt>
                <c:pt idx="13">
                  <c:v>-2.8805199999999975E-3</c:v>
                </c:pt>
                <c:pt idx="14">
                  <c:v>1.7502999999999269E-4</c:v>
                </c:pt>
                <c:pt idx="15">
                  <c:v>2.750200000000147E-4</c:v>
                </c:pt>
                <c:pt idx="16">
                  <c:v>2.1208600000000022E-3</c:v>
                </c:pt>
                <c:pt idx="17">
                  <c:v>-3.6786000000000041E-3</c:v>
                </c:pt>
                <c:pt idx="18">
                  <c:v>-2.1106999999999931E-3</c:v>
                </c:pt>
                <c:pt idx="19">
                  <c:v>-3.2500000000001972E-4</c:v>
                </c:pt>
                <c:pt idx="20">
                  <c:v>-3.3857300000000035E-3</c:v>
                </c:pt>
                <c:pt idx="21">
                  <c:v>-2.5749399999999978E-3</c:v>
                </c:pt>
                <c:pt idx="22">
                  <c:v>-4.1875200000000001E-3</c:v>
                </c:pt>
                <c:pt idx="23">
                  <c:v>-1.7999699999999841E-3</c:v>
                </c:pt>
                <c:pt idx="24">
                  <c:v>-2.1785500000000013E-3</c:v>
                </c:pt>
                <c:pt idx="25">
                  <c:v>-7.1872000000000602E-4</c:v>
                </c:pt>
                <c:pt idx="26">
                  <c:v>1.4055600000000001E-3</c:v>
                </c:pt>
                <c:pt idx="27">
                  <c:v>-2.144000000001145E-5</c:v>
                </c:pt>
                <c:pt idx="28">
                  <c:v>4.0062000000000153E-3</c:v>
                </c:pt>
                <c:pt idx="29">
                  <c:v>-4.9999999999994493E-5</c:v>
                </c:pt>
                <c:pt idx="30">
                  <c:v>-1.0431800000000047E-3</c:v>
                </c:pt>
                <c:pt idx="31">
                  <c:v>-2.4500199999999972E-3</c:v>
                </c:pt>
                <c:pt idx="32">
                  <c:v>2.375000000000016E-4</c:v>
                </c:pt>
                <c:pt idx="33">
                  <c:v>2.5576999999999961E-3</c:v>
                </c:pt>
                <c:pt idx="34">
                  <c:v>2.167000000000141E-4</c:v>
                </c:pt>
                <c:pt idx="35">
                  <c:v>1.5643000000000185E-3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'T19-3'!$V$3:$V$38</c:f>
              <c:numCache>
                <c:formatCode>0.000000</c:formatCode>
                <c:ptCount val="36"/>
                <c:pt idx="0">
                  <c:v>-1.4499999999999513E-3</c:v>
                </c:pt>
                <c:pt idx="1">
                  <c:v>-4.849199999999998E-4</c:v>
                </c:pt>
                <c:pt idx="2">
                  <c:v>-2.464999999999995E-3</c:v>
                </c:pt>
                <c:pt idx="3">
                  <c:v>-1.8812799999999852E-3</c:v>
                </c:pt>
                <c:pt idx="4">
                  <c:v>1.8062500000000092E-3</c:v>
                </c:pt>
                <c:pt idx="5">
                  <c:v>1.1375000000000135E-3</c:v>
                </c:pt>
                <c:pt idx="6">
                  <c:v>6.6781999999998565E-4</c:v>
                </c:pt>
                <c:pt idx="7">
                  <c:v>3.6428499999999753E-3</c:v>
                </c:pt>
                <c:pt idx="8">
                  <c:v>5.9165800000000046E-3</c:v>
                </c:pt>
                <c:pt idx="9">
                  <c:v>5.9170000000002831E-4</c:v>
                </c:pt>
                <c:pt idx="10">
                  <c:v>1.6812599999999622E-3</c:v>
                </c:pt>
                <c:pt idx="11">
                  <c:v>4.9388399999999999E-3</c:v>
                </c:pt>
                <c:pt idx="12">
                  <c:v>3.3812400000000076E-3</c:v>
                </c:pt>
                <c:pt idx="13">
                  <c:v>3.9944499999999827E-3</c:v>
                </c:pt>
                <c:pt idx="14">
                  <c:v>-7.8620000000029222E-5</c:v>
                </c:pt>
                <c:pt idx="15">
                  <c:v>9.0843000000001561E-4</c:v>
                </c:pt>
                <c:pt idx="16">
                  <c:v>-5.6248000000003184E-4</c:v>
                </c:pt>
                <c:pt idx="17">
                  <c:v>2.1606999999999599E-3</c:v>
                </c:pt>
                <c:pt idx="18">
                  <c:v>-2.0356999999999736E-3</c:v>
                </c:pt>
                <c:pt idx="19">
                  <c:v>1.362450000000015E-3</c:v>
                </c:pt>
                <c:pt idx="20">
                  <c:v>-4.8930999999996505E-4</c:v>
                </c:pt>
                <c:pt idx="21">
                  <c:v>-2.7937000000000101E-3</c:v>
                </c:pt>
                <c:pt idx="22">
                  <c:v>-1.8249799999999761E-3</c:v>
                </c:pt>
                <c:pt idx="23">
                  <c:v>-2.4374799999999919E-3</c:v>
                </c:pt>
                <c:pt idx="24">
                  <c:v>-1.7500000000003624E-4</c:v>
                </c:pt>
                <c:pt idx="25">
                  <c:v>-2.9499500000000345E-3</c:v>
                </c:pt>
                <c:pt idx="26">
                  <c:v>-3.6499799999999971E-3</c:v>
                </c:pt>
                <c:pt idx="27">
                  <c:v>-2.5107600000000008E-3</c:v>
                </c:pt>
                <c:pt idx="28">
                  <c:v>-1.9687199999999794E-3</c:v>
                </c:pt>
                <c:pt idx="29">
                  <c:v>-2.879530000000019E-3</c:v>
                </c:pt>
                <c:pt idx="30">
                  <c:v>-3.6704300000000023E-3</c:v>
                </c:pt>
                <c:pt idx="31">
                  <c:v>-5.832999999999533E-5</c:v>
                </c:pt>
                <c:pt idx="32">
                  <c:v>-2.5688200000000272E-3</c:v>
                </c:pt>
                <c:pt idx="33">
                  <c:v>6.7329999999976575E-5</c:v>
                </c:pt>
                <c:pt idx="34">
                  <c:v>-9.583499999999967E-4</c:v>
                </c:pt>
                <c:pt idx="35">
                  <c:v>-1.717880000000005E-3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'T19-3'!$U$2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'T19-3'!$U$39:$U$74</c:f>
              <c:numCache>
                <c:formatCode>0.000000</c:formatCode>
                <c:ptCount val="36"/>
                <c:pt idx="0">
                  <c:v>1.8174699999999877E-3</c:v>
                </c:pt>
                <c:pt idx="1">
                  <c:v>3.1312199999999901E-3</c:v>
                </c:pt>
                <c:pt idx="2">
                  <c:v>4.9431199999999953E-3</c:v>
                </c:pt>
                <c:pt idx="3">
                  <c:v>1.7250000000000043E-3</c:v>
                </c:pt>
                <c:pt idx="4">
                  <c:v>3.1089600000000217E-3</c:v>
                </c:pt>
                <c:pt idx="5">
                  <c:v>1.3832800000000145E-3</c:v>
                </c:pt>
                <c:pt idx="6">
                  <c:v>5.8650499999999828E-3</c:v>
                </c:pt>
                <c:pt idx="7">
                  <c:v>1.5500000000000236E-3</c:v>
                </c:pt>
                <c:pt idx="8">
                  <c:v>2.3083100000000079E-3</c:v>
                </c:pt>
                <c:pt idx="9">
                  <c:v>1.6871999999998333E-4</c:v>
                </c:pt>
                <c:pt idx="10">
                  <c:v>-1.5750100000000156E-3</c:v>
                </c:pt>
                <c:pt idx="11">
                  <c:v>-1.4843400000000007E-3</c:v>
                </c:pt>
                <c:pt idx="12">
                  <c:v>1.8499799999999733E-3</c:v>
                </c:pt>
                <c:pt idx="13">
                  <c:v>-2.9916299999999951E-3</c:v>
                </c:pt>
                <c:pt idx="14">
                  <c:v>-1.3607999999998288E-4</c:v>
                </c:pt>
                <c:pt idx="15">
                  <c:v>-2.0313399999999926E-3</c:v>
                </c:pt>
                <c:pt idx="16">
                  <c:v>-2.6749799999999935E-3</c:v>
                </c:pt>
                <c:pt idx="17">
                  <c:v>-2.8249699999999822E-3</c:v>
                </c:pt>
                <c:pt idx="18">
                  <c:v>-3.9199600000000001E-3</c:v>
                </c:pt>
                <c:pt idx="19">
                  <c:v>-5.2178800000000081E-3</c:v>
                </c:pt>
                <c:pt idx="20">
                  <c:v>-2.0892399999999922E-3</c:v>
                </c:pt>
                <c:pt idx="21">
                  <c:v>-1.3699500000000087E-3</c:v>
                </c:pt>
                <c:pt idx="22">
                  <c:v>-5.1875199999999733E-3</c:v>
                </c:pt>
                <c:pt idx="23">
                  <c:v>-4.1392600000000057E-3</c:v>
                </c:pt>
                <c:pt idx="24">
                  <c:v>-3.0964200000000164E-3</c:v>
                </c:pt>
                <c:pt idx="25">
                  <c:v>5.2874099999999924E-3</c:v>
                </c:pt>
                <c:pt idx="26">
                  <c:v>-5.9583999999998638E-4</c:v>
                </c:pt>
                <c:pt idx="27">
                  <c:v>-1.3249800000000034E-3</c:v>
                </c:pt>
                <c:pt idx="28">
                  <c:v>-1.2333399999999994E-3</c:v>
                </c:pt>
                <c:pt idx="29">
                  <c:v>-1.3666600000000195E-3</c:v>
                </c:pt>
                <c:pt idx="30">
                  <c:v>4.9949600000000205E-3</c:v>
                </c:pt>
                <c:pt idx="31">
                  <c:v>2.349999999999991E-3</c:v>
                </c:pt>
                <c:pt idx="32">
                  <c:v>1.3208200000000003E-3</c:v>
                </c:pt>
                <c:pt idx="33">
                  <c:v>-2.3834000000000077E-3</c:v>
                </c:pt>
                <c:pt idx="34">
                  <c:v>4.8437199999999958E-3</c:v>
                </c:pt>
                <c:pt idx="35">
                  <c:v>3.3356800000000075E-3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'T19-3'!$V$2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'T19-3'!$V$39:$V$74</c:f>
              <c:numCache>
                <c:formatCode>0.000000</c:formatCode>
                <c:ptCount val="36"/>
                <c:pt idx="0">
                  <c:v>-1.8450000000000411E-3</c:v>
                </c:pt>
                <c:pt idx="1">
                  <c:v>-2.1312099999999945E-3</c:v>
                </c:pt>
                <c:pt idx="2">
                  <c:v>-8.6135000000003847E-4</c:v>
                </c:pt>
                <c:pt idx="3">
                  <c:v>1.4749500000000304E-3</c:v>
                </c:pt>
                <c:pt idx="4">
                  <c:v>4.6250000000003233E-4</c:v>
                </c:pt>
                <c:pt idx="5">
                  <c:v>3.0444600000000266E-3</c:v>
                </c:pt>
                <c:pt idx="6">
                  <c:v>2.3599299999999546E-3</c:v>
                </c:pt>
                <c:pt idx="7">
                  <c:v>2.0928699999999689E-3</c:v>
                </c:pt>
                <c:pt idx="8">
                  <c:v>3.3582999999999807E-3</c:v>
                </c:pt>
                <c:pt idx="9">
                  <c:v>3.6041499999999727E-3</c:v>
                </c:pt>
                <c:pt idx="10">
                  <c:v>9.2499999999995364E-4</c:v>
                </c:pt>
                <c:pt idx="11">
                  <c:v>8.1244000000002536E-4</c:v>
                </c:pt>
                <c:pt idx="12">
                  <c:v>4.4527699999999948E-3</c:v>
                </c:pt>
                <c:pt idx="13">
                  <c:v>3.8665999999999978E-3</c:v>
                </c:pt>
                <c:pt idx="14">
                  <c:v>4.0833200000000014E-3</c:v>
                </c:pt>
                <c:pt idx="15">
                  <c:v>5.0374400000000041E-3</c:v>
                </c:pt>
                <c:pt idx="16">
                  <c:v>3.5874800000000318E-3</c:v>
                </c:pt>
                <c:pt idx="17">
                  <c:v>-1.1784999999997492E-4</c:v>
                </c:pt>
                <c:pt idx="18">
                  <c:v>-2.3849100000000178E-3</c:v>
                </c:pt>
                <c:pt idx="19">
                  <c:v>-6.5710000000002156E-4</c:v>
                </c:pt>
                <c:pt idx="20">
                  <c:v>-1.6143200000000024E-3</c:v>
                </c:pt>
                <c:pt idx="21">
                  <c:v>-1.1400000000000299E-3</c:v>
                </c:pt>
                <c:pt idx="22">
                  <c:v>-3.606269999999967E-3</c:v>
                </c:pt>
                <c:pt idx="23">
                  <c:v>-4.1999499999999523E-3</c:v>
                </c:pt>
                <c:pt idx="24">
                  <c:v>-4.2071699999999823E-3</c:v>
                </c:pt>
                <c:pt idx="25">
                  <c:v>-2.9437900000000017E-3</c:v>
                </c:pt>
                <c:pt idx="26">
                  <c:v>1.0791299999999837E-3</c:v>
                </c:pt>
                <c:pt idx="27">
                  <c:v>-1.1942300000000183E-3</c:v>
                </c:pt>
                <c:pt idx="28">
                  <c:v>-4.0249099999999927E-3</c:v>
                </c:pt>
                <c:pt idx="29">
                  <c:v>-1.7083499999999696E-3</c:v>
                </c:pt>
                <c:pt idx="30">
                  <c:v>-2.7800000000000047E-3</c:v>
                </c:pt>
                <c:pt idx="31">
                  <c:v>-3.2222000000000084E-3</c:v>
                </c:pt>
                <c:pt idx="32">
                  <c:v>-5.8753999999999751E-4</c:v>
                </c:pt>
                <c:pt idx="33">
                  <c:v>-4.1666799999999782E-3</c:v>
                </c:pt>
                <c:pt idx="34">
                  <c:v>8.1249999999977174E-5</c:v>
                </c:pt>
                <c:pt idx="35">
                  <c:v>9.071499999999677E-4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'T19-3'!$AC$2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'T19-3'!$AC$77:$AC$112</c:f>
              <c:numCache>
                <c:formatCode>General</c:formatCode>
                <c:ptCount val="36"/>
                <c:pt idx="0">
                  <c:v>4.0642308715283271</c:v>
                </c:pt>
                <c:pt idx="1">
                  <c:v>4.0017352555056611</c:v>
                </c:pt>
                <c:pt idx="2">
                  <c:v>3.9637287052384127</c:v>
                </c:pt>
                <c:pt idx="3">
                  <c:v>3.8734628579441157</c:v>
                </c:pt>
                <c:pt idx="4">
                  <c:v>3.7280721438914242</c:v>
                </c:pt>
                <c:pt idx="5">
                  <c:v>3.5481937859376207</c:v>
                </c:pt>
                <c:pt idx="6">
                  <c:v>3.3730110493243997</c:v>
                </c:pt>
                <c:pt idx="7">
                  <c:v>3.1746160009665196</c:v>
                </c:pt>
                <c:pt idx="8">
                  <c:v>2.9412299174695677</c:v>
                </c:pt>
                <c:pt idx="9">
                  <c:v>2.6624219219895933</c:v>
                </c:pt>
                <c:pt idx="10">
                  <c:v>2.376850275581003</c:v>
                </c:pt>
                <c:pt idx="11">
                  <c:v>2.1091404791579085</c:v>
                </c:pt>
                <c:pt idx="12">
                  <c:v>1.775645270142105</c:v>
                </c:pt>
                <c:pt idx="13">
                  <c:v>1.4749317136238909</c:v>
                </c:pt>
                <c:pt idx="14">
                  <c:v>1.1654927115091041</c:v>
                </c:pt>
                <c:pt idx="15">
                  <c:v>0.78473267497817956</c:v>
                </c:pt>
                <c:pt idx="16">
                  <c:v>0.45917275998170737</c:v>
                </c:pt>
                <c:pt idx="17">
                  <c:v>0.27595003557493158</c:v>
                </c:pt>
                <c:pt idx="18">
                  <c:v>0.378344348260718</c:v>
                </c:pt>
                <c:pt idx="19">
                  <c:v>0.6762458280648509</c:v>
                </c:pt>
                <c:pt idx="20">
                  <c:v>0.95219810417153128</c:v>
                </c:pt>
                <c:pt idx="21">
                  <c:v>1.3589783183808579</c:v>
                </c:pt>
                <c:pt idx="22">
                  <c:v>1.6516691493294386</c:v>
                </c:pt>
                <c:pt idx="23">
                  <c:v>1.995336859652364</c:v>
                </c:pt>
                <c:pt idx="24">
                  <c:v>2.2941067038819307</c:v>
                </c:pt>
                <c:pt idx="25">
                  <c:v>2.5796198070370875</c:v>
                </c:pt>
                <c:pt idx="26">
                  <c:v>2.8412948083507059</c:v>
                </c:pt>
                <c:pt idx="27">
                  <c:v>3.0695360440831623</c:v>
                </c:pt>
                <c:pt idx="28">
                  <c:v>3.2704314006291471</c:v>
                </c:pt>
                <c:pt idx="29">
                  <c:v>3.4644177351217924</c:v>
                </c:pt>
                <c:pt idx="30">
                  <c:v>3.661252546731828</c:v>
                </c:pt>
                <c:pt idx="31">
                  <c:v>3.823557634431312</c:v>
                </c:pt>
                <c:pt idx="32">
                  <c:v>3.9225877400770641</c:v>
                </c:pt>
                <c:pt idx="33">
                  <c:v>4.0021942475504</c:v>
                </c:pt>
                <c:pt idx="34">
                  <c:v>4.0494344420468664</c:v>
                </c:pt>
                <c:pt idx="35">
                  <c:v>4.0718980548298713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'T19-3'!$AD$2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'T19-3'!$AD$77:$AD$112</c:f>
              <c:numCache>
                <c:formatCode>General</c:formatCode>
                <c:ptCount val="36"/>
                <c:pt idx="0">
                  <c:v>0.37895657245520104</c:v>
                </c:pt>
                <c:pt idx="1">
                  <c:v>0.72309041299424626</c:v>
                </c:pt>
                <c:pt idx="2">
                  <c:v>0.9997319784788079</c:v>
                </c:pt>
                <c:pt idx="3">
                  <c:v>1.3225025811487607</c:v>
                </c:pt>
                <c:pt idx="4">
                  <c:v>1.6352840956489572</c:v>
                </c:pt>
                <c:pt idx="5">
                  <c:v>1.9773177042365846</c:v>
                </c:pt>
                <c:pt idx="6">
                  <c:v>2.3126112738085469</c:v>
                </c:pt>
                <c:pt idx="7">
                  <c:v>2.5606296506843833</c:v>
                </c:pt>
                <c:pt idx="8">
                  <c:v>2.8367598118887556</c:v>
                </c:pt>
                <c:pt idx="9">
                  <c:v>3.1067299689018206</c:v>
                </c:pt>
                <c:pt idx="10">
                  <c:v>3.3138796697996526</c:v>
                </c:pt>
                <c:pt idx="11">
                  <c:v>3.5117745088835246</c:v>
                </c:pt>
                <c:pt idx="12">
                  <c:v>3.6849281658084783</c:v>
                </c:pt>
                <c:pt idx="13">
                  <c:v>3.7852271684886944</c:v>
                </c:pt>
                <c:pt idx="14">
                  <c:v>3.8960975030824505</c:v>
                </c:pt>
                <c:pt idx="15">
                  <c:v>3.9825607967827787</c:v>
                </c:pt>
                <c:pt idx="16">
                  <c:v>4.0757016644554254</c:v>
                </c:pt>
                <c:pt idx="17">
                  <c:v>4.0824731211486043</c:v>
                </c:pt>
                <c:pt idx="18">
                  <c:v>4.071309399715167</c:v>
                </c:pt>
                <c:pt idx="19">
                  <c:v>4.0311620683891194</c:v>
                </c:pt>
                <c:pt idx="20">
                  <c:v>3.96426195242613</c:v>
                </c:pt>
                <c:pt idx="21">
                  <c:v>3.8567675334121851</c:v>
                </c:pt>
                <c:pt idx="22">
                  <c:v>3.7639982608024054</c:v>
                </c:pt>
                <c:pt idx="23">
                  <c:v>3.5802183811214014</c:v>
                </c:pt>
                <c:pt idx="24">
                  <c:v>3.37246766797933</c:v>
                </c:pt>
                <c:pt idx="25">
                  <c:v>3.153525470589722</c:v>
                </c:pt>
                <c:pt idx="26">
                  <c:v>2.9437491497475401</c:v>
                </c:pt>
                <c:pt idx="27">
                  <c:v>2.6858703669555593</c:v>
                </c:pt>
                <c:pt idx="28">
                  <c:v>2.4165569288187685</c:v>
                </c:pt>
                <c:pt idx="29">
                  <c:v>2.1582533790791452</c:v>
                </c:pt>
                <c:pt idx="30">
                  <c:v>1.8017513268047249</c:v>
                </c:pt>
                <c:pt idx="31">
                  <c:v>1.5274450844282914</c:v>
                </c:pt>
                <c:pt idx="32">
                  <c:v>1.134424747179918</c:v>
                </c:pt>
                <c:pt idx="33">
                  <c:v>0.79144706686194577</c:v>
                </c:pt>
                <c:pt idx="34">
                  <c:v>0.48643700426963932</c:v>
                </c:pt>
                <c:pt idx="35">
                  <c:v>0.3119851168758897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'T19-3'!$K$2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'T19-3'!$K$77:$K$112</c:f>
              <c:numCache>
                <c:formatCode>General</c:formatCode>
                <c:ptCount val="36"/>
                <c:pt idx="0">
                  <c:v>24.41</c:v>
                </c:pt>
                <c:pt idx="1">
                  <c:v>24.354999999999997</c:v>
                </c:pt>
                <c:pt idx="2">
                  <c:v>24.454999999999998</c:v>
                </c:pt>
                <c:pt idx="3">
                  <c:v>24.44</c:v>
                </c:pt>
                <c:pt idx="4">
                  <c:v>24.535</c:v>
                </c:pt>
                <c:pt idx="5">
                  <c:v>24.4</c:v>
                </c:pt>
                <c:pt idx="6">
                  <c:v>24.380000000000003</c:v>
                </c:pt>
                <c:pt idx="7">
                  <c:v>24.255000000000003</c:v>
                </c:pt>
                <c:pt idx="8">
                  <c:v>24.34</c:v>
                </c:pt>
                <c:pt idx="9">
                  <c:v>24.274999999999999</c:v>
                </c:pt>
                <c:pt idx="10">
                  <c:v>24.414999999999999</c:v>
                </c:pt>
                <c:pt idx="11">
                  <c:v>24.365000000000002</c:v>
                </c:pt>
                <c:pt idx="12">
                  <c:v>24.454999999999998</c:v>
                </c:pt>
                <c:pt idx="13">
                  <c:v>24.67</c:v>
                </c:pt>
                <c:pt idx="14">
                  <c:v>24.55</c:v>
                </c:pt>
                <c:pt idx="15">
                  <c:v>24.515000000000001</c:v>
                </c:pt>
                <c:pt idx="16">
                  <c:v>24.29</c:v>
                </c:pt>
                <c:pt idx="17">
                  <c:v>24.41</c:v>
                </c:pt>
                <c:pt idx="18">
                  <c:v>24.424999999999997</c:v>
                </c:pt>
                <c:pt idx="19">
                  <c:v>24.42</c:v>
                </c:pt>
                <c:pt idx="20">
                  <c:v>24.535</c:v>
                </c:pt>
                <c:pt idx="21">
                  <c:v>24.325000000000003</c:v>
                </c:pt>
                <c:pt idx="22">
                  <c:v>24.52</c:v>
                </c:pt>
                <c:pt idx="23">
                  <c:v>24.355</c:v>
                </c:pt>
                <c:pt idx="24">
                  <c:v>24.35</c:v>
                </c:pt>
                <c:pt idx="25">
                  <c:v>24.52</c:v>
                </c:pt>
                <c:pt idx="26">
                  <c:v>24.43</c:v>
                </c:pt>
                <c:pt idx="27">
                  <c:v>24.454999999999998</c:v>
                </c:pt>
                <c:pt idx="28">
                  <c:v>24.564999999999998</c:v>
                </c:pt>
                <c:pt idx="29">
                  <c:v>24.439999999999998</c:v>
                </c:pt>
                <c:pt idx="30">
                  <c:v>24.494999999999997</c:v>
                </c:pt>
                <c:pt idx="31">
                  <c:v>24.475000000000001</c:v>
                </c:pt>
                <c:pt idx="32">
                  <c:v>24.315000000000001</c:v>
                </c:pt>
                <c:pt idx="33">
                  <c:v>24.395</c:v>
                </c:pt>
                <c:pt idx="34">
                  <c:v>24.305</c:v>
                </c:pt>
                <c:pt idx="35">
                  <c:v>24.490000000000002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'T19-3'!$L$2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'T19-3'!$L$77:$L$112</c:f>
              <c:numCache>
                <c:formatCode>General</c:formatCode>
                <c:ptCount val="36"/>
                <c:pt idx="0">
                  <c:v>24.41</c:v>
                </c:pt>
                <c:pt idx="1">
                  <c:v>24.365000000000002</c:v>
                </c:pt>
                <c:pt idx="2">
                  <c:v>24.445</c:v>
                </c:pt>
                <c:pt idx="3">
                  <c:v>24.435000000000002</c:v>
                </c:pt>
                <c:pt idx="4">
                  <c:v>24.52</c:v>
                </c:pt>
                <c:pt idx="5">
                  <c:v>24.395</c:v>
                </c:pt>
                <c:pt idx="6">
                  <c:v>24.369999999999997</c:v>
                </c:pt>
                <c:pt idx="7">
                  <c:v>24.25</c:v>
                </c:pt>
                <c:pt idx="8">
                  <c:v>24.33</c:v>
                </c:pt>
                <c:pt idx="9">
                  <c:v>24.254999999999999</c:v>
                </c:pt>
                <c:pt idx="10">
                  <c:v>24.395000000000003</c:v>
                </c:pt>
                <c:pt idx="11">
                  <c:v>24.36</c:v>
                </c:pt>
                <c:pt idx="12">
                  <c:v>24.46</c:v>
                </c:pt>
                <c:pt idx="13">
                  <c:v>24.67</c:v>
                </c:pt>
                <c:pt idx="14">
                  <c:v>24.545000000000002</c:v>
                </c:pt>
                <c:pt idx="15">
                  <c:v>24.52</c:v>
                </c:pt>
                <c:pt idx="16">
                  <c:v>24.29</c:v>
                </c:pt>
                <c:pt idx="17">
                  <c:v>24.41</c:v>
                </c:pt>
                <c:pt idx="18">
                  <c:v>24.445</c:v>
                </c:pt>
                <c:pt idx="19">
                  <c:v>24.405000000000001</c:v>
                </c:pt>
                <c:pt idx="20">
                  <c:v>24.54</c:v>
                </c:pt>
                <c:pt idx="21">
                  <c:v>24.325000000000003</c:v>
                </c:pt>
                <c:pt idx="22">
                  <c:v>24.524999999999999</c:v>
                </c:pt>
                <c:pt idx="23">
                  <c:v>24.365000000000002</c:v>
                </c:pt>
                <c:pt idx="24">
                  <c:v>24.355</c:v>
                </c:pt>
                <c:pt idx="25">
                  <c:v>24.52</c:v>
                </c:pt>
                <c:pt idx="26">
                  <c:v>24.43</c:v>
                </c:pt>
                <c:pt idx="27">
                  <c:v>24.454999999999998</c:v>
                </c:pt>
                <c:pt idx="28">
                  <c:v>24.565000000000001</c:v>
                </c:pt>
                <c:pt idx="29">
                  <c:v>24.445</c:v>
                </c:pt>
                <c:pt idx="30">
                  <c:v>24.484999999999999</c:v>
                </c:pt>
                <c:pt idx="31">
                  <c:v>24.465</c:v>
                </c:pt>
                <c:pt idx="32">
                  <c:v>24.32</c:v>
                </c:pt>
                <c:pt idx="33">
                  <c:v>24.38</c:v>
                </c:pt>
                <c:pt idx="34">
                  <c:v>24.3</c:v>
                </c:pt>
                <c:pt idx="35">
                  <c:v>24.490000000000002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'T19-3'!$D$3:$D$38</c:f>
              <c:numCache>
                <c:formatCode>General</c:formatCode>
                <c:ptCount val="36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9</c:v>
                </c:pt>
                <c:pt idx="12">
                  <c:v>4</c:v>
                </c:pt>
                <c:pt idx="13">
                  <c:v>9</c:v>
                </c:pt>
                <c:pt idx="14">
                  <c:v>7</c:v>
                </c:pt>
                <c:pt idx="15">
                  <c:v>3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4</c:v>
                </c:pt>
                <c:pt idx="20">
                  <c:v>7</c:v>
                </c:pt>
                <c:pt idx="21">
                  <c:v>4</c:v>
                </c:pt>
                <c:pt idx="22">
                  <c:v>8</c:v>
                </c:pt>
                <c:pt idx="23">
                  <c:v>2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7</c:v>
                </c:pt>
                <c:pt idx="28">
                  <c:v>4</c:v>
                </c:pt>
                <c:pt idx="29">
                  <c:v>11</c:v>
                </c:pt>
                <c:pt idx="30">
                  <c:v>11</c:v>
                </c:pt>
                <c:pt idx="31">
                  <c:v>6</c:v>
                </c:pt>
                <c:pt idx="32">
                  <c:v>4</c:v>
                </c:pt>
                <c:pt idx="33">
                  <c:v>13</c:v>
                </c:pt>
                <c:pt idx="34">
                  <c:v>3</c:v>
                </c:pt>
                <c:pt idx="3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'T19-3'!$C$3:$C$38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'T19-3'!$D$39:$D$74</c:f>
              <c:numCache>
                <c:formatCode>General</c:formatCode>
                <c:ptCount val="36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6</c:v>
                </c:pt>
                <c:pt idx="4">
                  <c:v>14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3</c:v>
                </c:pt>
                <c:pt idx="14">
                  <c:v>9</c:v>
                </c:pt>
                <c:pt idx="15">
                  <c:v>4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  <c:pt idx="22">
                  <c:v>4</c:v>
                </c:pt>
                <c:pt idx="23">
                  <c:v>7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13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9</c:v>
                </c:pt>
                <c:pt idx="32">
                  <c:v>6</c:v>
                </c:pt>
                <c:pt idx="33">
                  <c:v>3</c:v>
                </c:pt>
                <c:pt idx="34">
                  <c:v>8</c:v>
                </c:pt>
                <c:pt idx="3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'T19-3'!$M$2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'T19-3'!$M$77:$M$112</c:f>
              <c:numCache>
                <c:formatCode>General</c:formatCode>
                <c:ptCount val="36"/>
                <c:pt idx="0">
                  <c:v>0</c:v>
                </c:pt>
                <c:pt idx="1">
                  <c:v>-1.0000000000005116E-2</c:v>
                </c:pt>
                <c:pt idx="2">
                  <c:v>9.9999999999980105E-3</c:v>
                </c:pt>
                <c:pt idx="3">
                  <c:v>4.9999999999990052E-3</c:v>
                </c:pt>
                <c:pt idx="4">
                  <c:v>1.5000000000000568E-2</c:v>
                </c:pt>
                <c:pt idx="5">
                  <c:v>4.9999999999990052E-3</c:v>
                </c:pt>
                <c:pt idx="6">
                  <c:v>1.0000000000005116E-2</c:v>
                </c:pt>
                <c:pt idx="7">
                  <c:v>5.000000000002558E-3</c:v>
                </c:pt>
                <c:pt idx="8">
                  <c:v>1.0000000000001563E-2</c:v>
                </c:pt>
                <c:pt idx="9">
                  <c:v>1.9999999999999574E-2</c:v>
                </c:pt>
                <c:pt idx="10">
                  <c:v>1.9999999999996021E-2</c:v>
                </c:pt>
                <c:pt idx="11">
                  <c:v>5.000000000002558E-3</c:v>
                </c:pt>
                <c:pt idx="12">
                  <c:v>-5.000000000002558E-3</c:v>
                </c:pt>
                <c:pt idx="13">
                  <c:v>0</c:v>
                </c:pt>
                <c:pt idx="14">
                  <c:v>4.9999999999990052E-3</c:v>
                </c:pt>
                <c:pt idx="15">
                  <c:v>-4.9999999999990052E-3</c:v>
                </c:pt>
                <c:pt idx="16">
                  <c:v>0</c:v>
                </c:pt>
                <c:pt idx="17">
                  <c:v>0</c:v>
                </c:pt>
                <c:pt idx="18">
                  <c:v>-2.0000000000003126E-2</c:v>
                </c:pt>
                <c:pt idx="19">
                  <c:v>1.5000000000000568E-2</c:v>
                </c:pt>
                <c:pt idx="20">
                  <c:v>-4.9999999999990052E-3</c:v>
                </c:pt>
                <c:pt idx="21">
                  <c:v>0</c:v>
                </c:pt>
                <c:pt idx="22">
                  <c:v>-4.9999999999990052E-3</c:v>
                </c:pt>
                <c:pt idx="23">
                  <c:v>-1.0000000000001563E-2</c:v>
                </c:pt>
                <c:pt idx="24">
                  <c:v>-4.9999999999990052E-3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-5.000000000002558E-3</c:v>
                </c:pt>
                <c:pt idx="30">
                  <c:v>9.9999999999980105E-3</c:v>
                </c:pt>
                <c:pt idx="31">
                  <c:v>1.0000000000001563E-2</c:v>
                </c:pt>
                <c:pt idx="32">
                  <c:v>-4.9999999999990052E-3</c:v>
                </c:pt>
                <c:pt idx="33">
                  <c:v>1.5000000000000568E-2</c:v>
                </c:pt>
                <c:pt idx="34">
                  <c:v>4.9999999999990052E-3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'T19-3'!$U$2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'T19-3'!$U$77:$U$112</c:f>
              <c:numCache>
                <c:formatCode>General</c:formatCode>
                <c:ptCount val="36"/>
                <c:pt idx="0">
                  <c:v>2.6926649999999969E-3</c:v>
                </c:pt>
                <c:pt idx="1">
                  <c:v>2.6506249999999898E-3</c:v>
                </c:pt>
                <c:pt idx="2">
                  <c:v>3.2940449999999954E-3</c:v>
                </c:pt>
                <c:pt idx="3">
                  <c:v>1.3718800000000059E-3</c:v>
                </c:pt>
                <c:pt idx="4">
                  <c:v>2.1076200000000184E-3</c:v>
                </c:pt>
                <c:pt idx="5">
                  <c:v>3.8916250000000097E-3</c:v>
                </c:pt>
                <c:pt idx="6">
                  <c:v>5.1361149999999828E-3</c:v>
                </c:pt>
                <c:pt idx="7">
                  <c:v>1.821650000000119E-4</c:v>
                </c:pt>
                <c:pt idx="8">
                  <c:v>9.4166000000001082E-4</c:v>
                </c:pt>
                <c:pt idx="9">
                  <c:v>-3.7397000000000125E-4</c:v>
                </c:pt>
                <c:pt idx="10">
                  <c:v>-1.4562450000000088E-3</c:v>
                </c:pt>
                <c:pt idx="11">
                  <c:v>-1.5672099999999994E-3</c:v>
                </c:pt>
                <c:pt idx="12">
                  <c:v>7.8139999999990439E-5</c:v>
                </c:pt>
                <c:pt idx="13">
                  <c:v>-2.9360749999999963E-3</c:v>
                </c:pt>
                <c:pt idx="14">
                  <c:v>1.9475000000004905E-5</c:v>
                </c:pt>
                <c:pt idx="15">
                  <c:v>-8.7815999999998895E-4</c:v>
                </c:pt>
                <c:pt idx="16">
                  <c:v>-2.7705999999999564E-4</c:v>
                </c:pt>
                <c:pt idx="17">
                  <c:v>-3.2517849999999932E-3</c:v>
                </c:pt>
                <c:pt idx="18">
                  <c:v>-3.0153299999999966E-3</c:v>
                </c:pt>
                <c:pt idx="19">
                  <c:v>-2.7714400000000139E-3</c:v>
                </c:pt>
                <c:pt idx="20">
                  <c:v>-2.7374849999999978E-3</c:v>
                </c:pt>
                <c:pt idx="21">
                  <c:v>-1.9724450000000032E-3</c:v>
                </c:pt>
                <c:pt idx="22">
                  <c:v>-4.6875199999999867E-3</c:v>
                </c:pt>
                <c:pt idx="23">
                  <c:v>-2.9696149999999949E-3</c:v>
                </c:pt>
                <c:pt idx="24">
                  <c:v>-2.6374850000000089E-3</c:v>
                </c:pt>
                <c:pt idx="25">
                  <c:v>2.2843449999999932E-3</c:v>
                </c:pt>
                <c:pt idx="26">
                  <c:v>4.0486000000000688E-4</c:v>
                </c:pt>
                <c:pt idx="27">
                  <c:v>-6.7321000000000741E-4</c:v>
                </c:pt>
                <c:pt idx="28">
                  <c:v>1.3864300000000079E-3</c:v>
                </c:pt>
                <c:pt idx="29">
                  <c:v>-7.0833000000000701E-4</c:v>
                </c:pt>
                <c:pt idx="30">
                  <c:v>1.9758900000000079E-3</c:v>
                </c:pt>
                <c:pt idx="31">
                  <c:v>-5.0010000000003108E-5</c:v>
                </c:pt>
                <c:pt idx="32">
                  <c:v>7.7916000000000096E-4</c:v>
                </c:pt>
                <c:pt idx="33">
                  <c:v>8.7149999999994177E-5</c:v>
                </c:pt>
                <c:pt idx="34">
                  <c:v>2.530210000000005E-3</c:v>
                </c:pt>
                <c:pt idx="35">
                  <c:v>2.449990000000013E-3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'T19-3'!$C$77:$C$112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'T19-3'!$V$77:$V$112</c:f>
              <c:numCache>
                <c:formatCode>General</c:formatCode>
                <c:ptCount val="36"/>
                <c:pt idx="0">
                  <c:v>-1.6474999999999962E-3</c:v>
                </c:pt>
                <c:pt idx="1">
                  <c:v>-1.3080649999999971E-3</c:v>
                </c:pt>
                <c:pt idx="2">
                  <c:v>-1.6631750000000167E-3</c:v>
                </c:pt>
                <c:pt idx="3">
                  <c:v>-2.0316499999997739E-4</c:v>
                </c:pt>
                <c:pt idx="4">
                  <c:v>1.1343750000000208E-3</c:v>
                </c:pt>
                <c:pt idx="5">
                  <c:v>2.09098000000002E-3</c:v>
                </c:pt>
                <c:pt idx="6">
                  <c:v>1.5138749999999701E-3</c:v>
                </c:pt>
                <c:pt idx="7">
                  <c:v>2.8678599999999721E-3</c:v>
                </c:pt>
                <c:pt idx="8">
                  <c:v>4.6374399999999927E-3</c:v>
                </c:pt>
                <c:pt idx="9">
                  <c:v>2.0979250000000005E-3</c:v>
                </c:pt>
                <c:pt idx="10">
                  <c:v>1.3031299999999579E-3</c:v>
                </c:pt>
                <c:pt idx="11">
                  <c:v>2.8756400000000126E-3</c:v>
                </c:pt>
                <c:pt idx="12">
                  <c:v>3.9170050000000012E-3</c:v>
                </c:pt>
                <c:pt idx="13">
                  <c:v>3.9305249999999903E-3</c:v>
                </c:pt>
                <c:pt idx="14">
                  <c:v>2.0023499999999861E-3</c:v>
                </c:pt>
                <c:pt idx="15">
                  <c:v>2.9729350000000099E-3</c:v>
                </c:pt>
                <c:pt idx="16">
                  <c:v>1.5125E-3</c:v>
                </c:pt>
                <c:pt idx="17">
                  <c:v>1.0214249999999925E-3</c:v>
                </c:pt>
                <c:pt idx="18">
                  <c:v>-2.2103049999999957E-3</c:v>
                </c:pt>
                <c:pt idx="19">
                  <c:v>3.5267499999999674E-4</c:v>
                </c:pt>
                <c:pt idx="20">
                  <c:v>-1.0518149999999837E-3</c:v>
                </c:pt>
                <c:pt idx="21">
                  <c:v>-1.96685000000002E-3</c:v>
                </c:pt>
                <c:pt idx="22">
                  <c:v>-2.7156249999999715E-3</c:v>
                </c:pt>
                <c:pt idx="23">
                  <c:v>-3.3187149999999721E-3</c:v>
                </c:pt>
                <c:pt idx="24">
                  <c:v>-2.1910850000000093E-3</c:v>
                </c:pt>
                <c:pt idx="25">
                  <c:v>-2.9468700000000181E-3</c:v>
                </c:pt>
                <c:pt idx="26">
                  <c:v>-1.2854250000000067E-3</c:v>
                </c:pt>
                <c:pt idx="27">
                  <c:v>-1.8524950000000096E-3</c:v>
                </c:pt>
                <c:pt idx="28">
                  <c:v>-2.996814999999986E-3</c:v>
                </c:pt>
                <c:pt idx="29">
                  <c:v>-2.2939399999999943E-3</c:v>
                </c:pt>
                <c:pt idx="30">
                  <c:v>-3.2252150000000035E-3</c:v>
                </c:pt>
                <c:pt idx="31">
                  <c:v>-1.6402650000000019E-3</c:v>
                </c:pt>
                <c:pt idx="32">
                  <c:v>-1.5781800000000124E-3</c:v>
                </c:pt>
                <c:pt idx="33">
                  <c:v>-2.0496750000000008E-3</c:v>
                </c:pt>
                <c:pt idx="34">
                  <c:v>-4.3855000000000977E-4</c:v>
                </c:pt>
                <c:pt idx="35">
                  <c:v>-4.0536500000001863E-4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 b="1">
                <a:solidFill>
                  <a:sysClr val="windowText" lastClr="000000"/>
                </a:solidFill>
              </a:rPr>
              <a:t>Harmonická regrese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Regrese!$M$4</c:f>
              <c:strCache>
                <c:ptCount val="1"/>
                <c:pt idx="0">
                  <c:v>diffX proklad (1H)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Regrese!$M$5:$M$77</c:f>
              <c:numCache>
                <c:formatCode>0.0000000</c:formatCode>
                <c:ptCount val="73"/>
                <c:pt idx="0">
                  <c:v>2.577846918097473E-3</c:v>
                </c:pt>
                <c:pt idx="1">
                  <c:v>2.6141879211596681E-3</c:v>
                </c:pt>
                <c:pt idx="2">
                  <c:v>2.6309083457108765E-3</c:v>
                </c:pt>
                <c:pt idx="3">
                  <c:v>2.6278809392241945E-3</c:v>
                </c:pt>
                <c:pt idx="4">
                  <c:v>2.6051287420909837E-3</c:v>
                </c:pt>
                <c:pt idx="5">
                  <c:v>2.5628249122695806E-3</c:v>
                </c:pt>
                <c:pt idx="6">
                  <c:v>2.5012914074486765E-3</c:v>
                </c:pt>
                <c:pt idx="7">
                  <c:v>2.4209965347549048E-3</c:v>
                </c:pt>
                <c:pt idx="8">
                  <c:v>2.3225513866528347E-3</c:v>
                </c:pt>
                <c:pt idx="9">
                  <c:v>2.2067051901623284E-3</c:v>
                </c:pt>
                <c:pt idx="10">
                  <c:v>2.0743396047885249E-3</c:v>
                </c:pt>
                <c:pt idx="11">
                  <c:v>1.9264620125606442E-3</c:v>
                </c:pt>
                <c:pt idx="12">
                  <c:v>1.7641978512464723E-3</c:v>
                </c:pt>
                <c:pt idx="13">
                  <c:v>1.5887820490913891E-3</c:v>
                </c:pt>
                <c:pt idx="14">
                  <c:v>1.4015496262687525E-3</c:v>
                </c:pt>
                <c:pt idx="15">
                  <c:v>1.2039255345702702E-3</c:v>
                </c:pt>
                <c:pt idx="16">
                  <c:v>9.9741381266245746E-4</c:v>
                </c:pt>
                <c:pt idx="17">
                  <c:v>7.8358613944421872E-4</c:v>
                </c:pt>
                <c:pt idx="18">
                  <c:v>5.6406987262142493E-4</c:v>
                </c:pt>
                <c:pt idx="19">
                  <c:v>3.4053566353214242E-4</c:v>
                </c:pt>
                <c:pt idx="20">
                  <c:v>1.1468474248118752E-4</c:v>
                </c:pt>
                <c:pt idx="21">
                  <c:v>-1.1176402864972841E-4</c:v>
                </c:pt>
                <c:pt idx="22">
                  <c:v>-3.3708723797879153E-4</c:v>
                </c:pt>
                <c:pt idx="23">
                  <c:v>-5.5957003982913458E-4</c:v>
                </c:pt>
                <c:pt idx="24">
                  <c:v>-7.7751920573988786E-4</c:v>
                </c:pt>
                <c:pt idx="25">
                  <c:v>-9.8927601095716734E-4</c:v>
                </c:pt>
                <c:pt idx="26">
                  <c:v>-1.1932288583310119E-3</c:v>
                </c:pt>
                <c:pt idx="27">
                  <c:v>-1.3878255435428118E-3</c:v>
                </c:pt>
                <c:pt idx="28">
                  <c:v>-1.5715850683174141E-3</c:v>
                </c:pt>
                <c:pt idx="29">
                  <c:v>-1.7431089117142503E-3</c:v>
                </c:pt>
                <c:pt idx="30">
                  <c:v>-1.9010916737161397E-3</c:v>
                </c:pt>
                <c:pt idx="31">
                  <c:v>-2.0443310101116497E-3</c:v>
                </c:pt>
                <c:pt idx="32">
                  <c:v>-2.1717367830605344E-3</c:v>
                </c:pt>
                <c:pt idx="33">
                  <c:v>-2.2823393577009435E-3</c:v>
                </c:pt>
                <c:pt idx="34">
                  <c:v>-2.3752969816562036E-3</c:v>
                </c:pt>
                <c:pt idx="35">
                  <c:v>-2.4499021912786668E-3</c:v>
                </c:pt>
                <c:pt idx="36">
                  <c:v>-2.5055871958752484E-3</c:v>
                </c:pt>
                <c:pt idx="37">
                  <c:v>-2.5419281989374435E-3</c:v>
                </c:pt>
                <c:pt idx="38">
                  <c:v>-2.5586486234886519E-3</c:v>
                </c:pt>
                <c:pt idx="39">
                  <c:v>-2.5556212170019699E-3</c:v>
                </c:pt>
                <c:pt idx="40">
                  <c:v>-2.5328690198687591E-3</c:v>
                </c:pt>
                <c:pt idx="41">
                  <c:v>-2.4905651900473565E-3</c:v>
                </c:pt>
                <c:pt idx="42">
                  <c:v>-2.4290316852264519E-3</c:v>
                </c:pt>
                <c:pt idx="43">
                  <c:v>-2.3487368125326802E-3</c:v>
                </c:pt>
                <c:pt idx="44">
                  <c:v>-2.2502916644306097E-3</c:v>
                </c:pt>
                <c:pt idx="45">
                  <c:v>-2.1344454679401042E-3</c:v>
                </c:pt>
                <c:pt idx="46">
                  <c:v>-2.0020798825663003E-3</c:v>
                </c:pt>
                <c:pt idx="47">
                  <c:v>-1.8542022903384201E-3</c:v>
                </c:pt>
                <c:pt idx="48">
                  <c:v>-1.6919381290242486E-3</c:v>
                </c:pt>
                <c:pt idx="49">
                  <c:v>-1.5165223268691639E-3</c:v>
                </c:pt>
                <c:pt idx="50">
                  <c:v>-1.3292899040465273E-3</c:v>
                </c:pt>
                <c:pt idx="51">
                  <c:v>-1.1316658123480454E-3</c:v>
                </c:pt>
                <c:pt idx="52">
                  <c:v>-9.2515409044023242E-4</c:v>
                </c:pt>
                <c:pt idx="53">
                  <c:v>-7.1132641722199434E-4</c:v>
                </c:pt>
                <c:pt idx="54">
                  <c:v>-4.9181015039920055E-4</c:v>
                </c:pt>
                <c:pt idx="55">
                  <c:v>-2.6827594130991863E-4</c:v>
                </c:pt>
                <c:pt idx="56">
                  <c:v>-4.2425020258963792E-5</c:v>
                </c:pt>
                <c:pt idx="57">
                  <c:v>1.8402375087195159E-4</c:v>
                </c:pt>
                <c:pt idx="58">
                  <c:v>4.0934696020101689E-4</c:v>
                </c:pt>
                <c:pt idx="59">
                  <c:v>6.3182976205136015E-4</c:v>
                </c:pt>
                <c:pt idx="60">
                  <c:v>8.4977892796211344E-4</c:v>
                </c:pt>
                <c:pt idx="61">
                  <c:v>1.0615357331793915E-3</c:v>
                </c:pt>
                <c:pt idx="62">
                  <c:v>1.2654885805532361E-3</c:v>
                </c:pt>
                <c:pt idx="63">
                  <c:v>1.4600852657650361E-3</c:v>
                </c:pt>
                <c:pt idx="64">
                  <c:v>1.6438447905396381E-3</c:v>
                </c:pt>
                <c:pt idx="65">
                  <c:v>1.8153686339364738E-3</c:v>
                </c:pt>
                <c:pt idx="66">
                  <c:v>1.9733513959383632E-3</c:v>
                </c:pt>
                <c:pt idx="67">
                  <c:v>2.1165907323338748E-3</c:v>
                </c:pt>
                <c:pt idx="68">
                  <c:v>2.2439965052827595E-3</c:v>
                </c:pt>
                <c:pt idx="69">
                  <c:v>2.354599079923169E-3</c:v>
                </c:pt>
                <c:pt idx="70">
                  <c:v>2.4475567038784282E-3</c:v>
                </c:pt>
                <c:pt idx="71">
                  <c:v>2.522161913500891E-3</c:v>
                </c:pt>
                <c:pt idx="72">
                  <c:v>2.577846918097473E-3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5-4765-89FB-9B9A82AAB533}"/>
            </c:ext>
          </c:extLst>
        </c:ser>
        <c:ser>
          <c:idx val="0"/>
          <c:order val="0"/>
          <c:tx>
            <c:strRef>
              <c:f>Regrese!$B$4</c:f>
              <c:strCache>
                <c:ptCount val="1"/>
                <c:pt idx="0">
                  <c:v>diffX_prumer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rgbClr val="FF000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Regrese!$B$5:$B$40</c:f>
              <c:numCache>
                <c:formatCode>0.000000</c:formatCode>
                <c:ptCount val="36"/>
                <c:pt idx="0">
                  <c:v>2.6926649999999969E-3</c:v>
                </c:pt>
                <c:pt idx="1">
                  <c:v>2.6506249999999898E-3</c:v>
                </c:pt>
                <c:pt idx="2">
                  <c:v>3.2940449999999954E-3</c:v>
                </c:pt>
                <c:pt idx="3">
                  <c:v>1.3718800000000059E-3</c:v>
                </c:pt>
                <c:pt idx="4">
                  <c:v>2.1076200000000184E-3</c:v>
                </c:pt>
                <c:pt idx="5">
                  <c:v>3.8916250000000097E-3</c:v>
                </c:pt>
                <c:pt idx="6">
                  <c:v>5.1361149999999828E-3</c:v>
                </c:pt>
                <c:pt idx="7">
                  <c:v>1.821650000000119E-4</c:v>
                </c:pt>
                <c:pt idx="8">
                  <c:v>9.4166000000001082E-4</c:v>
                </c:pt>
                <c:pt idx="9">
                  <c:v>-3.7397000000000125E-4</c:v>
                </c:pt>
                <c:pt idx="10">
                  <c:v>-1.4562450000000088E-3</c:v>
                </c:pt>
                <c:pt idx="11">
                  <c:v>-1.5672099999999994E-3</c:v>
                </c:pt>
                <c:pt idx="12">
                  <c:v>7.8139999999990439E-5</c:v>
                </c:pt>
                <c:pt idx="13">
                  <c:v>-2.9360749999999963E-3</c:v>
                </c:pt>
                <c:pt idx="14">
                  <c:v>1.9475000000004905E-5</c:v>
                </c:pt>
                <c:pt idx="15">
                  <c:v>-8.7815999999998895E-4</c:v>
                </c:pt>
                <c:pt idx="16">
                  <c:v>-2.7705999999999564E-4</c:v>
                </c:pt>
                <c:pt idx="17">
                  <c:v>-3.2517849999999932E-3</c:v>
                </c:pt>
                <c:pt idx="18">
                  <c:v>-3.0153299999999966E-3</c:v>
                </c:pt>
                <c:pt idx="19">
                  <c:v>-2.7714400000000139E-3</c:v>
                </c:pt>
                <c:pt idx="20">
                  <c:v>-2.7374849999999978E-3</c:v>
                </c:pt>
                <c:pt idx="21">
                  <c:v>-1.9724450000000032E-3</c:v>
                </c:pt>
                <c:pt idx="22">
                  <c:v>-4.6875199999999867E-3</c:v>
                </c:pt>
                <c:pt idx="23">
                  <c:v>-2.9696149999999949E-3</c:v>
                </c:pt>
                <c:pt idx="24">
                  <c:v>-2.6374850000000089E-3</c:v>
                </c:pt>
                <c:pt idx="25">
                  <c:v>2.2843449999999932E-3</c:v>
                </c:pt>
                <c:pt idx="26">
                  <c:v>4.0486000000000688E-4</c:v>
                </c:pt>
                <c:pt idx="27">
                  <c:v>-6.7321000000000741E-4</c:v>
                </c:pt>
                <c:pt idx="28">
                  <c:v>1.3864300000000079E-3</c:v>
                </c:pt>
                <c:pt idx="29">
                  <c:v>-7.0833000000000701E-4</c:v>
                </c:pt>
                <c:pt idx="30">
                  <c:v>1.9758900000000079E-3</c:v>
                </c:pt>
                <c:pt idx="31">
                  <c:v>-5.0010000000003108E-5</c:v>
                </c:pt>
                <c:pt idx="32">
                  <c:v>7.7916000000000096E-4</c:v>
                </c:pt>
                <c:pt idx="33">
                  <c:v>8.7149999999994177E-5</c:v>
                </c:pt>
                <c:pt idx="34">
                  <c:v>2.530210000000005E-3</c:v>
                </c:pt>
                <c:pt idx="35">
                  <c:v>2.449990000000013E-3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25-4765-89FB-9B9A82AAB533}"/>
            </c:ext>
          </c:extLst>
        </c:ser>
        <c:ser>
          <c:idx val="2"/>
          <c:order val="2"/>
          <c:tx>
            <c:strRef>
              <c:f>Regrese!$C$4</c:f>
              <c:strCache>
                <c:ptCount val="1"/>
                <c:pt idx="0">
                  <c:v>diffY_prumer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Regrese!$C$5:$C$40</c:f>
              <c:numCache>
                <c:formatCode>0.000000</c:formatCode>
                <c:ptCount val="36"/>
                <c:pt idx="0">
                  <c:v>-1.6474999999999962E-3</c:v>
                </c:pt>
                <c:pt idx="1">
                  <c:v>-1.3080649999999971E-3</c:v>
                </c:pt>
                <c:pt idx="2">
                  <c:v>-1.6631750000000167E-3</c:v>
                </c:pt>
                <c:pt idx="3">
                  <c:v>-2.0316499999997739E-4</c:v>
                </c:pt>
                <c:pt idx="4">
                  <c:v>1.1343750000000208E-3</c:v>
                </c:pt>
                <c:pt idx="5">
                  <c:v>2.09098000000002E-3</c:v>
                </c:pt>
                <c:pt idx="6">
                  <c:v>1.5138749999999701E-3</c:v>
                </c:pt>
                <c:pt idx="7">
                  <c:v>2.8678599999999721E-3</c:v>
                </c:pt>
                <c:pt idx="8">
                  <c:v>4.6374399999999927E-3</c:v>
                </c:pt>
                <c:pt idx="9">
                  <c:v>2.0979250000000005E-3</c:v>
                </c:pt>
                <c:pt idx="10">
                  <c:v>1.3031299999999579E-3</c:v>
                </c:pt>
                <c:pt idx="11">
                  <c:v>2.8756400000000126E-3</c:v>
                </c:pt>
                <c:pt idx="12">
                  <c:v>3.9170050000000012E-3</c:v>
                </c:pt>
                <c:pt idx="13">
                  <c:v>3.9305249999999903E-3</c:v>
                </c:pt>
                <c:pt idx="14">
                  <c:v>2.0023499999999861E-3</c:v>
                </c:pt>
                <c:pt idx="15">
                  <c:v>2.9729350000000099E-3</c:v>
                </c:pt>
                <c:pt idx="16">
                  <c:v>1.5125E-3</c:v>
                </c:pt>
                <c:pt idx="17">
                  <c:v>1.0214249999999925E-3</c:v>
                </c:pt>
                <c:pt idx="18">
                  <c:v>-2.2103049999999957E-3</c:v>
                </c:pt>
                <c:pt idx="19">
                  <c:v>3.5267499999999674E-4</c:v>
                </c:pt>
                <c:pt idx="20">
                  <c:v>-1.0518149999999837E-3</c:v>
                </c:pt>
                <c:pt idx="21">
                  <c:v>-1.96685000000002E-3</c:v>
                </c:pt>
                <c:pt idx="22">
                  <c:v>-2.7156249999999715E-3</c:v>
                </c:pt>
                <c:pt idx="23">
                  <c:v>-3.3187149999999721E-3</c:v>
                </c:pt>
                <c:pt idx="24">
                  <c:v>-2.1910850000000093E-3</c:v>
                </c:pt>
                <c:pt idx="25">
                  <c:v>-2.9468700000000181E-3</c:v>
                </c:pt>
                <c:pt idx="26">
                  <c:v>-1.2854250000000067E-3</c:v>
                </c:pt>
                <c:pt idx="27">
                  <c:v>-1.8524950000000096E-3</c:v>
                </c:pt>
                <c:pt idx="28">
                  <c:v>-2.996814999999986E-3</c:v>
                </c:pt>
                <c:pt idx="29">
                  <c:v>-2.2939399999999943E-3</c:v>
                </c:pt>
                <c:pt idx="30">
                  <c:v>-3.2252150000000035E-3</c:v>
                </c:pt>
                <c:pt idx="31">
                  <c:v>-1.6402650000000019E-3</c:v>
                </c:pt>
                <c:pt idx="32">
                  <c:v>-1.5781800000000124E-3</c:v>
                </c:pt>
                <c:pt idx="33">
                  <c:v>-2.0496750000000008E-3</c:v>
                </c:pt>
                <c:pt idx="34">
                  <c:v>-4.3855000000000977E-4</c:v>
                </c:pt>
                <c:pt idx="35">
                  <c:v>-4.0536500000001863E-4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25-4765-89FB-9B9A82AAB533}"/>
            </c:ext>
          </c:extLst>
        </c:ser>
        <c:ser>
          <c:idx val="3"/>
          <c:order val="3"/>
          <c:tx>
            <c:strRef>
              <c:f>Regrese!$N$4</c:f>
              <c:strCache>
                <c:ptCount val="1"/>
                <c:pt idx="0">
                  <c:v>diffY proklad (1H)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Regrese!$N$5:$N$77</c:f>
              <c:numCache>
                <c:formatCode>0.0000000</c:formatCode>
                <c:ptCount val="73"/>
                <c:pt idx="0">
                  <c:v>-6.2225100372463864E-4</c:v>
                </c:pt>
                <c:pt idx="1">
                  <c:v>-3.7474131975400625E-4</c:v>
                </c:pt>
                <c:pt idx="2">
                  <c:v>-1.2538559239237506E-4</c:v>
                </c:pt>
                <c:pt idx="3">
                  <c:v>1.2391843070992811E-4</c:v>
                </c:pt>
                <c:pt idx="4">
                  <c:v>3.7127339540320994E-4</c:v>
                </c:pt>
                <c:pt idx="5">
                  <c:v>6.1479678104914336E-4</c:v>
                </c:pt>
                <c:pt idx="6">
                  <c:v>8.5263522763952173E-4</c:v>
                </c:pt>
                <c:pt idx="7">
                  <c:v>1.0829786409850125E-3</c:v>
                </c:pt>
                <c:pt idx="8">
                  <c:v>1.3040739686249003E-3</c:v>
                </c:pt>
                <c:pt idx="9">
                  <c:v>1.514238541614837E-3</c:v>
                </c:pt>
                <c:pt idx="10">
                  <c:v>1.7118728806535303E-3</c:v>
                </c:pt>
                <c:pt idx="11">
                  <c:v>1.8954728690860189E-3</c:v>
                </c:pt>
                <c:pt idx="12">
                  <c:v>2.0636412001396277E-3</c:v>
                </c:pt>
                <c:pt idx="13">
                  <c:v>2.215098011272224E-3</c:v>
                </c:pt>
                <c:pt idx="14">
                  <c:v>2.3486906246989662E-3</c:v>
                </c:pt>
                <c:pt idx="15">
                  <c:v>2.4634023199662509E-3</c:v>
                </c:pt>
                <c:pt idx="16">
                  <c:v>2.5583600718082789E-3</c:v>
                </c:pt>
                <c:pt idx="17">
                  <c:v>2.6328411943964745E-3</c:v>
                </c:pt>
                <c:pt idx="18">
                  <c:v>2.6862788414150091E-3</c:v>
                </c:pt>
                <c:pt idx="19">
                  <c:v>2.7182663201035392E-3</c:v>
                </c:pt>
                <c:pt idx="20">
                  <c:v>2.7285601864346764E-3</c:v>
                </c:pt>
                <c:pt idx="21">
                  <c:v>2.7170820978700354E-3</c:v>
                </c:pt>
                <c:pt idx="22">
                  <c:v>2.6839194095942521E-3</c:v>
                </c:pt>
                <c:pt idx="23">
                  <c:v>2.629324509689284E-3</c:v>
                </c:pt>
                <c:pt idx="24">
                  <c:v>2.5537128983087088E-3</c:v>
                </c:pt>
                <c:pt idx="25">
                  <c:v>2.4576600254706724E-3</c:v>
                </c:pt>
                <c:pt idx="26">
                  <c:v>2.3418969115357835E-3</c:v>
                </c:pt>
                <c:pt idx="27">
                  <c:v>2.207304583700765E-3</c:v>
                </c:pt>
                <c:pt idx="28">
                  <c:v>2.0549073708495116E-3</c:v>
                </c:pt>
                <c:pt idx="29">
                  <c:v>1.8858651077917729E-3</c:v>
                </c:pt>
                <c:pt idx="30">
                  <c:v>1.7014643082199292E-3</c:v>
                </c:pt>
                <c:pt idx="31">
                  <c:v>1.5031083735629687E-3</c:v>
                </c:pt>
                <c:pt idx="32">
                  <c:v>1.2923069122542188E-3</c:v>
                </c:pt>
                <c:pt idx="33">
                  <c:v>1.0706642506996412E-3</c:v>
                </c:pt>
                <c:pt idx="34">
                  <c:v>8.3986722338516356E-4</c:v>
                </c:pt>
                <c:pt idx="35">
                  <c:v>6.0167233504770663E-4</c:v>
                </c:pt>
                <c:pt idx="36">
                  <c:v>3.5789239261352314E-4</c:v>
                </c:pt>
                <c:pt idx="37">
                  <c:v>1.1038270864289107E-4</c:v>
                </c:pt>
                <c:pt idx="38">
                  <c:v>-1.3897301871874121E-4</c:v>
                </c:pt>
                <c:pt idx="39">
                  <c:v>-3.8827704182104416E-4</c:v>
                </c:pt>
                <c:pt idx="40">
                  <c:v>-6.3563200651432555E-4</c:v>
                </c:pt>
                <c:pt idx="41">
                  <c:v>-8.7915539216025865E-4</c:v>
                </c:pt>
                <c:pt idx="42">
                  <c:v>-1.1169938387506381E-3</c:v>
                </c:pt>
                <c:pt idx="43">
                  <c:v>-1.3473372520961284E-3</c:v>
                </c:pt>
                <c:pt idx="44">
                  <c:v>-1.5684325797360162E-3</c:v>
                </c:pt>
                <c:pt idx="45">
                  <c:v>-1.7785971527259526E-3</c:v>
                </c:pt>
                <c:pt idx="46">
                  <c:v>-1.9762314917646457E-3</c:v>
                </c:pt>
                <c:pt idx="47">
                  <c:v>-2.1598314801971339E-3</c:v>
                </c:pt>
                <c:pt idx="48">
                  <c:v>-2.3279998112507427E-3</c:v>
                </c:pt>
                <c:pt idx="49">
                  <c:v>-2.4794566223833407E-3</c:v>
                </c:pt>
                <c:pt idx="50">
                  <c:v>-2.6130492358100821E-3</c:v>
                </c:pt>
                <c:pt idx="51">
                  <c:v>-2.7277609310773668E-3</c:v>
                </c:pt>
                <c:pt idx="52">
                  <c:v>-2.8227186829193947E-3</c:v>
                </c:pt>
                <c:pt idx="53">
                  <c:v>-2.8971998055075904E-3</c:v>
                </c:pt>
                <c:pt idx="54">
                  <c:v>-2.950637452526125E-3</c:v>
                </c:pt>
                <c:pt idx="55">
                  <c:v>-2.982624931214655E-3</c:v>
                </c:pt>
                <c:pt idx="56">
                  <c:v>-2.9929187975457927E-3</c:v>
                </c:pt>
                <c:pt idx="57">
                  <c:v>-2.9814407089811513E-3</c:v>
                </c:pt>
                <c:pt idx="58">
                  <c:v>-2.9482780207053679E-3</c:v>
                </c:pt>
                <c:pt idx="59">
                  <c:v>-2.8936831208003994E-3</c:v>
                </c:pt>
                <c:pt idx="60">
                  <c:v>-2.8180715094198241E-3</c:v>
                </c:pt>
                <c:pt idx="61">
                  <c:v>-2.7220186365817887E-3</c:v>
                </c:pt>
                <c:pt idx="62">
                  <c:v>-2.6062555226468997E-3</c:v>
                </c:pt>
                <c:pt idx="63">
                  <c:v>-2.4716631948118813E-3</c:v>
                </c:pt>
                <c:pt idx="64">
                  <c:v>-2.3192659819606274E-3</c:v>
                </c:pt>
                <c:pt idx="65">
                  <c:v>-2.1502237189028901E-3</c:v>
                </c:pt>
                <c:pt idx="66">
                  <c:v>-1.9658229193310461E-3</c:v>
                </c:pt>
                <c:pt idx="67">
                  <c:v>-1.7674669846740837E-3</c:v>
                </c:pt>
                <c:pt idx="68">
                  <c:v>-1.5566655233653338E-3</c:v>
                </c:pt>
                <c:pt idx="69">
                  <c:v>-1.3350228618107562E-3</c:v>
                </c:pt>
                <c:pt idx="70">
                  <c:v>-1.1042258344962797E-3</c:v>
                </c:pt>
                <c:pt idx="71">
                  <c:v>-8.6603094615882279E-4</c:v>
                </c:pt>
                <c:pt idx="72">
                  <c:v>-6.2225100372463929E-4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25-4765-89FB-9B9A82A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91919"/>
        <c:axId val="420391407"/>
      </c:scatterChart>
      <c:valAx>
        <c:axId val="715691919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20391407"/>
        <c:crosses val="autoZero"/>
        <c:crossBetween val="midCat"/>
        <c:majorUnit val="10"/>
      </c:valAx>
      <c:valAx>
        <c:axId val="420391407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569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533656</xdr:colOff>
      <xdr:row>9</xdr:row>
      <xdr:rowOff>36240</xdr:rowOff>
    </xdr:from>
    <xdr:to>
      <xdr:col>39</xdr:col>
      <xdr:colOff>554182</xdr:colOff>
      <xdr:row>41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9E460-72E0-4119-BF6A-6689A13EC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Normal="100" workbookViewId="0">
      <selection activeCell="AE7" sqref="AE7:AE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102" t="s">
        <v>29</v>
      </c>
      <c r="B1" s="102"/>
      <c r="C1" s="102" t="s">
        <v>64</v>
      </c>
      <c r="D1" s="102"/>
      <c r="E1" s="102" t="s">
        <v>62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AC1" s="53" t="s">
        <v>52</v>
      </c>
      <c r="AD1" s="54"/>
      <c r="AE1" s="54"/>
      <c r="AF1" s="54"/>
      <c r="AG1" s="55"/>
    </row>
    <row r="2" spans="1:33" ht="15.75" customHeigh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AC2" s="56"/>
      <c r="AD2" s="57"/>
      <c r="AE2" s="57"/>
      <c r="AF2" s="57"/>
      <c r="AG2" s="58"/>
    </row>
    <row r="4" spans="1:33" x14ac:dyDescent="0.25">
      <c r="A4" s="101" t="s">
        <v>30</v>
      </c>
      <c r="B4" s="101"/>
      <c r="C4" s="101"/>
      <c r="D4" s="101"/>
      <c r="E4" s="101"/>
      <c r="F4" s="101"/>
      <c r="G4" s="64" t="s">
        <v>93</v>
      </c>
      <c r="H4" s="65"/>
      <c r="I4" s="2" t="s">
        <v>18</v>
      </c>
      <c r="K4" s="103" t="s">
        <v>45</v>
      </c>
      <c r="L4" s="103"/>
      <c r="M4" s="103"/>
      <c r="N4" s="103"/>
      <c r="O4" s="103"/>
      <c r="P4" s="103"/>
      <c r="R4" s="103" t="s">
        <v>46</v>
      </c>
      <c r="S4" s="103"/>
      <c r="T4" s="103"/>
      <c r="U4" s="103"/>
      <c r="V4" s="103"/>
      <c r="W4" s="103"/>
      <c r="X4" s="103"/>
      <c r="Y4" s="103"/>
      <c r="AC4" s="87"/>
      <c r="AD4" s="90"/>
      <c r="AE4" s="91" t="s">
        <v>93</v>
      </c>
      <c r="AF4" s="90"/>
      <c r="AG4" s="87"/>
    </row>
    <row r="5" spans="1:33" ht="15.75" customHeight="1" x14ac:dyDescent="0.25">
      <c r="A5" s="61" t="s">
        <v>31</v>
      </c>
      <c r="B5" s="62"/>
      <c r="C5" s="62"/>
      <c r="D5" s="62"/>
      <c r="E5" s="62"/>
      <c r="F5" s="63"/>
      <c r="G5" s="64" t="s">
        <v>65</v>
      </c>
      <c r="H5" s="65"/>
      <c r="I5" s="2" t="s">
        <v>18</v>
      </c>
      <c r="K5" s="73" t="s">
        <v>63</v>
      </c>
      <c r="L5" s="74"/>
      <c r="M5" s="74"/>
      <c r="N5" s="74"/>
      <c r="O5" s="74"/>
      <c r="P5" s="75"/>
      <c r="R5" s="104" t="s">
        <v>66</v>
      </c>
      <c r="S5" s="104"/>
      <c r="T5" s="104"/>
      <c r="U5" s="104"/>
      <c r="V5" s="104"/>
      <c r="W5" s="104"/>
      <c r="X5" s="104"/>
      <c r="Y5" s="104"/>
      <c r="AC5" s="87"/>
      <c r="AD5" s="90"/>
      <c r="AE5" s="91"/>
      <c r="AF5" s="90"/>
      <c r="AG5" s="87"/>
    </row>
    <row r="6" spans="1:33" x14ac:dyDescent="0.25">
      <c r="A6" s="101" t="s">
        <v>32</v>
      </c>
      <c r="B6" s="101"/>
      <c r="C6" s="101"/>
      <c r="D6" s="101"/>
      <c r="E6" s="101"/>
      <c r="F6" s="101"/>
      <c r="G6" s="100">
        <v>0</v>
      </c>
      <c r="H6" s="100"/>
      <c r="I6" s="2" t="s">
        <v>24</v>
      </c>
      <c r="K6" s="76"/>
      <c r="L6" s="77"/>
      <c r="M6" s="77"/>
      <c r="N6" s="77"/>
      <c r="O6" s="77"/>
      <c r="P6" s="78"/>
      <c r="R6" s="104"/>
      <c r="S6" s="104"/>
      <c r="T6" s="104"/>
      <c r="U6" s="104"/>
      <c r="V6" s="104"/>
      <c r="W6" s="104"/>
      <c r="X6" s="104"/>
      <c r="Y6" s="104"/>
      <c r="AC6" s="87"/>
      <c r="AD6" s="90"/>
      <c r="AE6" s="91"/>
      <c r="AF6" s="90"/>
      <c r="AG6" s="87"/>
    </row>
    <row r="7" spans="1:33" ht="15.75" customHeight="1" x14ac:dyDescent="0.25">
      <c r="A7" s="61" t="s">
        <v>51</v>
      </c>
      <c r="B7" s="62"/>
      <c r="C7" s="62"/>
      <c r="D7" s="62"/>
      <c r="E7" s="62"/>
      <c r="F7" s="63"/>
      <c r="G7" s="64" t="s">
        <v>58</v>
      </c>
      <c r="H7" s="65"/>
      <c r="I7" s="2"/>
      <c r="K7" s="76"/>
      <c r="L7" s="77"/>
      <c r="M7" s="77"/>
      <c r="N7" s="77"/>
      <c r="O7" s="77"/>
      <c r="P7" s="78"/>
      <c r="R7" s="104"/>
      <c r="S7" s="104"/>
      <c r="T7" s="104"/>
      <c r="U7" s="104"/>
      <c r="V7" s="104"/>
      <c r="W7" s="104"/>
      <c r="X7" s="104"/>
      <c r="Y7" s="104"/>
      <c r="AC7" s="90"/>
      <c r="AD7" s="90"/>
      <c r="AE7" s="90"/>
      <c r="AF7" s="90"/>
      <c r="AG7" s="90"/>
    </row>
    <row r="8" spans="1:33" x14ac:dyDescent="0.25">
      <c r="A8" s="101" t="s">
        <v>15</v>
      </c>
      <c r="B8" s="101"/>
      <c r="C8" s="101"/>
      <c r="D8" s="101"/>
      <c r="E8" s="101"/>
      <c r="F8" s="101"/>
      <c r="G8" s="105">
        <f>360/((23*60*60)+(56*60)+4.09)</f>
        <v>4.1780746480349299E-3</v>
      </c>
      <c r="H8" s="105"/>
      <c r="I8" s="2" t="s">
        <v>16</v>
      </c>
      <c r="K8" s="76"/>
      <c r="L8" s="77"/>
      <c r="M8" s="77"/>
      <c r="N8" s="77"/>
      <c r="O8" s="77"/>
      <c r="P8" s="78"/>
      <c r="R8" s="104"/>
      <c r="S8" s="104"/>
      <c r="T8" s="104"/>
      <c r="U8" s="104"/>
      <c r="V8" s="104"/>
      <c r="W8" s="104"/>
      <c r="X8" s="104"/>
      <c r="Y8" s="104"/>
      <c r="AC8" s="90"/>
      <c r="AD8" s="90"/>
      <c r="AE8" s="90"/>
      <c r="AF8" s="90"/>
      <c r="AG8" s="90"/>
    </row>
    <row r="9" spans="1:33" x14ac:dyDescent="0.25">
      <c r="A9" s="101" t="s">
        <v>17</v>
      </c>
      <c r="B9" s="101"/>
      <c r="C9" s="101"/>
      <c r="D9" s="101"/>
      <c r="E9" s="101"/>
      <c r="F9" s="101"/>
      <c r="G9" s="100">
        <v>49</v>
      </c>
      <c r="H9" s="100"/>
      <c r="I9" s="2" t="s">
        <v>18</v>
      </c>
      <c r="K9" s="76"/>
      <c r="L9" s="77"/>
      <c r="M9" s="77"/>
      <c r="N9" s="77"/>
      <c r="O9" s="77"/>
      <c r="P9" s="78"/>
      <c r="R9" s="104"/>
      <c r="S9" s="104"/>
      <c r="T9" s="104"/>
      <c r="U9" s="104"/>
      <c r="V9" s="104"/>
      <c r="W9" s="104"/>
      <c r="X9" s="104"/>
      <c r="Y9" s="104"/>
      <c r="AC9" s="90"/>
      <c r="AD9" s="110"/>
      <c r="AE9" s="110"/>
      <c r="AF9" s="110"/>
      <c r="AG9" s="90"/>
    </row>
    <row r="10" spans="1:33" ht="15.75" customHeight="1" x14ac:dyDescent="0.25">
      <c r="A10" s="95" t="s">
        <v>19</v>
      </c>
      <c r="B10" s="96"/>
      <c r="C10" s="96"/>
      <c r="D10" s="96"/>
      <c r="E10" s="96"/>
      <c r="F10" s="97"/>
      <c r="G10" s="98">
        <f>(COS(RADIANS(G9))*G8)</f>
        <v>2.7410635966396515E-3</v>
      </c>
      <c r="H10" s="99"/>
      <c r="I10" s="3" t="s">
        <v>16</v>
      </c>
      <c r="K10" s="76"/>
      <c r="L10" s="77"/>
      <c r="M10" s="77"/>
      <c r="N10" s="77"/>
      <c r="O10" s="77"/>
      <c r="P10" s="78"/>
      <c r="R10" s="13"/>
      <c r="S10" s="13"/>
      <c r="T10" s="13"/>
      <c r="U10" s="13"/>
      <c r="V10" s="13"/>
      <c r="W10" s="13"/>
      <c r="X10" s="13"/>
      <c r="Y10" s="13"/>
      <c r="AC10" s="92" t="s">
        <v>48</v>
      </c>
      <c r="AD10" s="93"/>
      <c r="AE10" s="94" t="s">
        <v>50</v>
      </c>
      <c r="AF10" s="93"/>
      <c r="AG10" s="59" t="s">
        <v>48</v>
      </c>
    </row>
    <row r="11" spans="1:33" ht="15.75" customHeight="1" x14ac:dyDescent="0.25">
      <c r="A11" s="101" t="s">
        <v>33</v>
      </c>
      <c r="B11" s="101"/>
      <c r="C11" s="101"/>
      <c r="D11" s="101"/>
      <c r="E11" s="101"/>
      <c r="F11" s="101"/>
      <c r="G11" s="100">
        <v>10</v>
      </c>
      <c r="H11" s="100"/>
      <c r="I11" s="2" t="s">
        <v>18</v>
      </c>
      <c r="K11" s="76"/>
      <c r="L11" s="77"/>
      <c r="M11" s="77"/>
      <c r="N11" s="77"/>
      <c r="O11" s="77"/>
      <c r="P11" s="78"/>
      <c r="R11" s="13"/>
      <c r="S11" s="13"/>
      <c r="T11" s="13"/>
      <c r="U11" s="13"/>
      <c r="V11" s="13"/>
      <c r="W11" s="13"/>
      <c r="X11" s="13"/>
      <c r="Y11" s="13"/>
      <c r="AC11" s="92"/>
      <c r="AD11" s="93"/>
      <c r="AE11" s="94"/>
      <c r="AF11" s="93"/>
      <c r="AG11" s="59"/>
    </row>
    <row r="12" spans="1:33" ht="15.75" customHeight="1" x14ac:dyDescent="0.25">
      <c r="A12" s="61" t="s">
        <v>34</v>
      </c>
      <c r="B12" s="62"/>
      <c r="C12" s="62"/>
      <c r="D12" s="62"/>
      <c r="E12" s="62"/>
      <c r="F12" s="63"/>
      <c r="G12" s="64">
        <f>360/G11</f>
        <v>36</v>
      </c>
      <c r="H12" s="65"/>
      <c r="I12" s="2"/>
      <c r="K12" s="76"/>
      <c r="L12" s="77"/>
      <c r="M12" s="77"/>
      <c r="N12" s="77"/>
      <c r="O12" s="77"/>
      <c r="P12" s="78"/>
      <c r="R12" s="8"/>
      <c r="S12" s="8"/>
      <c r="T12" s="8"/>
      <c r="U12" s="8"/>
      <c r="V12" s="8"/>
      <c r="W12" s="8"/>
      <c r="X12" s="8"/>
      <c r="Y12" s="8"/>
      <c r="AC12" s="92"/>
      <c r="AD12" s="93"/>
      <c r="AE12" s="94"/>
      <c r="AF12" s="93"/>
      <c r="AG12" s="59"/>
    </row>
    <row r="13" spans="1:33" ht="15.75" customHeight="1" x14ac:dyDescent="0.25">
      <c r="A13" s="101" t="s">
        <v>20</v>
      </c>
      <c r="B13" s="101"/>
      <c r="C13" s="101"/>
      <c r="D13" s="101"/>
      <c r="E13" s="101"/>
      <c r="F13" s="101"/>
      <c r="G13" s="100" t="s">
        <v>47</v>
      </c>
      <c r="H13" s="100"/>
      <c r="I13" s="2"/>
      <c r="K13" s="76"/>
      <c r="L13" s="77"/>
      <c r="M13" s="77"/>
      <c r="N13" s="77"/>
      <c r="O13" s="77"/>
      <c r="P13" s="78"/>
      <c r="R13" s="106" t="s">
        <v>25</v>
      </c>
      <c r="S13" s="106"/>
      <c r="T13" s="106" t="s">
        <v>26</v>
      </c>
      <c r="U13" s="106"/>
      <c r="V13" s="106" t="s">
        <v>27</v>
      </c>
      <c r="W13" s="106"/>
      <c r="X13" s="106" t="s">
        <v>28</v>
      </c>
      <c r="Y13" s="106"/>
      <c r="AC13" s="72" t="s">
        <v>48</v>
      </c>
      <c r="AD13" s="66"/>
      <c r="AE13" s="66" t="s">
        <v>49</v>
      </c>
      <c r="AF13" s="66"/>
      <c r="AG13" s="60" t="s">
        <v>48</v>
      </c>
    </row>
    <row r="14" spans="1:33" ht="15.75" customHeight="1" x14ac:dyDescent="0.25">
      <c r="A14" s="61" t="s">
        <v>21</v>
      </c>
      <c r="B14" s="62"/>
      <c r="C14" s="62"/>
      <c r="D14" s="62"/>
      <c r="E14" s="62"/>
      <c r="F14" s="63"/>
      <c r="G14" s="64">
        <v>480</v>
      </c>
      <c r="H14" s="65"/>
      <c r="I14" s="2"/>
      <c r="K14" s="76"/>
      <c r="L14" s="77"/>
      <c r="M14" s="77"/>
      <c r="N14" s="77"/>
      <c r="O14" s="77"/>
      <c r="P14" s="78"/>
      <c r="R14" s="106"/>
      <c r="S14" s="106"/>
      <c r="T14" s="106"/>
      <c r="U14" s="106"/>
      <c r="V14" s="106"/>
      <c r="W14" s="106"/>
      <c r="X14" s="106"/>
      <c r="Y14" s="106"/>
      <c r="AC14" s="72"/>
      <c r="AD14" s="67"/>
      <c r="AE14" s="67"/>
      <c r="AF14" s="67"/>
      <c r="AG14" s="60"/>
    </row>
    <row r="15" spans="1:33" ht="15.75" customHeight="1" x14ac:dyDescent="0.25">
      <c r="A15" s="61" t="s">
        <v>22</v>
      </c>
      <c r="B15" s="62"/>
      <c r="C15" s="62"/>
      <c r="D15" s="62"/>
      <c r="E15" s="62"/>
      <c r="F15" s="63"/>
      <c r="G15" s="64">
        <v>200</v>
      </c>
      <c r="H15" s="65"/>
      <c r="I15" s="2"/>
      <c r="K15" s="76"/>
      <c r="L15" s="77"/>
      <c r="M15" s="77"/>
      <c r="N15" s="77"/>
      <c r="O15" s="77"/>
      <c r="P15" s="78"/>
      <c r="R15" s="106"/>
      <c r="S15" s="106"/>
      <c r="T15" s="106"/>
      <c r="U15" s="106"/>
      <c r="V15" s="106"/>
      <c r="W15" s="106"/>
      <c r="X15" s="106"/>
      <c r="Y15" s="106"/>
      <c r="AC15" s="72"/>
      <c r="AD15" s="68"/>
      <c r="AE15" s="68"/>
      <c r="AF15" s="68"/>
      <c r="AG15" s="60"/>
    </row>
    <row r="16" spans="1:33" ht="15.75" customHeight="1" x14ac:dyDescent="0.25">
      <c r="A16" s="61" t="s">
        <v>23</v>
      </c>
      <c r="B16" s="62"/>
      <c r="C16" s="62"/>
      <c r="D16" s="62"/>
      <c r="E16" s="62"/>
      <c r="F16" s="63"/>
      <c r="G16" s="64">
        <v>50</v>
      </c>
      <c r="H16" s="65"/>
      <c r="I16" s="2"/>
      <c r="K16" s="76"/>
      <c r="L16" s="77"/>
      <c r="M16" s="77"/>
      <c r="N16" s="77"/>
      <c r="O16" s="77"/>
      <c r="P16" s="78"/>
      <c r="R16" s="106"/>
      <c r="S16" s="106"/>
      <c r="T16" s="106"/>
      <c r="U16" s="106"/>
      <c r="V16" s="106"/>
      <c r="W16" s="106"/>
      <c r="X16" s="106"/>
      <c r="Y16" s="106"/>
      <c r="AC16" s="72" t="s">
        <v>48</v>
      </c>
      <c r="AD16" s="69"/>
      <c r="AE16" s="66" t="s">
        <v>48</v>
      </c>
      <c r="AF16" s="66"/>
      <c r="AG16" s="60" t="s">
        <v>48</v>
      </c>
    </row>
    <row r="17" spans="1:33" ht="15.75" customHeight="1" x14ac:dyDescent="0.25">
      <c r="A17" s="82" t="s">
        <v>36</v>
      </c>
      <c r="B17" s="83"/>
      <c r="C17" s="83"/>
      <c r="D17" s="83"/>
      <c r="E17" s="83"/>
      <c r="F17" s="84"/>
      <c r="G17" s="108">
        <v>400</v>
      </c>
      <c r="H17" s="109"/>
      <c r="I17" s="4" t="s">
        <v>18</v>
      </c>
      <c r="K17" s="76"/>
      <c r="L17" s="77"/>
      <c r="M17" s="77"/>
      <c r="N17" s="77"/>
      <c r="O17" s="77"/>
      <c r="P17" s="78"/>
      <c r="R17" s="107">
        <f>MIN('T19-3'!U3:U74)</f>
        <v>-5.2178800000000081E-3</v>
      </c>
      <c r="S17" s="107"/>
      <c r="T17" s="107">
        <f>MIN('T19-3'!V3:V74)</f>
        <v>-4.2071699999999823E-3</v>
      </c>
      <c r="U17" s="107"/>
      <c r="V17" s="107">
        <f>MAX('T19-3'!U3:U74)</f>
        <v>6.3999700000000048E-3</v>
      </c>
      <c r="W17" s="107"/>
      <c r="X17" s="107">
        <f>MAX('T19-3'!V3:V74)</f>
        <v>5.9165800000000046E-3</v>
      </c>
      <c r="Y17" s="107"/>
      <c r="AC17" s="72"/>
      <c r="AD17" s="70"/>
      <c r="AE17" s="67"/>
      <c r="AF17" s="67"/>
      <c r="AG17" s="60"/>
    </row>
    <row r="18" spans="1:33" ht="15.75" customHeight="1" x14ac:dyDescent="0.25">
      <c r="A18" s="82" t="s">
        <v>35</v>
      </c>
      <c r="B18" s="83"/>
      <c r="C18" s="83"/>
      <c r="D18" s="83"/>
      <c r="E18" s="83"/>
      <c r="F18" s="84"/>
      <c r="G18" s="108">
        <f>G14*G15*2</f>
        <v>192000</v>
      </c>
      <c r="H18" s="109"/>
      <c r="I18" s="2"/>
      <c r="K18" s="79"/>
      <c r="L18" s="80"/>
      <c r="M18" s="80"/>
      <c r="N18" s="80"/>
      <c r="O18" s="80"/>
      <c r="P18" s="81"/>
      <c r="R18" s="107"/>
      <c r="S18" s="107"/>
      <c r="T18" s="107"/>
      <c r="U18" s="107"/>
      <c r="V18" s="107"/>
      <c r="W18" s="107"/>
      <c r="X18" s="107"/>
      <c r="Y18" s="107"/>
      <c r="AC18" s="72"/>
      <c r="AD18" s="71"/>
      <c r="AE18" s="68"/>
      <c r="AF18" s="68"/>
      <c r="AG18" s="60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85" t="s">
        <v>48</v>
      </c>
      <c r="AD19" s="88" t="s">
        <v>48</v>
      </c>
      <c r="AE19" s="88" t="s">
        <v>48</v>
      </c>
      <c r="AF19" s="88" t="s">
        <v>48</v>
      </c>
      <c r="AG19" s="86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85"/>
      <c r="AD20" s="89"/>
      <c r="AE20" s="89"/>
      <c r="AF20" s="89"/>
      <c r="AG20" s="86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85"/>
      <c r="AD21" s="89"/>
      <c r="AE21" s="89"/>
      <c r="AF21" s="89"/>
      <c r="AG21" s="86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74" zoomScale="85" zoomScaleNormal="85" workbookViewId="0">
      <selection activeCell="U77" sqref="U77:V11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61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59</v>
      </c>
      <c r="C3" s="14">
        <v>0</v>
      </c>
      <c r="D3" s="14">
        <v>7</v>
      </c>
      <c r="E3" s="15">
        <v>-0.45869280000000001</v>
      </c>
      <c r="F3" s="15">
        <v>-0.45155708</v>
      </c>
      <c r="G3" s="15">
        <v>-7.1357199999999999E-3</v>
      </c>
      <c r="H3" s="15">
        <v>0.60627852000000004</v>
      </c>
      <c r="I3" s="15">
        <v>0.60917851999999995</v>
      </c>
      <c r="J3" s="15">
        <v>-2.8999999999999998E-3</v>
      </c>
      <c r="K3" s="18">
        <v>24.17</v>
      </c>
      <c r="L3" s="18">
        <v>24.17</v>
      </c>
      <c r="M3" s="18">
        <v>0</v>
      </c>
      <c r="N3" s="15">
        <v>7.101528E-2</v>
      </c>
      <c r="O3" s="15">
        <v>4.0970299999999998E-3</v>
      </c>
      <c r="P3" s="15">
        <v>6.6918249999999999E-2</v>
      </c>
      <c r="Q3" s="15">
        <v>6.08224E-3</v>
      </c>
      <c r="R3" s="15">
        <v>5.9103000000000003E-3</v>
      </c>
      <c r="S3" s="15">
        <v>1.7194000000000001E-4</v>
      </c>
      <c r="T3" s="14"/>
      <c r="U3" s="15">
        <f>(F3-E3)/2</f>
        <v>3.567860000000006E-3</v>
      </c>
      <c r="V3" s="15">
        <f>(H3-I3)/2</f>
        <v>-1.4499999999999513E-3</v>
      </c>
      <c r="W3" s="15"/>
      <c r="X3" s="15"/>
      <c r="Y3" s="16">
        <f t="shared" ref="Y3:Y34" si="0">N3</f>
        <v>7.101528E-2</v>
      </c>
      <c r="Z3" s="16">
        <f t="shared" ref="Z3:Z34" si="1">Q3</f>
        <v>6.08224E-3</v>
      </c>
      <c r="AA3" s="16">
        <f t="shared" ref="AA3:AA34" si="2">O3</f>
        <v>4.0970299999999998E-3</v>
      </c>
      <c r="AB3" s="16">
        <f t="shared" ref="AB3:AB34" si="3">R3</f>
        <v>5.9103000000000003E-3</v>
      </c>
      <c r="AC3" s="17">
        <f>IF(Y3="","",DEGREES(ASIN(SQRT(Y3^2+Z3^2))))</f>
        <v>4.0872375965883467</v>
      </c>
      <c r="AD3" s="17">
        <f>IF(AA3="","",DEGREES(ASIN(SQRT(AA3^2+AB3^2))))</f>
        <v>0.41204467079974627</v>
      </c>
      <c r="AE3" s="17">
        <f>IF(Y3="","",MOD(DEGREES(ATAN2(Y3,Z3)),360))</f>
        <v>4.8952608074437309</v>
      </c>
      <c r="AF3" s="17">
        <f t="shared" ref="AF3:AF34" si="4">IF(Y3="","",MOD(F3+AE3,360))</f>
        <v>4.4437037274437312</v>
      </c>
    </row>
    <row r="4" spans="1:32" x14ac:dyDescent="0.25">
      <c r="A4" s="14">
        <v>2</v>
      </c>
      <c r="B4" s="14" t="s">
        <v>59</v>
      </c>
      <c r="C4" s="14">
        <v>10</v>
      </c>
      <c r="D4" s="14">
        <v>5</v>
      </c>
      <c r="E4" s="15">
        <v>-0.45475989999999999</v>
      </c>
      <c r="F4" s="15">
        <v>-0.45041984000000002</v>
      </c>
      <c r="G4" s="15">
        <v>-4.3400499999999998E-3</v>
      </c>
      <c r="H4" s="15">
        <v>0.59230008000000001</v>
      </c>
      <c r="I4" s="15">
        <v>0.59326992000000001</v>
      </c>
      <c r="J4" s="15">
        <v>-9.6989000000000005E-4</v>
      </c>
      <c r="K4" s="18">
        <v>24.49</v>
      </c>
      <c r="L4" s="18">
        <v>24.5</v>
      </c>
      <c r="M4" s="18">
        <v>-0.01</v>
      </c>
      <c r="N4" s="15">
        <v>6.9270999999999999E-2</v>
      </c>
      <c r="O4" s="15">
        <v>4.5039099999999999E-3</v>
      </c>
      <c r="P4" s="15">
        <v>6.4767089999999999E-2</v>
      </c>
      <c r="Q4" s="15">
        <v>-4.3554999999999999E-4</v>
      </c>
      <c r="R4" s="15">
        <v>1.137353E-2</v>
      </c>
      <c r="S4" s="15">
        <v>-1.180908E-2</v>
      </c>
      <c r="T4" s="14"/>
      <c r="U4" s="15">
        <f t="shared" ref="U4:U34" si="5">(F4-E4)/2</f>
        <v>2.1700299999999895E-3</v>
      </c>
      <c r="V4" s="15">
        <f t="shared" ref="V4:V34" si="6">(H4-I4)/2</f>
        <v>-4.849199999999998E-4</v>
      </c>
      <c r="W4" s="15"/>
      <c r="X4" s="15"/>
      <c r="Y4" s="16">
        <f t="shared" si="0"/>
        <v>6.9270999999999999E-2</v>
      </c>
      <c r="Z4" s="16">
        <f t="shared" si="1"/>
        <v>-4.3554999999999999E-4</v>
      </c>
      <c r="AA4" s="16">
        <f t="shared" si="2"/>
        <v>4.5039099999999999E-3</v>
      </c>
      <c r="AB4" s="16">
        <f t="shared" si="3"/>
        <v>1.137353E-2</v>
      </c>
      <c r="AC4" s="17">
        <f t="shared" ref="AC4:AC18" si="7">IF(Y4="","",DEGREES(ASIN(SQRT(Y4^2+Z4^2))))</f>
        <v>3.9721955963949602</v>
      </c>
      <c r="AD4" s="17">
        <f t="shared" ref="AD4:AD18" si="8">IF(AA4="","",DEGREES(ASIN(SQRT(AA4^2+AB4^2))))</f>
        <v>0.70090762137562745</v>
      </c>
      <c r="AE4" s="17">
        <f t="shared" ref="AE4:AE18" si="9">IF(Y4="","",MOD(DEGREES(ATAN2(Y4,Z4)),360))</f>
        <v>359.63975043071974</v>
      </c>
      <c r="AF4" s="17">
        <f t="shared" si="4"/>
        <v>359.18933059071975</v>
      </c>
    </row>
    <row r="5" spans="1:32" x14ac:dyDescent="0.25">
      <c r="A5" s="14">
        <v>3</v>
      </c>
      <c r="B5" s="14" t="s">
        <v>59</v>
      </c>
      <c r="C5" s="14">
        <v>20</v>
      </c>
      <c r="D5" s="14">
        <v>5</v>
      </c>
      <c r="E5" s="15">
        <v>-0.4503799</v>
      </c>
      <c r="F5" s="15">
        <v>-0.44708996000000001</v>
      </c>
      <c r="G5" s="15">
        <v>-3.2899399999999999E-3</v>
      </c>
      <c r="H5" s="15">
        <v>0.59837989999999996</v>
      </c>
      <c r="I5" s="15">
        <v>0.60330989999999995</v>
      </c>
      <c r="J5" s="15">
        <v>-4.9300200000000002E-3</v>
      </c>
      <c r="K5" s="18">
        <v>24.35</v>
      </c>
      <c r="L5" s="18">
        <v>24.33</v>
      </c>
      <c r="M5" s="18">
        <v>0.01</v>
      </c>
      <c r="N5" s="15">
        <v>6.8838380000000005E-2</v>
      </c>
      <c r="O5" s="15">
        <v>5.6547899999999998E-3</v>
      </c>
      <c r="P5" s="15">
        <v>6.3183600000000006E-2</v>
      </c>
      <c r="Q5" s="15">
        <v>-5.0752000000000002E-3</v>
      </c>
      <c r="R5" s="15">
        <v>1.635108E-2</v>
      </c>
      <c r="S5" s="15">
        <v>-2.1426270000000001E-2</v>
      </c>
      <c r="T5" s="14"/>
      <c r="U5" s="15">
        <f t="shared" si="5"/>
        <v>1.6449699999999956E-3</v>
      </c>
      <c r="V5" s="15">
        <f t="shared" si="6"/>
        <v>-2.464999999999995E-3</v>
      </c>
      <c r="W5" s="15"/>
      <c r="X5" s="15"/>
      <c r="Y5" s="16">
        <f t="shared" si="0"/>
        <v>6.8838380000000005E-2</v>
      </c>
      <c r="Z5" s="16">
        <f t="shared" si="1"/>
        <v>-5.0752000000000002E-3</v>
      </c>
      <c r="AA5" s="16">
        <f t="shared" si="2"/>
        <v>5.6547899999999998E-3</v>
      </c>
      <c r="AB5" s="16">
        <f t="shared" si="3"/>
        <v>1.635108E-2</v>
      </c>
      <c r="AC5" s="17">
        <f t="shared" si="7"/>
        <v>3.9580006847971179</v>
      </c>
      <c r="AD5" s="17">
        <f t="shared" si="8"/>
        <v>0.99134007927433554</v>
      </c>
      <c r="AE5" s="17">
        <f t="shared" si="9"/>
        <v>355.78342217596673</v>
      </c>
      <c r="AF5" s="17">
        <f t="shared" si="4"/>
        <v>355.33633221596671</v>
      </c>
    </row>
    <row r="6" spans="1:32" x14ac:dyDescent="0.25">
      <c r="A6" s="14">
        <v>4</v>
      </c>
      <c r="B6" s="14" t="s">
        <v>59</v>
      </c>
      <c r="C6" s="14">
        <v>30</v>
      </c>
      <c r="D6" s="14">
        <v>4</v>
      </c>
      <c r="E6" s="15">
        <v>-0.44847500000000001</v>
      </c>
      <c r="F6" s="15">
        <v>-0.44643748</v>
      </c>
      <c r="G6" s="15">
        <v>-2.0375300000000001E-3</v>
      </c>
      <c r="H6" s="15">
        <v>0.59096243999999998</v>
      </c>
      <c r="I6" s="15">
        <v>0.59472499999999995</v>
      </c>
      <c r="J6" s="15">
        <v>-3.76254E-3</v>
      </c>
      <c r="K6" s="18">
        <v>24.6</v>
      </c>
      <c r="L6" s="18">
        <v>24.59</v>
      </c>
      <c r="M6" s="18">
        <v>0.01</v>
      </c>
      <c r="N6" s="15">
        <v>6.6517339999999994E-2</v>
      </c>
      <c r="O6" s="15">
        <v>8.5900899999999999E-3</v>
      </c>
      <c r="P6" s="15">
        <v>5.792725E-2</v>
      </c>
      <c r="Q6" s="15">
        <v>-1.044556E-2</v>
      </c>
      <c r="R6" s="15">
        <v>2.1759029999999999E-2</v>
      </c>
      <c r="S6" s="15">
        <v>-3.2204589999999998E-2</v>
      </c>
      <c r="T6" s="14"/>
      <c r="U6" s="15">
        <f t="shared" si="5"/>
        <v>1.0187600000000074E-3</v>
      </c>
      <c r="V6" s="15">
        <f t="shared" si="6"/>
        <v>-1.8812799999999852E-3</v>
      </c>
      <c r="W6" s="15"/>
      <c r="X6" s="15"/>
      <c r="Y6" s="16">
        <f t="shared" si="0"/>
        <v>6.6517339999999994E-2</v>
      </c>
      <c r="Z6" s="16">
        <f t="shared" si="1"/>
        <v>-1.044556E-2</v>
      </c>
      <c r="AA6" s="16">
        <f t="shared" si="2"/>
        <v>8.5900899999999999E-3</v>
      </c>
      <c r="AB6" s="16">
        <f t="shared" si="3"/>
        <v>2.1759029999999999E-2</v>
      </c>
      <c r="AC6" s="17">
        <f t="shared" si="7"/>
        <v>3.8607893780113312</v>
      </c>
      <c r="AD6" s="17">
        <f t="shared" si="8"/>
        <v>1.3404578593417009</v>
      </c>
      <c r="AE6" s="17">
        <f t="shared" si="9"/>
        <v>351.07543283664961</v>
      </c>
      <c r="AF6" s="17">
        <f t="shared" si="4"/>
        <v>350.62899535664963</v>
      </c>
    </row>
    <row r="7" spans="1:32" x14ac:dyDescent="0.25">
      <c r="A7" s="14">
        <v>5</v>
      </c>
      <c r="B7" s="14" t="s">
        <v>59</v>
      </c>
      <c r="C7" s="14">
        <v>40</v>
      </c>
      <c r="D7" s="14">
        <v>8</v>
      </c>
      <c r="E7" s="15">
        <v>-0.45263120000000001</v>
      </c>
      <c r="F7" s="15">
        <v>-0.45041863999999998</v>
      </c>
      <c r="G7" s="15">
        <v>-2.2125199999999999E-3</v>
      </c>
      <c r="H7" s="15">
        <v>0.59835000000000005</v>
      </c>
      <c r="I7" s="15">
        <v>0.59473750000000003</v>
      </c>
      <c r="J7" s="15">
        <v>3.6124600000000001E-3</v>
      </c>
      <c r="K7" s="18">
        <v>24.47</v>
      </c>
      <c r="L7" s="18">
        <v>24.46</v>
      </c>
      <c r="M7" s="18">
        <v>0.01</v>
      </c>
      <c r="N7" s="15">
        <v>6.2755439999999996E-2</v>
      </c>
      <c r="O7" s="15">
        <v>1.17514E-2</v>
      </c>
      <c r="P7" s="15">
        <v>5.1004029999999999E-2</v>
      </c>
      <c r="Q7" s="15">
        <v>-1.537079E-2</v>
      </c>
      <c r="R7" s="15">
        <v>2.6305849999999999E-2</v>
      </c>
      <c r="S7" s="15">
        <v>-4.1676640000000001E-2</v>
      </c>
      <c r="T7" s="14"/>
      <c r="U7" s="15">
        <f t="shared" si="5"/>
        <v>1.106280000000015E-3</v>
      </c>
      <c r="V7" s="15">
        <f t="shared" si="6"/>
        <v>1.8062500000000092E-3</v>
      </c>
      <c r="W7" s="15"/>
      <c r="X7" s="15"/>
      <c r="Y7" s="16">
        <f t="shared" si="0"/>
        <v>6.2755439999999996E-2</v>
      </c>
      <c r="Z7" s="16">
        <f t="shared" si="1"/>
        <v>-1.537079E-2</v>
      </c>
      <c r="AA7" s="16">
        <f t="shared" si="2"/>
        <v>1.17514E-2</v>
      </c>
      <c r="AB7" s="16">
        <f t="shared" si="3"/>
        <v>2.6305849999999999E-2</v>
      </c>
      <c r="AC7" s="17">
        <f t="shared" si="7"/>
        <v>3.704484860526438</v>
      </c>
      <c r="AD7" s="17">
        <f t="shared" si="8"/>
        <v>1.6509964858695023</v>
      </c>
      <c r="AE7" s="17">
        <f t="shared" si="9"/>
        <v>346.23739676757174</v>
      </c>
      <c r="AF7" s="17">
        <f t="shared" si="4"/>
        <v>345.78697812757173</v>
      </c>
    </row>
    <row r="8" spans="1:32" x14ac:dyDescent="0.25">
      <c r="A8" s="14">
        <v>6</v>
      </c>
      <c r="B8" s="14" t="s">
        <v>59</v>
      </c>
      <c r="C8" s="14">
        <v>50</v>
      </c>
      <c r="D8" s="14">
        <v>6</v>
      </c>
      <c r="E8" s="15">
        <v>-0.45789990000000003</v>
      </c>
      <c r="F8" s="15">
        <v>-0.44509996000000002</v>
      </c>
      <c r="G8" s="15">
        <v>-1.2799949999999999E-2</v>
      </c>
      <c r="H8" s="15">
        <v>0.60809168000000002</v>
      </c>
      <c r="I8" s="15">
        <v>0.60581668</v>
      </c>
      <c r="J8" s="15">
        <v>2.2749900000000002E-3</v>
      </c>
      <c r="K8" s="18">
        <v>24.24</v>
      </c>
      <c r="L8" s="18">
        <v>24.24</v>
      </c>
      <c r="M8" s="18">
        <v>0</v>
      </c>
      <c r="N8" s="15">
        <v>5.864258E-2</v>
      </c>
      <c r="O8" s="15">
        <v>1.6107179999999999E-2</v>
      </c>
      <c r="P8" s="15">
        <v>4.2535400000000001E-2</v>
      </c>
      <c r="Q8" s="15">
        <v>-1.9613040000000002E-2</v>
      </c>
      <c r="R8" s="15">
        <v>3.0940349999999998E-2</v>
      </c>
      <c r="S8" s="15">
        <v>-5.0553380000000002E-2</v>
      </c>
      <c r="T8" s="14"/>
      <c r="U8" s="15">
        <f t="shared" si="5"/>
        <v>6.3999700000000048E-3</v>
      </c>
      <c r="V8" s="15">
        <f t="shared" si="6"/>
        <v>1.1375000000000135E-3</v>
      </c>
      <c r="W8" s="15"/>
      <c r="X8" s="15"/>
      <c r="Y8" s="16">
        <f t="shared" si="0"/>
        <v>5.864258E-2</v>
      </c>
      <c r="Z8" s="16">
        <f t="shared" si="1"/>
        <v>-1.9613040000000002E-2</v>
      </c>
      <c r="AA8" s="16">
        <f t="shared" si="2"/>
        <v>1.6107179999999999E-2</v>
      </c>
      <c r="AB8" s="16">
        <f t="shared" si="3"/>
        <v>3.0940349999999998E-2</v>
      </c>
      <c r="AC8" s="17">
        <f t="shared" si="7"/>
        <v>3.5451722970350219</v>
      </c>
      <c r="AD8" s="17">
        <f t="shared" si="8"/>
        <v>1.9989908057960926</v>
      </c>
      <c r="AE8" s="17">
        <f t="shared" si="9"/>
        <v>341.50746263358644</v>
      </c>
      <c r="AF8" s="17">
        <f t="shared" si="4"/>
        <v>341.06236267358645</v>
      </c>
    </row>
    <row r="9" spans="1:32" x14ac:dyDescent="0.25">
      <c r="A9" s="14">
        <v>7</v>
      </c>
      <c r="B9" s="14" t="s">
        <v>59</v>
      </c>
      <c r="C9" s="14">
        <v>60</v>
      </c>
      <c r="D9" s="14">
        <v>7</v>
      </c>
      <c r="E9" s="15">
        <v>-0.45237139999999998</v>
      </c>
      <c r="F9" s="15">
        <v>-0.44355704000000001</v>
      </c>
      <c r="G9" s="15">
        <v>-8.8143600000000003E-3</v>
      </c>
      <c r="H9" s="15">
        <v>0.60382131999999999</v>
      </c>
      <c r="I9" s="15">
        <v>0.60248568000000002</v>
      </c>
      <c r="J9" s="15">
        <v>1.3356799999999999E-3</v>
      </c>
      <c r="K9" s="18">
        <v>24.34</v>
      </c>
      <c r="L9" s="18">
        <v>24.34</v>
      </c>
      <c r="M9" s="18">
        <v>0</v>
      </c>
      <c r="N9" s="15">
        <v>5.4463589999999999E-2</v>
      </c>
      <c r="O9" s="15">
        <v>2.074428E-2</v>
      </c>
      <c r="P9" s="15">
        <v>3.3719310000000002E-2</v>
      </c>
      <c r="Q9" s="15">
        <v>-2.300642E-2</v>
      </c>
      <c r="R9" s="15">
        <v>3.4177239999999998E-2</v>
      </c>
      <c r="S9" s="15">
        <v>-5.7183659999999997E-2</v>
      </c>
      <c r="T9" s="14"/>
      <c r="U9" s="15">
        <f t="shared" si="5"/>
        <v>4.4071799999999828E-3</v>
      </c>
      <c r="V9" s="15">
        <f t="shared" si="6"/>
        <v>6.6781999999998565E-4</v>
      </c>
      <c r="W9" s="15"/>
      <c r="X9" s="15"/>
      <c r="Y9" s="16">
        <f t="shared" si="0"/>
        <v>5.4463589999999999E-2</v>
      </c>
      <c r="Z9" s="16">
        <f t="shared" si="1"/>
        <v>-2.300642E-2</v>
      </c>
      <c r="AA9" s="16">
        <f t="shared" si="2"/>
        <v>2.074428E-2</v>
      </c>
      <c r="AB9" s="16">
        <f t="shared" si="3"/>
        <v>3.4177239999999998E-2</v>
      </c>
      <c r="AC9" s="17">
        <f t="shared" si="7"/>
        <v>3.3894987197056907</v>
      </c>
      <c r="AD9" s="17">
        <f t="shared" si="8"/>
        <v>2.2913020290664172</v>
      </c>
      <c r="AE9" s="17">
        <f t="shared" si="9"/>
        <v>337.09991175612447</v>
      </c>
      <c r="AF9" s="17">
        <f t="shared" si="4"/>
        <v>336.6563547161245</v>
      </c>
    </row>
    <row r="10" spans="1:32" x14ac:dyDescent="0.25">
      <c r="A10" s="14">
        <v>8</v>
      </c>
      <c r="B10" s="14" t="s">
        <v>59</v>
      </c>
      <c r="C10" s="14">
        <v>70</v>
      </c>
      <c r="D10" s="14">
        <v>7</v>
      </c>
      <c r="E10" s="15">
        <v>-0.45517136000000002</v>
      </c>
      <c r="F10" s="15">
        <v>-0.45754270000000002</v>
      </c>
      <c r="G10" s="15">
        <v>2.37134E-3</v>
      </c>
      <c r="H10" s="15">
        <v>0.6112571</v>
      </c>
      <c r="I10" s="15">
        <v>0.60397140000000005</v>
      </c>
      <c r="J10" s="15">
        <v>7.2856500000000003E-3</v>
      </c>
      <c r="K10" s="18">
        <v>24.21</v>
      </c>
      <c r="L10" s="18">
        <v>24.21</v>
      </c>
      <c r="M10" s="18">
        <v>0</v>
      </c>
      <c r="N10" s="15">
        <v>4.8833700000000001E-2</v>
      </c>
      <c r="O10" s="15">
        <v>2.614292E-2</v>
      </c>
      <c r="P10" s="15">
        <v>2.2690780000000001E-2</v>
      </c>
      <c r="Q10" s="15">
        <v>-2.530483E-2</v>
      </c>
      <c r="R10" s="15">
        <v>3.6764440000000002E-2</v>
      </c>
      <c r="S10" s="15">
        <v>-6.2069270000000003E-2</v>
      </c>
      <c r="T10" s="14"/>
      <c r="U10" s="15">
        <f t="shared" si="5"/>
        <v>-1.1856699999999998E-3</v>
      </c>
      <c r="V10" s="15">
        <f t="shared" si="6"/>
        <v>3.6428499999999753E-3</v>
      </c>
      <c r="W10" s="15"/>
      <c r="X10" s="15"/>
      <c r="Y10" s="16">
        <f t="shared" si="0"/>
        <v>4.8833700000000001E-2</v>
      </c>
      <c r="Z10" s="16">
        <f t="shared" si="1"/>
        <v>-2.530483E-2</v>
      </c>
      <c r="AA10" s="16">
        <f t="shared" si="2"/>
        <v>2.614292E-2</v>
      </c>
      <c r="AB10" s="16">
        <f t="shared" si="3"/>
        <v>3.6764440000000002E-2</v>
      </c>
      <c r="AC10" s="17">
        <f t="shared" si="7"/>
        <v>3.1528925433017654</v>
      </c>
      <c r="AD10" s="17">
        <f t="shared" si="8"/>
        <v>2.585594385609741</v>
      </c>
      <c r="AE10" s="17">
        <f t="shared" si="9"/>
        <v>332.60754300036598</v>
      </c>
      <c r="AF10" s="17">
        <f t="shared" si="4"/>
        <v>332.150000300366</v>
      </c>
    </row>
    <row r="11" spans="1:32" x14ac:dyDescent="0.25">
      <c r="A11" s="14">
        <v>9</v>
      </c>
      <c r="B11" s="14" t="s">
        <v>59</v>
      </c>
      <c r="C11" s="14">
        <v>80</v>
      </c>
      <c r="D11" s="14">
        <v>6</v>
      </c>
      <c r="E11" s="15">
        <v>-0.44660832</v>
      </c>
      <c r="F11" s="15">
        <v>-0.44745829999999998</v>
      </c>
      <c r="G11" s="15">
        <v>8.4995999999999997E-4</v>
      </c>
      <c r="H11" s="15">
        <v>0.60699992000000003</v>
      </c>
      <c r="I11" s="15">
        <v>0.59516676000000002</v>
      </c>
      <c r="J11" s="15">
        <v>1.183319E-2</v>
      </c>
      <c r="K11" s="18">
        <v>24.32</v>
      </c>
      <c r="L11" s="18">
        <v>24.3</v>
      </c>
      <c r="M11" s="18">
        <v>0.01</v>
      </c>
      <c r="N11" s="15">
        <v>4.4296059999999998E-2</v>
      </c>
      <c r="O11" s="15">
        <v>3.1643070000000002E-2</v>
      </c>
      <c r="P11" s="15">
        <v>1.2652989999999999E-2</v>
      </c>
      <c r="Q11" s="15">
        <v>-2.7163489999999998E-2</v>
      </c>
      <c r="R11" s="15">
        <v>3.825684E-2</v>
      </c>
      <c r="S11" s="15">
        <v>-6.5420329999999999E-2</v>
      </c>
      <c r="T11" s="14"/>
      <c r="U11" s="15">
        <f t="shared" si="5"/>
        <v>-4.2498999999998621E-4</v>
      </c>
      <c r="V11" s="15">
        <f t="shared" si="6"/>
        <v>5.9165800000000046E-3</v>
      </c>
      <c r="W11" s="15"/>
      <c r="X11" s="15"/>
      <c r="Y11" s="16">
        <f t="shared" si="0"/>
        <v>4.4296059999999998E-2</v>
      </c>
      <c r="Z11" s="16">
        <f t="shared" si="1"/>
        <v>-2.7163489999999998E-2</v>
      </c>
      <c r="AA11" s="16">
        <f t="shared" si="2"/>
        <v>3.1643070000000002E-2</v>
      </c>
      <c r="AB11" s="16">
        <f t="shared" si="3"/>
        <v>3.825684E-2</v>
      </c>
      <c r="AC11" s="17">
        <f t="shared" si="7"/>
        <v>2.9785152531129029</v>
      </c>
      <c r="AD11" s="17">
        <f t="shared" si="8"/>
        <v>2.8457594646440469</v>
      </c>
      <c r="AE11" s="17">
        <f t="shared" si="9"/>
        <v>328.48229703068</v>
      </c>
      <c r="AF11" s="17">
        <f t="shared" si="4"/>
        <v>328.03483873068001</v>
      </c>
    </row>
    <row r="12" spans="1:32" x14ac:dyDescent="0.25">
      <c r="A12" s="14">
        <v>10</v>
      </c>
      <c r="B12" s="14" t="s">
        <v>59</v>
      </c>
      <c r="C12" s="14">
        <v>90</v>
      </c>
      <c r="D12" s="14">
        <v>3</v>
      </c>
      <c r="E12" s="15">
        <v>-0.46151648000000001</v>
      </c>
      <c r="F12" s="15">
        <v>-0.46334979999999998</v>
      </c>
      <c r="G12" s="15">
        <v>1.8333500000000001E-3</v>
      </c>
      <c r="H12" s="15">
        <v>0.6034834</v>
      </c>
      <c r="I12" s="15">
        <v>0.60229999999999995</v>
      </c>
      <c r="J12" s="15">
        <v>1.1833900000000001E-3</v>
      </c>
      <c r="K12" s="18">
        <v>24.11</v>
      </c>
      <c r="L12" s="18">
        <v>24.08</v>
      </c>
      <c r="M12" s="18">
        <v>0.04</v>
      </c>
      <c r="N12" s="15">
        <v>3.7695319999999997E-2</v>
      </c>
      <c r="O12" s="15">
        <v>3.8040369999999997E-2</v>
      </c>
      <c r="P12" s="15">
        <v>-3.4505000000000001E-4</v>
      </c>
      <c r="Q12" s="15">
        <v>-2.7449540000000001E-2</v>
      </c>
      <c r="R12" s="15">
        <v>3.9295249999999997E-2</v>
      </c>
      <c r="S12" s="15">
        <v>-6.6744789999999998E-2</v>
      </c>
      <c r="T12" s="14"/>
      <c r="U12" s="15">
        <f t="shared" si="5"/>
        <v>-9.1665999999998582E-4</v>
      </c>
      <c r="V12" s="15">
        <f t="shared" si="6"/>
        <v>5.9170000000002831E-4</v>
      </c>
      <c r="W12" s="15"/>
      <c r="X12" s="15"/>
      <c r="Y12" s="16">
        <f t="shared" si="0"/>
        <v>3.7695319999999997E-2</v>
      </c>
      <c r="Z12" s="16">
        <f t="shared" si="1"/>
        <v>-2.7449540000000001E-2</v>
      </c>
      <c r="AA12" s="16">
        <f t="shared" si="2"/>
        <v>3.8040369999999997E-2</v>
      </c>
      <c r="AB12" s="16">
        <f t="shared" si="3"/>
        <v>3.9295249999999997E-2</v>
      </c>
      <c r="AC12" s="17">
        <f t="shared" si="7"/>
        <v>2.6727067148532631</v>
      </c>
      <c r="AD12" s="17">
        <f t="shared" si="8"/>
        <v>3.1351701816335091</v>
      </c>
      <c r="AE12" s="17">
        <f t="shared" si="9"/>
        <v>323.93808355497055</v>
      </c>
      <c r="AF12" s="17">
        <f t="shared" si="4"/>
        <v>323.47473375497054</v>
      </c>
    </row>
    <row r="13" spans="1:32" x14ac:dyDescent="0.25">
      <c r="A13" s="14">
        <v>11</v>
      </c>
      <c r="B13" s="14" t="s">
        <v>59</v>
      </c>
      <c r="C13" s="14">
        <v>100</v>
      </c>
      <c r="D13" s="14">
        <v>4</v>
      </c>
      <c r="E13" s="15">
        <v>-0.45687492000000002</v>
      </c>
      <c r="F13" s="15">
        <v>-0.45954988000000002</v>
      </c>
      <c r="G13" s="15">
        <v>2.6749399999999998E-3</v>
      </c>
      <c r="H13" s="15">
        <v>0.59623751999999997</v>
      </c>
      <c r="I13" s="15">
        <v>0.59287500000000004</v>
      </c>
      <c r="J13" s="15">
        <v>3.3625399999999998E-3</v>
      </c>
      <c r="K13" s="18">
        <v>24.39</v>
      </c>
      <c r="L13" s="18">
        <v>24.35</v>
      </c>
      <c r="M13" s="18">
        <v>0.04</v>
      </c>
      <c r="N13" s="15">
        <v>3.061707E-2</v>
      </c>
      <c r="O13" s="15">
        <v>4.3489989999999999E-2</v>
      </c>
      <c r="P13" s="15">
        <v>-1.2872929999999999E-2</v>
      </c>
      <c r="Q13" s="15">
        <v>-2.6904299999999999E-2</v>
      </c>
      <c r="R13" s="15">
        <v>3.8683469999999998E-2</v>
      </c>
      <c r="S13" s="15">
        <v>-6.5587770000000004E-2</v>
      </c>
      <c r="T13" s="14"/>
      <c r="U13" s="15">
        <f t="shared" si="5"/>
        <v>-1.337480000000002E-3</v>
      </c>
      <c r="V13" s="15">
        <f t="shared" si="6"/>
        <v>1.6812599999999622E-3</v>
      </c>
      <c r="W13" s="15"/>
      <c r="X13" s="15"/>
      <c r="Y13" s="16">
        <f t="shared" si="0"/>
        <v>3.061707E-2</v>
      </c>
      <c r="Z13" s="16">
        <f t="shared" si="1"/>
        <v>-2.6904299999999999E-2</v>
      </c>
      <c r="AA13" s="16">
        <f t="shared" si="2"/>
        <v>4.3489989999999999E-2</v>
      </c>
      <c r="AB13" s="16">
        <f t="shared" si="3"/>
        <v>3.8683469999999998E-2</v>
      </c>
      <c r="AC13" s="17">
        <f t="shared" si="7"/>
        <v>2.3359307757117378</v>
      </c>
      <c r="AD13" s="17">
        <f t="shared" si="8"/>
        <v>3.3367709824469816</v>
      </c>
      <c r="AE13" s="17">
        <f t="shared" si="9"/>
        <v>318.69308605634319</v>
      </c>
      <c r="AF13" s="17">
        <f t="shared" si="4"/>
        <v>318.23353617634319</v>
      </c>
    </row>
    <row r="14" spans="1:32" x14ac:dyDescent="0.25">
      <c r="A14" s="14">
        <v>12</v>
      </c>
      <c r="B14" s="14" t="s">
        <v>59</v>
      </c>
      <c r="C14" s="14">
        <v>110</v>
      </c>
      <c r="D14" s="14">
        <v>9</v>
      </c>
      <c r="E14" s="15">
        <v>-0.45652759999999998</v>
      </c>
      <c r="F14" s="15">
        <v>-0.45982775999999997</v>
      </c>
      <c r="G14" s="15">
        <v>3.3001599999999999E-3</v>
      </c>
      <c r="H14" s="15">
        <v>0.60549443999999997</v>
      </c>
      <c r="I14" s="15">
        <v>0.59561675999999997</v>
      </c>
      <c r="J14" s="15">
        <v>9.8776799999999998E-3</v>
      </c>
      <c r="K14" s="18">
        <v>24.22</v>
      </c>
      <c r="L14" s="18">
        <v>24.23</v>
      </c>
      <c r="M14" s="18">
        <v>0</v>
      </c>
      <c r="N14" s="15">
        <v>2.6584739999999999E-2</v>
      </c>
      <c r="O14" s="15">
        <v>4.9485670000000002E-2</v>
      </c>
      <c r="P14" s="15">
        <v>-2.290093E-2</v>
      </c>
      <c r="Q14" s="15">
        <v>-2.5420459999999999E-2</v>
      </c>
      <c r="R14" s="15">
        <v>3.6950959999999998E-2</v>
      </c>
      <c r="S14" s="15">
        <v>-6.2371419999999997E-2</v>
      </c>
      <c r="T14" s="14"/>
      <c r="U14" s="15">
        <f t="shared" si="5"/>
        <v>-1.6500799999999982E-3</v>
      </c>
      <c r="V14" s="15">
        <f t="shared" si="6"/>
        <v>4.9388399999999999E-3</v>
      </c>
      <c r="W14" s="15"/>
      <c r="X14" s="15"/>
      <c r="Y14" s="16">
        <f t="shared" si="0"/>
        <v>2.6584739999999999E-2</v>
      </c>
      <c r="Z14" s="16">
        <f t="shared" si="1"/>
        <v>-2.5420459999999999E-2</v>
      </c>
      <c r="AA14" s="16">
        <f t="shared" si="2"/>
        <v>4.9485670000000002E-2</v>
      </c>
      <c r="AB14" s="16">
        <f t="shared" si="3"/>
        <v>3.6950959999999998E-2</v>
      </c>
      <c r="AC14" s="17">
        <f t="shared" si="7"/>
        <v>2.1079543098805069</v>
      </c>
      <c r="AD14" s="17">
        <f t="shared" si="8"/>
        <v>3.5407977053713977</v>
      </c>
      <c r="AE14" s="17">
        <f t="shared" si="9"/>
        <v>316.28250998976984</v>
      </c>
      <c r="AF14" s="17">
        <f t="shared" si="4"/>
        <v>315.82268222976984</v>
      </c>
    </row>
    <row r="15" spans="1:32" x14ac:dyDescent="0.25">
      <c r="A15" s="14">
        <v>13</v>
      </c>
      <c r="B15" s="14" t="s">
        <v>59</v>
      </c>
      <c r="C15" s="14">
        <v>120</v>
      </c>
      <c r="D15" s="14">
        <v>4</v>
      </c>
      <c r="E15" s="15">
        <v>-0.4523375</v>
      </c>
      <c r="F15" s="15">
        <v>-0.45572489999999999</v>
      </c>
      <c r="G15" s="15">
        <v>3.3873900000000001E-3</v>
      </c>
      <c r="H15" s="15">
        <v>0.59766240000000004</v>
      </c>
      <c r="I15" s="15">
        <v>0.59089992000000002</v>
      </c>
      <c r="J15" s="15">
        <v>6.7624399999999998E-3</v>
      </c>
      <c r="K15" s="18">
        <v>24.37</v>
      </c>
      <c r="L15" s="18">
        <v>24.37</v>
      </c>
      <c r="M15" s="18">
        <v>0</v>
      </c>
      <c r="N15" s="15">
        <v>1.9663079999999999E-2</v>
      </c>
      <c r="O15" s="15">
        <v>5.5422369999999999E-2</v>
      </c>
      <c r="P15" s="15">
        <v>-3.5759279999999997E-2</v>
      </c>
      <c r="Q15" s="15">
        <v>-2.2875980000000001E-2</v>
      </c>
      <c r="R15" s="15">
        <v>3.384827E-2</v>
      </c>
      <c r="S15" s="15">
        <v>-5.6724240000000002E-2</v>
      </c>
      <c r="T15" s="14"/>
      <c r="U15" s="15">
        <f t="shared" si="5"/>
        <v>-1.6936999999999924E-3</v>
      </c>
      <c r="V15" s="15">
        <f t="shared" si="6"/>
        <v>3.3812400000000076E-3</v>
      </c>
      <c r="W15" s="15"/>
      <c r="X15" s="15"/>
      <c r="Y15" s="16">
        <f t="shared" si="0"/>
        <v>1.9663079999999999E-2</v>
      </c>
      <c r="Z15" s="16">
        <f t="shared" si="1"/>
        <v>-2.2875980000000001E-2</v>
      </c>
      <c r="AA15" s="16">
        <f t="shared" si="2"/>
        <v>5.5422369999999999E-2</v>
      </c>
      <c r="AB15" s="16">
        <f t="shared" si="3"/>
        <v>3.384827E-2</v>
      </c>
      <c r="AC15" s="17">
        <f t="shared" si="7"/>
        <v>1.7286083612125835</v>
      </c>
      <c r="AD15" s="17">
        <f t="shared" si="8"/>
        <v>3.7234703957264226</v>
      </c>
      <c r="AE15" s="17">
        <f t="shared" si="9"/>
        <v>310.68075167661493</v>
      </c>
      <c r="AF15" s="17">
        <f t="shared" si="4"/>
        <v>310.22502677661492</v>
      </c>
    </row>
    <row r="16" spans="1:32" x14ac:dyDescent="0.25">
      <c r="A16" s="14">
        <v>14</v>
      </c>
      <c r="B16" s="14" t="s">
        <v>59</v>
      </c>
      <c r="C16" s="14">
        <v>130</v>
      </c>
      <c r="D16" s="14">
        <v>9</v>
      </c>
      <c r="E16" s="15">
        <v>-0.44902776</v>
      </c>
      <c r="F16" s="15">
        <v>-0.45478879999999999</v>
      </c>
      <c r="G16" s="15">
        <v>5.7610600000000001E-3</v>
      </c>
      <c r="H16" s="15">
        <v>0.59062219999999999</v>
      </c>
      <c r="I16" s="15">
        <v>0.58263330000000002</v>
      </c>
      <c r="J16" s="15">
        <v>7.9888700000000003E-3</v>
      </c>
      <c r="K16" s="18">
        <v>24.66</v>
      </c>
      <c r="L16" s="18">
        <v>24.66</v>
      </c>
      <c r="M16" s="18">
        <v>-0.01</v>
      </c>
      <c r="N16" s="15">
        <v>1.5953780000000001E-2</v>
      </c>
      <c r="O16" s="15">
        <v>5.8034130000000003E-2</v>
      </c>
      <c r="P16" s="15">
        <v>-4.2080350000000002E-2</v>
      </c>
      <c r="Q16" s="15">
        <v>-2.0335829999999999E-2</v>
      </c>
      <c r="R16" s="15">
        <v>3.1242679999999998E-2</v>
      </c>
      <c r="S16" s="15">
        <v>-5.1578510000000001E-2</v>
      </c>
      <c r="T16" s="14"/>
      <c r="U16" s="15">
        <f t="shared" si="5"/>
        <v>-2.8805199999999975E-3</v>
      </c>
      <c r="V16" s="15">
        <f t="shared" si="6"/>
        <v>3.9944499999999827E-3</v>
      </c>
      <c r="W16" s="15"/>
      <c r="X16" s="15"/>
      <c r="Y16" s="16">
        <f t="shared" si="0"/>
        <v>1.5953780000000001E-2</v>
      </c>
      <c r="Z16" s="16">
        <f t="shared" si="1"/>
        <v>-2.0335829999999999E-2</v>
      </c>
      <c r="AA16" s="16">
        <f t="shared" si="2"/>
        <v>5.8034130000000003E-2</v>
      </c>
      <c r="AB16" s="16">
        <f t="shared" si="3"/>
        <v>3.1242679999999998E-2</v>
      </c>
      <c r="AC16" s="17">
        <f t="shared" si="7"/>
        <v>1.4810908060735182</v>
      </c>
      <c r="AD16" s="17">
        <f t="shared" si="8"/>
        <v>3.779076998856195</v>
      </c>
      <c r="AE16" s="17">
        <f t="shared" si="9"/>
        <v>308.11474467032821</v>
      </c>
      <c r="AF16" s="17">
        <f t="shared" si="4"/>
        <v>307.65995587032819</v>
      </c>
    </row>
    <row r="17" spans="1:32" x14ac:dyDescent="0.25">
      <c r="A17" s="14">
        <v>15</v>
      </c>
      <c r="B17" s="14" t="s">
        <v>59</v>
      </c>
      <c r="C17" s="14">
        <v>140</v>
      </c>
      <c r="D17" s="14">
        <v>7</v>
      </c>
      <c r="E17" s="15">
        <v>-0.44529995999999999</v>
      </c>
      <c r="F17" s="15">
        <v>-0.44494990000000001</v>
      </c>
      <c r="G17" s="15">
        <v>-3.5006000000000002E-4</v>
      </c>
      <c r="H17" s="15">
        <v>0.59075699999999998</v>
      </c>
      <c r="I17" s="15">
        <v>0.59091424000000004</v>
      </c>
      <c r="J17" s="15">
        <v>-1.5724000000000001E-4</v>
      </c>
      <c r="K17" s="18">
        <v>24.67</v>
      </c>
      <c r="L17" s="18">
        <v>24.67</v>
      </c>
      <c r="M17" s="18">
        <v>0</v>
      </c>
      <c r="N17" s="15">
        <v>1.2095420000000001E-2</v>
      </c>
      <c r="O17" s="15">
        <v>6.1682479999999998E-2</v>
      </c>
      <c r="P17" s="15">
        <v>-4.9587060000000002E-2</v>
      </c>
      <c r="Q17" s="15">
        <v>-1.6832799999999998E-2</v>
      </c>
      <c r="R17" s="15">
        <v>2.7492329999999999E-2</v>
      </c>
      <c r="S17" s="15">
        <v>-4.4325129999999997E-2</v>
      </c>
      <c r="T17" s="14"/>
      <c r="U17" s="15">
        <f t="shared" si="5"/>
        <v>1.7502999999999269E-4</v>
      </c>
      <c r="V17" s="15">
        <f t="shared" si="6"/>
        <v>-7.8620000000029222E-5</v>
      </c>
      <c r="W17" s="15"/>
      <c r="X17" s="15"/>
      <c r="Y17" s="16">
        <f t="shared" si="0"/>
        <v>1.2095420000000001E-2</v>
      </c>
      <c r="Z17" s="16">
        <f t="shared" si="1"/>
        <v>-1.6832799999999998E-2</v>
      </c>
      <c r="AA17" s="16">
        <f t="shared" si="2"/>
        <v>6.1682479999999998E-2</v>
      </c>
      <c r="AB17" s="16">
        <f t="shared" si="3"/>
        <v>2.7492329999999999E-2</v>
      </c>
      <c r="AC17" s="17">
        <f t="shared" si="7"/>
        <v>1.1877014123168528</v>
      </c>
      <c r="AD17" s="17">
        <f t="shared" si="8"/>
        <v>3.8722395143955768</v>
      </c>
      <c r="AE17" s="17">
        <f t="shared" si="9"/>
        <v>305.69960977910728</v>
      </c>
      <c r="AF17" s="17">
        <f t="shared" si="4"/>
        <v>305.25465987910729</v>
      </c>
    </row>
    <row r="18" spans="1:32" x14ac:dyDescent="0.25">
      <c r="A18" s="14">
        <v>16</v>
      </c>
      <c r="B18" s="14" t="s">
        <v>59</v>
      </c>
      <c r="C18" s="14">
        <v>150</v>
      </c>
      <c r="D18" s="14">
        <v>3</v>
      </c>
      <c r="E18" s="15">
        <v>-0.45721664000000001</v>
      </c>
      <c r="F18" s="15">
        <v>-0.45666659999999998</v>
      </c>
      <c r="G18" s="15">
        <v>-5.5006E-4</v>
      </c>
      <c r="H18" s="15">
        <v>0.58370010000000006</v>
      </c>
      <c r="I18" s="15">
        <v>0.58188324000000002</v>
      </c>
      <c r="J18" s="15">
        <v>1.8168699999999999E-3</v>
      </c>
      <c r="K18" s="18">
        <v>24.67</v>
      </c>
      <c r="L18" s="18">
        <v>24.66</v>
      </c>
      <c r="M18" s="18">
        <v>0</v>
      </c>
      <c r="N18" s="15">
        <v>7.6708999999999996E-3</v>
      </c>
      <c r="O18" s="15">
        <v>6.5414230000000004E-2</v>
      </c>
      <c r="P18" s="15">
        <v>-5.7743330000000002E-2</v>
      </c>
      <c r="Q18" s="15">
        <v>-1.126546E-2</v>
      </c>
      <c r="R18" s="15">
        <v>2.2118329999999999E-2</v>
      </c>
      <c r="S18" s="15">
        <v>-3.3383790000000003E-2</v>
      </c>
      <c r="T18" s="14"/>
      <c r="U18" s="15">
        <f t="shared" si="5"/>
        <v>2.750200000000147E-4</v>
      </c>
      <c r="V18" s="15">
        <f t="shared" si="6"/>
        <v>9.0843000000001561E-4</v>
      </c>
      <c r="W18" s="15"/>
      <c r="X18" s="15"/>
      <c r="Y18" s="16">
        <f t="shared" si="0"/>
        <v>7.6708999999999996E-3</v>
      </c>
      <c r="Z18" s="16">
        <f t="shared" si="1"/>
        <v>-1.126546E-2</v>
      </c>
      <c r="AA18" s="16">
        <f t="shared" si="2"/>
        <v>6.5414230000000004E-2</v>
      </c>
      <c r="AB18" s="16">
        <f t="shared" si="3"/>
        <v>2.2118329999999999E-2</v>
      </c>
      <c r="AC18" s="17">
        <f t="shared" si="7"/>
        <v>0.78091603886959793</v>
      </c>
      <c r="AD18" s="17">
        <f t="shared" si="8"/>
        <v>3.9595653862190283</v>
      </c>
      <c r="AE18" s="17">
        <f t="shared" si="9"/>
        <v>304.25181149331803</v>
      </c>
      <c r="AF18" s="17">
        <f t="shared" si="4"/>
        <v>303.79514489331802</v>
      </c>
    </row>
    <row r="19" spans="1:32" x14ac:dyDescent="0.25">
      <c r="A19" s="14">
        <v>17</v>
      </c>
      <c r="B19" s="14" t="s">
        <v>59</v>
      </c>
      <c r="C19" s="14">
        <v>160</v>
      </c>
      <c r="D19" s="14">
        <v>6</v>
      </c>
      <c r="E19" s="15">
        <v>-0.45809159999999999</v>
      </c>
      <c r="F19" s="15">
        <v>-0.45384987999999998</v>
      </c>
      <c r="G19" s="15">
        <v>-4.2417000000000002E-3</v>
      </c>
      <c r="H19" s="15">
        <v>0.59759163999999998</v>
      </c>
      <c r="I19" s="15">
        <v>0.59871660000000004</v>
      </c>
      <c r="J19" s="15">
        <v>-1.12498E-3</v>
      </c>
      <c r="K19" s="18">
        <v>24.34</v>
      </c>
      <c r="L19" s="18">
        <v>24.34</v>
      </c>
      <c r="M19" s="18">
        <v>0</v>
      </c>
      <c r="N19" s="15">
        <v>5.6384299999999998E-3</v>
      </c>
      <c r="O19" s="15">
        <v>6.9133299999999995E-2</v>
      </c>
      <c r="P19" s="15">
        <v>-6.3494880000000004E-2</v>
      </c>
      <c r="Q19" s="15">
        <v>-5.5651800000000003E-3</v>
      </c>
      <c r="R19" s="15">
        <v>1.7017819999999999E-2</v>
      </c>
      <c r="S19" s="15">
        <v>-2.2583010000000001E-2</v>
      </c>
      <c r="T19" s="14"/>
      <c r="U19" s="15">
        <f t="shared" si="5"/>
        <v>2.1208600000000022E-3</v>
      </c>
      <c r="V19" s="15">
        <f t="shared" si="6"/>
        <v>-5.6248000000003184E-4</v>
      </c>
      <c r="W19" s="15"/>
      <c r="X19" s="15"/>
      <c r="Y19" s="16">
        <f t="shared" si="0"/>
        <v>5.6384299999999998E-3</v>
      </c>
      <c r="Z19" s="16">
        <f t="shared" si="1"/>
        <v>-5.5651800000000003E-3</v>
      </c>
      <c r="AA19" s="16">
        <f t="shared" si="2"/>
        <v>6.9133299999999995E-2</v>
      </c>
      <c r="AB19" s="16">
        <f t="shared" si="3"/>
        <v>1.7017819999999999E-2</v>
      </c>
      <c r="AC19" s="17">
        <f t="shared" ref="AC19:AC34" si="10">IF(Y19="","",DEGREES(ASIN(SQRT(Y19^2+Z19^2))))</f>
        <v>0.45392012936143461</v>
      </c>
      <c r="AD19" s="17">
        <f t="shared" ref="AD19:AD34" si="11">IF(AA19="","",DEGREES(ASIN(SQRT(AA19^2+AB19^2))))</f>
        <v>4.082744471182215</v>
      </c>
      <c r="AE19" s="17">
        <f t="shared" ref="AE19:AE34" si="12">IF(Y19="","",MOD(DEGREES(ATAN2(Y19,Z19)),360))</f>
        <v>315.37459854902903</v>
      </c>
      <c r="AF19" s="17">
        <f t="shared" si="4"/>
        <v>314.92074866902902</v>
      </c>
    </row>
    <row r="20" spans="1:32" x14ac:dyDescent="0.25">
      <c r="A20" s="14">
        <v>18</v>
      </c>
      <c r="B20" s="14" t="s">
        <v>59</v>
      </c>
      <c r="C20" s="14">
        <v>170</v>
      </c>
      <c r="D20" s="14">
        <v>7</v>
      </c>
      <c r="E20" s="15">
        <v>-0.45017847999999999</v>
      </c>
      <c r="F20" s="15">
        <v>-0.45753568</v>
      </c>
      <c r="G20" s="15">
        <v>7.3572100000000003E-3</v>
      </c>
      <c r="H20" s="15">
        <v>0.60324279999999997</v>
      </c>
      <c r="I20" s="15">
        <v>0.59892140000000005</v>
      </c>
      <c r="J20" s="15">
        <v>4.3214000000000004E-3</v>
      </c>
      <c r="K20" s="18">
        <v>24.3</v>
      </c>
      <c r="L20" s="18">
        <v>24.3</v>
      </c>
      <c r="M20" s="18">
        <v>0</v>
      </c>
      <c r="N20" s="15">
        <v>4.4642900000000001E-3</v>
      </c>
      <c r="O20" s="15">
        <v>7.011684E-2</v>
      </c>
      <c r="P20" s="15">
        <v>-6.5652559999999999E-2</v>
      </c>
      <c r="Q20" s="15">
        <v>-7.0067999999999997E-4</v>
      </c>
      <c r="R20" s="15">
        <v>1.188023E-2</v>
      </c>
      <c r="S20" s="15">
        <v>-1.2580920000000001E-2</v>
      </c>
      <c r="T20" s="14"/>
      <c r="U20" s="15">
        <f t="shared" si="5"/>
        <v>-3.6786000000000041E-3</v>
      </c>
      <c r="V20" s="15">
        <f t="shared" si="6"/>
        <v>2.1606999999999599E-3</v>
      </c>
      <c r="W20" s="15"/>
      <c r="X20" s="15"/>
      <c r="Y20" s="16">
        <f t="shared" si="0"/>
        <v>4.4642900000000001E-3</v>
      </c>
      <c r="Z20" s="16">
        <f t="shared" si="1"/>
        <v>-7.0067999999999997E-4</v>
      </c>
      <c r="AA20" s="16">
        <f t="shared" si="2"/>
        <v>7.011684E-2</v>
      </c>
      <c r="AB20" s="16">
        <f t="shared" si="3"/>
        <v>1.188023E-2</v>
      </c>
      <c r="AC20" s="17">
        <f t="shared" si="10"/>
        <v>0.25891719118438061</v>
      </c>
      <c r="AD20" s="17">
        <f t="shared" si="11"/>
        <v>4.078099436915811</v>
      </c>
      <c r="AE20" s="17">
        <f t="shared" si="12"/>
        <v>351.08007252452336</v>
      </c>
      <c r="AF20" s="17">
        <f t="shared" si="4"/>
        <v>350.62253684452338</v>
      </c>
    </row>
    <row r="21" spans="1:32" x14ac:dyDescent="0.25">
      <c r="A21" s="14">
        <v>19</v>
      </c>
      <c r="B21" s="14" t="s">
        <v>59</v>
      </c>
      <c r="C21" s="14">
        <v>180</v>
      </c>
      <c r="D21" s="14">
        <v>7</v>
      </c>
      <c r="E21" s="15">
        <v>-0.45109991999999999</v>
      </c>
      <c r="F21" s="15">
        <v>-0.45532131999999997</v>
      </c>
      <c r="G21" s="15">
        <v>4.2214100000000001E-3</v>
      </c>
      <c r="H21" s="15">
        <v>0.59208570000000005</v>
      </c>
      <c r="I21" s="15">
        <v>0.5961571</v>
      </c>
      <c r="J21" s="15">
        <v>-4.0713499999999996E-3</v>
      </c>
      <c r="K21" s="18">
        <v>24.49</v>
      </c>
      <c r="L21" s="18">
        <v>24.5</v>
      </c>
      <c r="M21" s="18">
        <v>0</v>
      </c>
      <c r="N21" s="15">
        <v>3.66629E-3</v>
      </c>
      <c r="O21" s="15">
        <v>7.0316690000000001E-2</v>
      </c>
      <c r="P21" s="15">
        <v>-6.6650390000000004E-2</v>
      </c>
      <c r="Q21" s="15">
        <v>5.28146E-3</v>
      </c>
      <c r="R21" s="15">
        <v>5.86391E-3</v>
      </c>
      <c r="S21" s="15">
        <v>-5.8244999999999998E-4</v>
      </c>
      <c r="T21" s="14"/>
      <c r="U21" s="15">
        <f t="shared" si="5"/>
        <v>-2.1106999999999931E-3</v>
      </c>
      <c r="V21" s="15">
        <f t="shared" si="6"/>
        <v>-2.0356999999999736E-3</v>
      </c>
      <c r="W21" s="15"/>
      <c r="X21" s="15"/>
      <c r="Y21" s="16">
        <f t="shared" si="0"/>
        <v>3.66629E-3</v>
      </c>
      <c r="Z21" s="16">
        <f t="shared" si="1"/>
        <v>5.28146E-3</v>
      </c>
      <c r="AA21" s="16">
        <f t="shared" si="2"/>
        <v>7.0316690000000001E-2</v>
      </c>
      <c r="AB21" s="16">
        <f t="shared" si="3"/>
        <v>5.86391E-3</v>
      </c>
      <c r="AC21" s="17">
        <f t="shared" si="10"/>
        <v>0.36837252679254107</v>
      </c>
      <c r="AD21" s="17">
        <f t="shared" si="11"/>
        <v>4.0461966462127892</v>
      </c>
      <c r="AE21" s="17">
        <f t="shared" si="12"/>
        <v>55.232347236944214</v>
      </c>
      <c r="AF21" s="17">
        <f t="shared" si="4"/>
        <v>54.777025916944211</v>
      </c>
    </row>
    <row r="22" spans="1:32" x14ac:dyDescent="0.25">
      <c r="A22" s="14">
        <v>20</v>
      </c>
      <c r="B22" s="14" t="s">
        <v>59</v>
      </c>
      <c r="C22" s="14">
        <v>190</v>
      </c>
      <c r="D22" s="14">
        <v>4</v>
      </c>
      <c r="E22" s="15">
        <v>-0.45926235999999998</v>
      </c>
      <c r="F22" s="15">
        <v>-0.45991236000000002</v>
      </c>
      <c r="G22" s="15">
        <v>6.4999000000000003E-4</v>
      </c>
      <c r="H22" s="15">
        <v>0.60618740000000004</v>
      </c>
      <c r="I22" s="15">
        <v>0.60346250000000001</v>
      </c>
      <c r="J22" s="15">
        <v>2.7248900000000002E-3</v>
      </c>
      <c r="K22" s="18">
        <v>24.23</v>
      </c>
      <c r="L22" s="18">
        <v>24.2</v>
      </c>
      <c r="M22" s="18">
        <v>0.03</v>
      </c>
      <c r="N22" s="15">
        <v>4.7729499999999998E-3</v>
      </c>
      <c r="O22" s="15">
        <v>7.0029300000000003E-2</v>
      </c>
      <c r="P22" s="15">
        <v>-6.5256350000000005E-2</v>
      </c>
      <c r="Q22" s="15">
        <v>1.1536869999999999E-2</v>
      </c>
      <c r="R22" s="15">
        <v>-2.3376000000000001E-4</v>
      </c>
      <c r="S22" s="15">
        <v>1.1770630000000001E-2</v>
      </c>
      <c r="T22" s="14"/>
      <c r="U22" s="15">
        <f t="shared" si="5"/>
        <v>-3.2500000000001972E-4</v>
      </c>
      <c r="V22" s="15">
        <f t="shared" si="6"/>
        <v>1.362450000000015E-3</v>
      </c>
      <c r="W22" s="15"/>
      <c r="X22" s="15"/>
      <c r="Y22" s="16">
        <f t="shared" si="0"/>
        <v>4.7729499999999998E-3</v>
      </c>
      <c r="Z22" s="16">
        <f t="shared" si="1"/>
        <v>1.1536869999999999E-2</v>
      </c>
      <c r="AA22" s="16">
        <f t="shared" si="2"/>
        <v>7.0029300000000003E-2</v>
      </c>
      <c r="AB22" s="16">
        <f t="shared" si="3"/>
        <v>-2.3376000000000001E-4</v>
      </c>
      <c r="AC22" s="17">
        <f t="shared" si="10"/>
        <v>0.71536831615152996</v>
      </c>
      <c r="AD22" s="17">
        <f t="shared" si="11"/>
        <v>4.0156925231356979</v>
      </c>
      <c r="AE22" s="17">
        <f t="shared" si="12"/>
        <v>67.524497476376141</v>
      </c>
      <c r="AF22" s="17">
        <f t="shared" si="4"/>
        <v>67.064585116376136</v>
      </c>
    </row>
    <row r="23" spans="1:32" x14ac:dyDescent="0.25">
      <c r="A23" s="14">
        <v>21</v>
      </c>
      <c r="B23" s="14" t="s">
        <v>59</v>
      </c>
      <c r="C23" s="14">
        <v>200</v>
      </c>
      <c r="D23" s="14">
        <v>7</v>
      </c>
      <c r="E23" s="15">
        <v>-0.44694990000000001</v>
      </c>
      <c r="F23" s="15">
        <v>-0.45372136000000002</v>
      </c>
      <c r="G23" s="15">
        <v>6.7714799999999999E-3</v>
      </c>
      <c r="H23" s="15">
        <v>0.60395708000000004</v>
      </c>
      <c r="I23" s="15">
        <v>0.60493569999999997</v>
      </c>
      <c r="J23" s="15">
        <v>-9.7864999999999996E-4</v>
      </c>
      <c r="K23" s="18">
        <v>24.32</v>
      </c>
      <c r="L23" s="18">
        <v>24.32</v>
      </c>
      <c r="M23" s="18">
        <v>0</v>
      </c>
      <c r="N23" s="15">
        <v>5.7202099999999999E-3</v>
      </c>
      <c r="O23" s="15">
        <v>6.9228520000000002E-2</v>
      </c>
      <c r="P23" s="15">
        <v>-6.3508300000000004E-2</v>
      </c>
      <c r="Q23" s="15">
        <v>1.6572259999999998E-2</v>
      </c>
      <c r="R23" s="15">
        <v>-5.1252099999999998E-3</v>
      </c>
      <c r="S23" s="15">
        <v>2.169747E-2</v>
      </c>
      <c r="T23" s="14"/>
      <c r="U23" s="15">
        <f t="shared" si="5"/>
        <v>-3.3857300000000035E-3</v>
      </c>
      <c r="V23" s="15">
        <f t="shared" si="6"/>
        <v>-4.8930999999996505E-4</v>
      </c>
      <c r="W23" s="15"/>
      <c r="X23" s="15"/>
      <c r="Y23" s="16">
        <f t="shared" si="0"/>
        <v>5.7202099999999999E-3</v>
      </c>
      <c r="Z23" s="16">
        <f t="shared" si="1"/>
        <v>1.6572259999999998E-2</v>
      </c>
      <c r="AA23" s="16">
        <f t="shared" si="2"/>
        <v>6.9228520000000002E-2</v>
      </c>
      <c r="AB23" s="16">
        <f t="shared" si="3"/>
        <v>-5.1252099999999998E-3</v>
      </c>
      <c r="AC23" s="17">
        <f t="shared" si="10"/>
        <v>1.0045440435885575</v>
      </c>
      <c r="AD23" s="17">
        <f t="shared" si="11"/>
        <v>3.9805585306136217</v>
      </c>
      <c r="AE23" s="17">
        <f t="shared" si="12"/>
        <v>70.956976097406795</v>
      </c>
      <c r="AF23" s="17">
        <f t="shared" si="4"/>
        <v>70.503254737406792</v>
      </c>
    </row>
    <row r="24" spans="1:32" x14ac:dyDescent="0.25">
      <c r="A24" s="14">
        <v>22</v>
      </c>
      <c r="B24" s="14" t="s">
        <v>59</v>
      </c>
      <c r="C24" s="14">
        <v>210</v>
      </c>
      <c r="D24" s="14">
        <v>4</v>
      </c>
      <c r="E24" s="15">
        <v>-0.44926243999999999</v>
      </c>
      <c r="F24" s="15">
        <v>-0.45441231999999998</v>
      </c>
      <c r="G24" s="15">
        <v>5.1498999999999998E-3</v>
      </c>
      <c r="H24" s="15">
        <v>0.59851259999999995</v>
      </c>
      <c r="I24" s="15">
        <v>0.60409999999999997</v>
      </c>
      <c r="J24" s="15">
        <v>-5.5874000000000002E-3</v>
      </c>
      <c r="K24" s="18">
        <v>24.28</v>
      </c>
      <c r="L24" s="18">
        <v>24.3</v>
      </c>
      <c r="M24" s="18">
        <v>-0.02</v>
      </c>
      <c r="N24" s="15">
        <v>8.6358600000000004E-3</v>
      </c>
      <c r="O24" s="15">
        <v>6.6663200000000006E-2</v>
      </c>
      <c r="P24" s="15">
        <v>-5.8027339999999997E-2</v>
      </c>
      <c r="Q24" s="15">
        <v>2.1827389999999999E-2</v>
      </c>
      <c r="R24" s="15">
        <v>-1.053833E-2</v>
      </c>
      <c r="S24" s="15">
        <v>3.2365720000000001E-2</v>
      </c>
      <c r="T24" s="14"/>
      <c r="U24" s="15">
        <f t="shared" si="5"/>
        <v>-2.5749399999999978E-3</v>
      </c>
      <c r="V24" s="15">
        <f t="shared" si="6"/>
        <v>-2.7937000000000101E-3</v>
      </c>
      <c r="W24" s="15"/>
      <c r="X24" s="15"/>
      <c r="Y24" s="16">
        <f t="shared" si="0"/>
        <v>8.6358600000000004E-3</v>
      </c>
      <c r="Z24" s="16">
        <f t="shared" si="1"/>
        <v>2.1827389999999999E-2</v>
      </c>
      <c r="AA24" s="16">
        <f t="shared" si="2"/>
        <v>6.6663200000000006E-2</v>
      </c>
      <c r="AB24" s="16">
        <f t="shared" si="3"/>
        <v>-1.053833E-2</v>
      </c>
      <c r="AC24" s="17">
        <f t="shared" si="10"/>
        <v>1.3450655803229072</v>
      </c>
      <c r="AD24" s="17">
        <f t="shared" si="11"/>
        <v>3.8698926820253674</v>
      </c>
      <c r="AE24" s="17">
        <f t="shared" si="12"/>
        <v>68.414104756154984</v>
      </c>
      <c r="AF24" s="17">
        <f t="shared" si="4"/>
        <v>67.959692436154981</v>
      </c>
    </row>
    <row r="25" spans="1:32" x14ac:dyDescent="0.25">
      <c r="A25" s="14">
        <v>23</v>
      </c>
      <c r="B25" s="14" t="s">
        <v>59</v>
      </c>
      <c r="C25" s="14">
        <v>220</v>
      </c>
      <c r="D25" s="14">
        <v>8</v>
      </c>
      <c r="E25" s="15">
        <v>-0.44970616000000002</v>
      </c>
      <c r="F25" s="15">
        <v>-0.45808120000000002</v>
      </c>
      <c r="G25" s="15">
        <v>8.3750200000000004E-3</v>
      </c>
      <c r="H25" s="15">
        <v>0.59530000000000005</v>
      </c>
      <c r="I25" s="15">
        <v>0.59894996</v>
      </c>
      <c r="J25" s="15">
        <v>-3.6499499999999999E-3</v>
      </c>
      <c r="K25" s="18">
        <v>24.34</v>
      </c>
      <c r="L25" s="18">
        <v>24.35</v>
      </c>
      <c r="M25" s="18">
        <v>-0.01</v>
      </c>
      <c r="N25" s="15">
        <v>1.1368710000000001E-2</v>
      </c>
      <c r="O25" s="15">
        <v>6.3605040000000002E-2</v>
      </c>
      <c r="P25" s="15">
        <v>-5.2236329999999997E-2</v>
      </c>
      <c r="Q25" s="15">
        <v>2.678314E-2</v>
      </c>
      <c r="R25" s="15">
        <v>-1.552246E-2</v>
      </c>
      <c r="S25" s="15">
        <v>4.230561E-2</v>
      </c>
      <c r="T25" s="14"/>
      <c r="U25" s="15">
        <f t="shared" si="5"/>
        <v>-4.1875200000000001E-3</v>
      </c>
      <c r="V25" s="15">
        <f t="shared" si="6"/>
        <v>-1.8249799999999761E-3</v>
      </c>
      <c r="W25" s="15"/>
      <c r="X25" s="15"/>
      <c r="Y25" s="16">
        <f t="shared" si="0"/>
        <v>1.1368710000000001E-2</v>
      </c>
      <c r="Z25" s="16">
        <f t="shared" si="1"/>
        <v>2.678314E-2</v>
      </c>
      <c r="AA25" s="16">
        <f t="shared" si="2"/>
        <v>6.3605040000000002E-2</v>
      </c>
      <c r="AB25" s="16">
        <f t="shared" si="3"/>
        <v>-1.552246E-2</v>
      </c>
      <c r="AC25" s="17">
        <f t="shared" si="10"/>
        <v>1.6673201440724681</v>
      </c>
      <c r="AD25" s="17">
        <f t="shared" si="11"/>
        <v>3.7539391738335217</v>
      </c>
      <c r="AE25" s="17">
        <f t="shared" si="12"/>
        <v>67.000105911280883</v>
      </c>
      <c r="AF25" s="17">
        <f t="shared" si="4"/>
        <v>66.542024711280888</v>
      </c>
    </row>
    <row r="26" spans="1:32" x14ac:dyDescent="0.25">
      <c r="A26" s="14">
        <v>24</v>
      </c>
      <c r="B26" s="14" t="s">
        <v>59</v>
      </c>
      <c r="C26" s="14">
        <v>230</v>
      </c>
      <c r="D26" s="14">
        <v>2</v>
      </c>
      <c r="E26" s="15">
        <v>-0.45664996000000002</v>
      </c>
      <c r="F26" s="15">
        <v>-0.46024989999999999</v>
      </c>
      <c r="G26" s="15">
        <v>3.5999399999999998E-3</v>
      </c>
      <c r="H26" s="15">
        <v>0.60604999999999998</v>
      </c>
      <c r="I26" s="15">
        <v>0.61092495999999996</v>
      </c>
      <c r="J26" s="15">
        <v>-4.8749400000000003E-3</v>
      </c>
      <c r="K26" s="18">
        <v>24.16</v>
      </c>
      <c r="L26" s="18">
        <v>24.18</v>
      </c>
      <c r="M26" s="18">
        <v>-0.02</v>
      </c>
      <c r="N26" s="15">
        <v>1.6059569999999999E-2</v>
      </c>
      <c r="O26" s="15">
        <v>5.9396980000000002E-2</v>
      </c>
      <c r="P26" s="15">
        <v>-4.3337399999999998E-2</v>
      </c>
      <c r="Q26" s="15">
        <v>3.1076659999999999E-2</v>
      </c>
      <c r="R26" s="15">
        <v>-1.9703370000000001E-2</v>
      </c>
      <c r="S26" s="15">
        <v>5.0780029999999997E-2</v>
      </c>
      <c r="T26" s="14"/>
      <c r="U26" s="15">
        <f t="shared" si="5"/>
        <v>-1.7999699999999841E-3</v>
      </c>
      <c r="V26" s="15">
        <f t="shared" si="6"/>
        <v>-2.4374799999999919E-3</v>
      </c>
      <c r="W26" s="15"/>
      <c r="X26" s="15"/>
      <c r="Y26" s="16">
        <f t="shared" si="0"/>
        <v>1.6059569999999999E-2</v>
      </c>
      <c r="Z26" s="16">
        <f t="shared" si="1"/>
        <v>3.1076659999999999E-2</v>
      </c>
      <c r="AA26" s="16">
        <f t="shared" si="2"/>
        <v>5.9396980000000002E-2</v>
      </c>
      <c r="AB26" s="16">
        <f t="shared" si="3"/>
        <v>-1.9703370000000001E-2</v>
      </c>
      <c r="AC26" s="17">
        <f t="shared" si="10"/>
        <v>2.0046711929912218</v>
      </c>
      <c r="AD26" s="17">
        <f t="shared" si="11"/>
        <v>3.587899500213382</v>
      </c>
      <c r="AE26" s="17">
        <f t="shared" si="12"/>
        <v>62.671312963165931</v>
      </c>
      <c r="AF26" s="17">
        <f t="shared" si="4"/>
        <v>62.21106306316593</v>
      </c>
    </row>
    <row r="27" spans="1:32" x14ac:dyDescent="0.25">
      <c r="A27" s="14">
        <v>25</v>
      </c>
      <c r="B27" s="14" t="s">
        <v>59</v>
      </c>
      <c r="C27" s="14">
        <v>240</v>
      </c>
      <c r="D27" s="14">
        <v>7</v>
      </c>
      <c r="E27" s="15">
        <v>-0.44634990000000002</v>
      </c>
      <c r="F27" s="15">
        <v>-0.45070700000000002</v>
      </c>
      <c r="G27" s="15">
        <v>4.3571299999999999E-3</v>
      </c>
      <c r="H27" s="15">
        <v>0.59542143999999997</v>
      </c>
      <c r="I27" s="15">
        <v>0.59577144000000004</v>
      </c>
      <c r="J27" s="15">
        <v>-3.5E-4</v>
      </c>
      <c r="K27" s="18">
        <v>24.49</v>
      </c>
      <c r="L27" s="18">
        <v>24.5</v>
      </c>
      <c r="M27" s="18">
        <v>-0.02</v>
      </c>
      <c r="N27" s="15">
        <v>1.9499510000000001E-2</v>
      </c>
      <c r="O27" s="15">
        <v>5.4103999999999999E-2</v>
      </c>
      <c r="P27" s="15">
        <v>-3.4604490000000002E-2</v>
      </c>
      <c r="Q27" s="15">
        <v>3.4336980000000003E-2</v>
      </c>
      <c r="R27" s="15">
        <v>-2.3093610000000001E-2</v>
      </c>
      <c r="S27" s="15">
        <v>5.7430599999999998E-2</v>
      </c>
      <c r="T27" s="14"/>
      <c r="U27" s="15">
        <f t="shared" si="5"/>
        <v>-2.1785500000000013E-3</v>
      </c>
      <c r="V27" s="15">
        <f t="shared" si="6"/>
        <v>-1.7500000000003624E-4</v>
      </c>
      <c r="W27" s="15"/>
      <c r="X27" s="15"/>
      <c r="Y27" s="16">
        <f t="shared" si="0"/>
        <v>1.9499510000000001E-2</v>
      </c>
      <c r="Z27" s="16">
        <f t="shared" si="1"/>
        <v>3.4336980000000003E-2</v>
      </c>
      <c r="AA27" s="16">
        <f t="shared" si="2"/>
        <v>5.4103999999999999E-2</v>
      </c>
      <c r="AB27" s="16">
        <f t="shared" si="3"/>
        <v>-2.3093610000000001E-2</v>
      </c>
      <c r="AC27" s="17">
        <f t="shared" si="10"/>
        <v>2.2630528774825454</v>
      </c>
      <c r="AD27" s="17">
        <f t="shared" si="11"/>
        <v>3.3724574426143898</v>
      </c>
      <c r="AE27" s="17">
        <f t="shared" si="12"/>
        <v>60.408338707433487</v>
      </c>
      <c r="AF27" s="17">
        <f t="shared" si="4"/>
        <v>59.957631707433485</v>
      </c>
    </row>
    <row r="28" spans="1:32" x14ac:dyDescent="0.25">
      <c r="A28" s="14">
        <v>26</v>
      </c>
      <c r="B28" s="14" t="s">
        <v>59</v>
      </c>
      <c r="C28" s="14">
        <v>250</v>
      </c>
      <c r="D28" s="14">
        <v>8</v>
      </c>
      <c r="E28" s="15">
        <v>-0.44947492</v>
      </c>
      <c r="F28" s="15">
        <v>-0.45091236000000001</v>
      </c>
      <c r="G28" s="15">
        <v>1.43743E-3</v>
      </c>
      <c r="H28" s="15">
        <v>0.59294999999999998</v>
      </c>
      <c r="I28" s="15">
        <v>0.59884990000000005</v>
      </c>
      <c r="J28" s="15">
        <v>-5.8999100000000004E-3</v>
      </c>
      <c r="K28" s="18">
        <v>24.46</v>
      </c>
      <c r="L28" s="18">
        <v>24.47</v>
      </c>
      <c r="M28" s="18">
        <v>0</v>
      </c>
      <c r="N28" s="15">
        <v>2.5406189999999999E-2</v>
      </c>
      <c r="O28" s="15">
        <v>4.8786320000000001E-2</v>
      </c>
      <c r="P28" s="15">
        <v>-2.3380129999999999E-2</v>
      </c>
      <c r="Q28" s="15">
        <v>3.6939699999999999E-2</v>
      </c>
      <c r="R28" s="15">
        <v>-2.5567929999999999E-2</v>
      </c>
      <c r="S28" s="15">
        <v>6.2507629999999995E-2</v>
      </c>
      <c r="T28" s="14"/>
      <c r="U28" s="15">
        <f t="shared" si="5"/>
        <v>-7.1872000000000602E-4</v>
      </c>
      <c r="V28" s="15">
        <f t="shared" si="6"/>
        <v>-2.9499500000000345E-3</v>
      </c>
      <c r="W28" s="15"/>
      <c r="X28" s="15"/>
      <c r="Y28" s="16">
        <f t="shared" si="0"/>
        <v>2.5406189999999999E-2</v>
      </c>
      <c r="Z28" s="16">
        <f t="shared" si="1"/>
        <v>3.6939699999999999E-2</v>
      </c>
      <c r="AA28" s="16">
        <f t="shared" si="2"/>
        <v>4.8786320000000001E-2</v>
      </c>
      <c r="AB28" s="16">
        <f t="shared" si="3"/>
        <v>-2.5567929999999999E-2</v>
      </c>
      <c r="AC28" s="17">
        <f t="shared" si="10"/>
        <v>2.5696145270665931</v>
      </c>
      <c r="AD28" s="17">
        <f t="shared" si="11"/>
        <v>3.1574586261579038</v>
      </c>
      <c r="AE28" s="17">
        <f t="shared" si="12"/>
        <v>55.480791932969844</v>
      </c>
      <c r="AF28" s="17">
        <f t="shared" si="4"/>
        <v>55.029879572969847</v>
      </c>
    </row>
    <row r="29" spans="1:32" x14ac:dyDescent="0.25">
      <c r="A29" s="14">
        <v>27</v>
      </c>
      <c r="B29" s="14" t="s">
        <v>59</v>
      </c>
      <c r="C29" s="14">
        <v>260</v>
      </c>
      <c r="D29" s="14">
        <v>9</v>
      </c>
      <c r="E29" s="15">
        <v>-0.45281660000000001</v>
      </c>
      <c r="F29" s="15">
        <v>-0.45000548000000001</v>
      </c>
      <c r="G29" s="15">
        <v>-2.8111299999999998E-3</v>
      </c>
      <c r="H29" s="15">
        <v>0.59598883999999996</v>
      </c>
      <c r="I29" s="15">
        <v>0.60328879999999996</v>
      </c>
      <c r="J29" s="15">
        <v>-7.2999600000000003E-3</v>
      </c>
      <c r="K29" s="18">
        <v>24.36</v>
      </c>
      <c r="L29" s="18">
        <v>24.36</v>
      </c>
      <c r="M29" s="18">
        <v>0</v>
      </c>
      <c r="N29" s="15">
        <v>3.161187E-2</v>
      </c>
      <c r="O29" s="15">
        <v>4.4108069999999999E-2</v>
      </c>
      <c r="P29" s="15">
        <v>-1.2496200000000001E-2</v>
      </c>
      <c r="Q29" s="15">
        <v>3.850369E-2</v>
      </c>
      <c r="R29" s="15">
        <v>-2.6965599999999999E-2</v>
      </c>
      <c r="S29" s="15">
        <v>6.5469299999999994E-2</v>
      </c>
      <c r="T29" s="14"/>
      <c r="U29" s="15">
        <f t="shared" si="5"/>
        <v>1.4055600000000001E-3</v>
      </c>
      <c r="V29" s="15">
        <f t="shared" si="6"/>
        <v>-3.6499799999999971E-3</v>
      </c>
      <c r="W29" s="15"/>
      <c r="X29" s="15"/>
      <c r="Y29" s="16">
        <f t="shared" si="0"/>
        <v>3.161187E-2</v>
      </c>
      <c r="Z29" s="16">
        <f t="shared" si="1"/>
        <v>3.850369E-2</v>
      </c>
      <c r="AA29" s="16">
        <f t="shared" si="2"/>
        <v>4.4108069999999999E-2</v>
      </c>
      <c r="AB29" s="16">
        <f t="shared" si="3"/>
        <v>-2.6965599999999999E-2</v>
      </c>
      <c r="AC29" s="17">
        <f t="shared" si="10"/>
        <v>2.8555496707895958</v>
      </c>
      <c r="AD29" s="17">
        <f t="shared" si="11"/>
        <v>2.9633883810632726</v>
      </c>
      <c r="AE29" s="17">
        <f t="shared" si="12"/>
        <v>50.613701873971088</v>
      </c>
      <c r="AF29" s="17">
        <f t="shared" si="4"/>
        <v>50.163696393971087</v>
      </c>
    </row>
    <row r="30" spans="1:32" x14ac:dyDescent="0.25">
      <c r="A30" s="14">
        <v>28</v>
      </c>
      <c r="B30" s="14" t="s">
        <v>59</v>
      </c>
      <c r="C30" s="14">
        <v>270</v>
      </c>
      <c r="D30" s="14">
        <v>7</v>
      </c>
      <c r="E30" s="15">
        <v>-0.45042135999999999</v>
      </c>
      <c r="F30" s="15">
        <v>-0.45046424000000002</v>
      </c>
      <c r="G30" s="15">
        <v>4.2889999999999998E-5</v>
      </c>
      <c r="H30" s="15">
        <v>0.59629284000000005</v>
      </c>
      <c r="I30" s="15">
        <v>0.60131436000000005</v>
      </c>
      <c r="J30" s="15">
        <v>-5.0215099999999999E-3</v>
      </c>
      <c r="K30" s="18">
        <v>24.39</v>
      </c>
      <c r="L30" s="18">
        <v>24.38</v>
      </c>
      <c r="M30" s="18">
        <v>0.01</v>
      </c>
      <c r="N30" s="15">
        <v>3.719517E-2</v>
      </c>
      <c r="O30" s="15">
        <v>3.8099189999999998E-2</v>
      </c>
      <c r="P30" s="15">
        <v>-9.0401999999999995E-4</v>
      </c>
      <c r="Q30" s="15">
        <v>3.8753139999999998E-2</v>
      </c>
      <c r="R30" s="15">
        <v>-2.7675430000000001E-2</v>
      </c>
      <c r="S30" s="15">
        <v>6.6428570000000006E-2</v>
      </c>
      <c r="T30" s="14"/>
      <c r="U30" s="15">
        <f t="shared" si="5"/>
        <v>-2.144000000001145E-5</v>
      </c>
      <c r="V30" s="15">
        <f t="shared" si="6"/>
        <v>-2.5107600000000008E-3</v>
      </c>
      <c r="W30" s="15"/>
      <c r="X30" s="15"/>
      <c r="Y30" s="16">
        <f t="shared" si="0"/>
        <v>3.719517E-2</v>
      </c>
      <c r="Z30" s="16">
        <f t="shared" si="1"/>
        <v>3.8753139999999998E-2</v>
      </c>
      <c r="AA30" s="16">
        <f t="shared" si="2"/>
        <v>3.8099189999999998E-2</v>
      </c>
      <c r="AB30" s="16">
        <f t="shared" si="3"/>
        <v>-2.7675430000000001E-2</v>
      </c>
      <c r="AC30" s="17">
        <f t="shared" si="10"/>
        <v>3.0791168611924462</v>
      </c>
      <c r="AD30" s="17">
        <f t="shared" si="11"/>
        <v>2.6990622460396811</v>
      </c>
      <c r="AE30" s="17">
        <f t="shared" si="12"/>
        <v>46.175175427474763</v>
      </c>
      <c r="AF30" s="17">
        <f t="shared" si="4"/>
        <v>45.72471118747476</v>
      </c>
    </row>
    <row r="31" spans="1:32" x14ac:dyDescent="0.25">
      <c r="A31" s="14">
        <v>29</v>
      </c>
      <c r="B31" s="14" t="s">
        <v>59</v>
      </c>
      <c r="C31" s="14">
        <v>280</v>
      </c>
      <c r="D31" s="14">
        <v>4</v>
      </c>
      <c r="E31" s="15">
        <v>-0.44229990000000002</v>
      </c>
      <c r="F31" s="15">
        <v>-0.43428749999999999</v>
      </c>
      <c r="G31" s="15">
        <v>-8.0124099999999993E-3</v>
      </c>
      <c r="H31" s="15">
        <v>0.59298751999999999</v>
      </c>
      <c r="I31" s="15">
        <v>0.59692495999999995</v>
      </c>
      <c r="J31" s="15">
        <v>-3.9374199999999996E-3</v>
      </c>
      <c r="K31" s="18">
        <v>24.54</v>
      </c>
      <c r="L31" s="18">
        <v>24.53</v>
      </c>
      <c r="M31" s="18">
        <v>0</v>
      </c>
      <c r="N31" s="15">
        <v>4.218628E-2</v>
      </c>
      <c r="O31" s="15">
        <v>3.2257689999999999E-2</v>
      </c>
      <c r="P31" s="15">
        <v>9.9285899999999993E-3</v>
      </c>
      <c r="Q31" s="15">
        <v>3.8366089999999999E-2</v>
      </c>
      <c r="R31" s="15">
        <v>-2.7380370000000001E-2</v>
      </c>
      <c r="S31" s="15">
        <v>6.5746460000000007E-2</v>
      </c>
      <c r="T31" s="14"/>
      <c r="U31" s="15">
        <f t="shared" si="5"/>
        <v>4.0062000000000153E-3</v>
      </c>
      <c r="V31" s="15">
        <f t="shared" si="6"/>
        <v>-1.9687199999999794E-3</v>
      </c>
      <c r="W31" s="15"/>
      <c r="X31" s="15"/>
      <c r="Y31" s="16">
        <f t="shared" si="0"/>
        <v>4.218628E-2</v>
      </c>
      <c r="Z31" s="16">
        <f t="shared" si="1"/>
        <v>3.8366089999999999E-2</v>
      </c>
      <c r="AA31" s="16">
        <f t="shared" si="2"/>
        <v>3.2257689999999999E-2</v>
      </c>
      <c r="AB31" s="16">
        <f t="shared" si="3"/>
        <v>-2.7380370000000001E-2</v>
      </c>
      <c r="AC31" s="17">
        <f t="shared" si="10"/>
        <v>3.2689587652179699</v>
      </c>
      <c r="AD31" s="17">
        <f t="shared" si="11"/>
        <v>2.4249808825180015</v>
      </c>
      <c r="AE31" s="17">
        <f t="shared" si="12"/>
        <v>42.284786426370204</v>
      </c>
      <c r="AF31" s="17">
        <f t="shared" si="4"/>
        <v>41.8504989263702</v>
      </c>
    </row>
    <row r="32" spans="1:32" x14ac:dyDescent="0.25">
      <c r="A32" s="14">
        <v>30</v>
      </c>
      <c r="B32" s="14" t="s">
        <v>59</v>
      </c>
      <c r="C32" s="14">
        <v>290</v>
      </c>
      <c r="D32" s="14">
        <v>11</v>
      </c>
      <c r="E32" s="15">
        <v>-0.45133630000000002</v>
      </c>
      <c r="F32" s="15">
        <v>-0.45143630000000001</v>
      </c>
      <c r="G32" s="15">
        <v>1.0001999999999999E-4</v>
      </c>
      <c r="H32" s="15">
        <v>0.59080909999999998</v>
      </c>
      <c r="I32" s="15">
        <v>0.59656816000000001</v>
      </c>
      <c r="J32" s="15">
        <v>-5.7590599999999999E-3</v>
      </c>
      <c r="K32" s="18">
        <v>24.49</v>
      </c>
      <c r="L32" s="18">
        <v>24.49</v>
      </c>
      <c r="M32" s="18">
        <v>0</v>
      </c>
      <c r="N32" s="15">
        <v>4.7376380000000003E-2</v>
      </c>
      <c r="O32" s="15">
        <v>2.7663569999999998E-2</v>
      </c>
      <c r="P32" s="15">
        <v>1.9712810000000001E-2</v>
      </c>
      <c r="Q32" s="15">
        <v>3.7210800000000002E-2</v>
      </c>
      <c r="R32" s="15">
        <v>-2.617032E-2</v>
      </c>
      <c r="S32" s="15">
        <v>6.3381119999999999E-2</v>
      </c>
      <c r="T32" s="14"/>
      <c r="U32" s="15">
        <f t="shared" si="5"/>
        <v>-4.9999999999994493E-5</v>
      </c>
      <c r="V32" s="15">
        <f t="shared" si="6"/>
        <v>-2.879530000000019E-3</v>
      </c>
      <c r="W32" s="15"/>
      <c r="X32" s="15"/>
      <c r="Y32" s="16">
        <f t="shared" si="0"/>
        <v>4.7376380000000003E-2</v>
      </c>
      <c r="Z32" s="16">
        <f t="shared" si="1"/>
        <v>3.7210800000000002E-2</v>
      </c>
      <c r="AA32" s="16">
        <f t="shared" si="2"/>
        <v>2.7663569999999998E-2</v>
      </c>
      <c r="AB32" s="16">
        <f t="shared" si="3"/>
        <v>-2.617032E-2</v>
      </c>
      <c r="AC32" s="17">
        <f t="shared" si="10"/>
        <v>3.4537351327374104</v>
      </c>
      <c r="AD32" s="17">
        <f t="shared" si="11"/>
        <v>2.1824054049824104</v>
      </c>
      <c r="AE32" s="17">
        <f t="shared" si="12"/>
        <v>38.147131606734419</v>
      </c>
      <c r="AF32" s="17">
        <f t="shared" si="4"/>
        <v>37.695695306734422</v>
      </c>
    </row>
    <row r="33" spans="1:32" x14ac:dyDescent="0.25">
      <c r="A33" s="14">
        <v>31</v>
      </c>
      <c r="B33" s="14" t="s">
        <v>59</v>
      </c>
      <c r="C33" s="14">
        <v>300</v>
      </c>
      <c r="D33" s="14">
        <v>11</v>
      </c>
      <c r="E33" s="15">
        <v>-0.449409</v>
      </c>
      <c r="F33" s="15">
        <v>-0.45149536000000001</v>
      </c>
      <c r="G33" s="15">
        <v>2.0863399999999999E-3</v>
      </c>
      <c r="H33" s="15">
        <v>0.59092270000000002</v>
      </c>
      <c r="I33" s="15">
        <v>0.59826356000000003</v>
      </c>
      <c r="J33" s="15">
        <v>-7.3408500000000003E-3</v>
      </c>
      <c r="K33" s="18">
        <v>24.5</v>
      </c>
      <c r="L33" s="18">
        <v>24.5</v>
      </c>
      <c r="M33" s="18">
        <v>0</v>
      </c>
      <c r="N33" s="15">
        <v>5.348588E-2</v>
      </c>
      <c r="O33" s="15">
        <v>2.1236020000000001E-2</v>
      </c>
      <c r="P33" s="15">
        <v>3.224987E-2</v>
      </c>
      <c r="Q33" s="15">
        <v>3.4723900000000002E-2</v>
      </c>
      <c r="R33" s="15">
        <v>-2.3438830000000001E-2</v>
      </c>
      <c r="S33" s="15">
        <v>5.8162730000000003E-2</v>
      </c>
      <c r="T33" s="14"/>
      <c r="U33" s="15">
        <f t="shared" si="5"/>
        <v>-1.0431800000000047E-3</v>
      </c>
      <c r="V33" s="15">
        <f t="shared" si="6"/>
        <v>-3.6704300000000023E-3</v>
      </c>
      <c r="W33" s="15"/>
      <c r="X33" s="15"/>
      <c r="Y33" s="16">
        <f t="shared" si="0"/>
        <v>5.348588E-2</v>
      </c>
      <c r="Z33" s="16">
        <f t="shared" si="1"/>
        <v>3.4723900000000002E-2</v>
      </c>
      <c r="AA33" s="16">
        <f t="shared" si="2"/>
        <v>2.1236020000000001E-2</v>
      </c>
      <c r="AB33" s="16">
        <f t="shared" si="3"/>
        <v>-2.3438830000000001E-2</v>
      </c>
      <c r="AC33" s="17">
        <f t="shared" si="10"/>
        <v>3.6561768425724477</v>
      </c>
      <c r="AD33" s="17">
        <f t="shared" si="11"/>
        <v>1.8124685026444853</v>
      </c>
      <c r="AE33" s="17">
        <f t="shared" si="12"/>
        <v>32.992286348274625</v>
      </c>
      <c r="AF33" s="17">
        <f t="shared" si="4"/>
        <v>32.540790988274622</v>
      </c>
    </row>
    <row r="34" spans="1:32" x14ac:dyDescent="0.25">
      <c r="A34" s="14">
        <v>32</v>
      </c>
      <c r="B34" s="14" t="s">
        <v>59</v>
      </c>
      <c r="C34" s="14">
        <v>310</v>
      </c>
      <c r="D34" s="14">
        <v>6</v>
      </c>
      <c r="E34" s="15">
        <v>-0.44374160000000001</v>
      </c>
      <c r="F34" s="15">
        <v>-0.44864164000000001</v>
      </c>
      <c r="G34" s="15">
        <v>4.9000399999999996E-3</v>
      </c>
      <c r="H34" s="15">
        <v>0.59720004000000004</v>
      </c>
      <c r="I34" s="15">
        <v>0.59731670000000003</v>
      </c>
      <c r="J34" s="15">
        <v>-1.1665E-4</v>
      </c>
      <c r="K34" s="18">
        <v>24.47</v>
      </c>
      <c r="L34" s="18">
        <v>24.46</v>
      </c>
      <c r="M34" s="18">
        <v>0.01</v>
      </c>
      <c r="N34" s="15">
        <v>5.8439940000000003E-2</v>
      </c>
      <c r="O34" s="15">
        <v>1.6719560000000001E-2</v>
      </c>
      <c r="P34" s="15">
        <v>4.1720380000000001E-2</v>
      </c>
      <c r="Q34" s="15">
        <v>3.1513270000000003E-2</v>
      </c>
      <c r="R34" s="15">
        <v>-2.0423179999999999E-2</v>
      </c>
      <c r="S34" s="15">
        <v>5.193644E-2</v>
      </c>
      <c r="T34" s="14"/>
      <c r="U34" s="15">
        <f t="shared" si="5"/>
        <v>-2.4500199999999972E-3</v>
      </c>
      <c r="V34" s="15">
        <f t="shared" si="6"/>
        <v>-5.832999999999533E-5</v>
      </c>
      <c r="W34" s="15"/>
      <c r="X34" s="15"/>
      <c r="Y34" s="16">
        <f t="shared" si="0"/>
        <v>5.8439940000000003E-2</v>
      </c>
      <c r="Z34" s="16">
        <f t="shared" si="1"/>
        <v>3.1513270000000003E-2</v>
      </c>
      <c r="AA34" s="16">
        <f t="shared" si="2"/>
        <v>1.6719560000000001E-2</v>
      </c>
      <c r="AB34" s="16">
        <f t="shared" si="3"/>
        <v>-2.0423179999999999E-2</v>
      </c>
      <c r="AC34" s="17">
        <f t="shared" si="10"/>
        <v>3.8069610546131183</v>
      </c>
      <c r="AD34" s="17">
        <f t="shared" si="11"/>
        <v>1.5124477536756107</v>
      </c>
      <c r="AE34" s="17">
        <f t="shared" si="12"/>
        <v>28.335410425535169</v>
      </c>
      <c r="AF34" s="17">
        <f t="shared" si="4"/>
        <v>27.886768785535168</v>
      </c>
    </row>
    <row r="35" spans="1:32" x14ac:dyDescent="0.25">
      <c r="A35" s="14">
        <v>33</v>
      </c>
      <c r="B35" t="s">
        <v>59</v>
      </c>
      <c r="C35">
        <v>320</v>
      </c>
      <c r="D35">
        <v>4</v>
      </c>
      <c r="E35">
        <v>-0.45846244000000003</v>
      </c>
      <c r="F35">
        <v>-0.45798744000000002</v>
      </c>
      <c r="G35">
        <v>-4.7501999999999999E-4</v>
      </c>
      <c r="H35">
        <v>0.59819995999999998</v>
      </c>
      <c r="I35">
        <v>0.60333760000000003</v>
      </c>
      <c r="J35">
        <v>-5.1376199999999999E-3</v>
      </c>
      <c r="K35">
        <v>24.26</v>
      </c>
      <c r="L35">
        <v>24.27</v>
      </c>
      <c r="M35">
        <v>0</v>
      </c>
      <c r="N35">
        <v>6.3023689999999993E-2</v>
      </c>
      <c r="O35">
        <v>1.182251E-2</v>
      </c>
      <c r="P35">
        <v>5.1201179999999999E-2</v>
      </c>
      <c r="Q35">
        <v>2.7158809999999999E-2</v>
      </c>
      <c r="R35">
        <v>-1.544128E-2</v>
      </c>
      <c r="S35">
        <v>4.2600100000000002E-2</v>
      </c>
      <c r="U35" s="15">
        <f t="shared" ref="U35:U74" si="13">(F35-E35)/2</f>
        <v>2.375000000000016E-4</v>
      </c>
      <c r="V35" s="15">
        <f t="shared" ref="V35:V74" si="14">(H35-I35)/2</f>
        <v>-2.5688200000000272E-3</v>
      </c>
      <c r="W35" s="15"/>
      <c r="X35" s="15"/>
      <c r="Y35" s="16">
        <f t="shared" ref="Y35:Y74" si="15">N35</f>
        <v>6.3023689999999993E-2</v>
      </c>
      <c r="Z35" s="16">
        <f t="shared" ref="Z35:Z74" si="16">Q35</f>
        <v>2.7158809999999999E-2</v>
      </c>
      <c r="AA35" s="16">
        <f t="shared" ref="AA35:AA74" si="17">O35</f>
        <v>1.182251E-2</v>
      </c>
      <c r="AB35" s="16">
        <f t="shared" ref="AB35:AB74" si="18">R35</f>
        <v>-1.544128E-2</v>
      </c>
      <c r="AC35" s="17">
        <f t="shared" ref="AC35:AC74" si="19">IF(Y35="","",DEGREES(ASIN(SQRT(Y35^2+Z35^2))))</f>
        <v>3.9350975333829723</v>
      </c>
      <c r="AD35" s="17">
        <f t="shared" ref="AD35:AD74" si="20">IF(AA35="","",DEGREES(ASIN(SQRT(AA35^2+AB35^2))))</f>
        <v>1.1143293525143951</v>
      </c>
      <c r="AE35" s="17">
        <f t="shared" ref="AE35:AE74" si="21">IF(Y35="","",MOD(DEGREES(ATAN2(Y35,Z35)),360))</f>
        <v>23.312668371371473</v>
      </c>
      <c r="AF35" s="17">
        <f t="shared" ref="AF35:AF74" si="22">IF(Y35="","",MOD(F35+AE35,360))</f>
        <v>22.854680931371472</v>
      </c>
    </row>
    <row r="36" spans="1:32" x14ac:dyDescent="0.25">
      <c r="A36" s="14">
        <v>34</v>
      </c>
      <c r="B36" t="s">
        <v>59</v>
      </c>
      <c r="C36">
        <v>330</v>
      </c>
      <c r="D36">
        <v>13</v>
      </c>
      <c r="E36">
        <v>-0.45900760000000002</v>
      </c>
      <c r="F36">
        <v>-0.45389220000000002</v>
      </c>
      <c r="G36">
        <v>-5.11539E-3</v>
      </c>
      <c r="H36">
        <v>0.60652689999999998</v>
      </c>
      <c r="I36">
        <v>0.60639224000000003</v>
      </c>
      <c r="J36">
        <v>1.3464999999999999E-4</v>
      </c>
      <c r="K36">
        <v>24.38</v>
      </c>
      <c r="L36">
        <v>24.38</v>
      </c>
      <c r="M36">
        <v>0</v>
      </c>
      <c r="N36">
        <v>6.6097329999999996E-2</v>
      </c>
      <c r="O36">
        <v>8.5242600000000005E-3</v>
      </c>
      <c r="P36">
        <v>5.7573060000000002E-2</v>
      </c>
      <c r="Q36">
        <v>2.2236140000000001E-2</v>
      </c>
      <c r="R36">
        <v>-1.0731289999999999E-2</v>
      </c>
      <c r="S36">
        <v>3.2967429999999999E-2</v>
      </c>
      <c r="U36" s="15">
        <f t="shared" si="13"/>
        <v>2.5576999999999961E-3</v>
      </c>
      <c r="V36" s="15">
        <f t="shared" si="14"/>
        <v>6.7329999999976575E-5</v>
      </c>
      <c r="W36" s="15"/>
      <c r="X36" s="15"/>
      <c r="Y36" s="16">
        <f t="shared" si="15"/>
        <v>6.6097329999999996E-2</v>
      </c>
      <c r="Z36" s="16">
        <f t="shared" si="16"/>
        <v>2.2236140000000001E-2</v>
      </c>
      <c r="AA36" s="16">
        <f t="shared" si="17"/>
        <v>8.5242600000000005E-3</v>
      </c>
      <c r="AB36" s="16">
        <f t="shared" si="18"/>
        <v>-1.0731289999999999E-2</v>
      </c>
      <c r="AC36" s="17">
        <f t="shared" si="19"/>
        <v>3.9989036620254192</v>
      </c>
      <c r="AD36" s="17">
        <f t="shared" si="20"/>
        <v>0.78525606839193907</v>
      </c>
      <c r="AE36" s="17">
        <f t="shared" si="21"/>
        <v>18.593716723807802</v>
      </c>
      <c r="AF36" s="17">
        <f t="shared" si="22"/>
        <v>18.139824523807803</v>
      </c>
    </row>
    <row r="37" spans="1:32" x14ac:dyDescent="0.25">
      <c r="A37" s="14">
        <v>35</v>
      </c>
      <c r="B37" t="s">
        <v>59</v>
      </c>
      <c r="C37">
        <v>340</v>
      </c>
      <c r="D37">
        <v>3</v>
      </c>
      <c r="E37">
        <v>-0.45844992000000001</v>
      </c>
      <c r="F37">
        <v>-0.45801651999999998</v>
      </c>
      <c r="G37">
        <v>-4.3339000000000002E-4</v>
      </c>
      <c r="H37">
        <v>0.60874989999999995</v>
      </c>
      <c r="I37">
        <v>0.61066659999999995</v>
      </c>
      <c r="J37">
        <v>-1.91665E-3</v>
      </c>
      <c r="K37">
        <v>24.19</v>
      </c>
      <c r="L37">
        <v>24.19</v>
      </c>
      <c r="M37">
        <v>0</v>
      </c>
      <c r="N37">
        <v>6.8368319999999996E-2</v>
      </c>
      <c r="O37">
        <v>6.0839800000000001E-3</v>
      </c>
      <c r="P37">
        <v>6.2284340000000001E-2</v>
      </c>
      <c r="Q37">
        <v>1.7730300000000001E-2</v>
      </c>
      <c r="R37">
        <v>-6.2158200000000004E-3</v>
      </c>
      <c r="S37">
        <v>2.3946120000000001E-2</v>
      </c>
      <c r="U37" s="15">
        <f t="shared" si="13"/>
        <v>2.167000000000141E-4</v>
      </c>
      <c r="V37" s="15">
        <f t="shared" si="14"/>
        <v>-9.583499999999967E-4</v>
      </c>
      <c r="W37" s="15"/>
      <c r="X37" s="15"/>
      <c r="Y37" s="16">
        <f t="shared" si="15"/>
        <v>6.8368319999999996E-2</v>
      </c>
      <c r="Z37" s="16">
        <f t="shared" si="16"/>
        <v>1.7730300000000001E-2</v>
      </c>
      <c r="AA37" s="16">
        <f t="shared" si="17"/>
        <v>6.0839800000000001E-3</v>
      </c>
      <c r="AB37" s="16">
        <f t="shared" si="18"/>
        <v>-6.2158200000000004E-3</v>
      </c>
      <c r="AC37" s="17">
        <f t="shared" si="19"/>
        <v>4.0501706119256715</v>
      </c>
      <c r="AD37" s="17">
        <f t="shared" si="20"/>
        <v>0.49835188782493156</v>
      </c>
      <c r="AE37" s="17">
        <f t="shared" si="21"/>
        <v>14.538522672882278</v>
      </c>
      <c r="AF37" s="17">
        <f t="shared" si="22"/>
        <v>14.080506152882279</v>
      </c>
    </row>
    <row r="38" spans="1:32" x14ac:dyDescent="0.25">
      <c r="A38" s="14">
        <v>36</v>
      </c>
      <c r="B38" t="s">
        <v>59</v>
      </c>
      <c r="C38">
        <v>350</v>
      </c>
      <c r="D38">
        <v>7</v>
      </c>
      <c r="E38">
        <v>-0.45869280000000001</v>
      </c>
      <c r="F38">
        <v>-0.45556419999999997</v>
      </c>
      <c r="G38">
        <v>-3.1285900000000001E-3</v>
      </c>
      <c r="H38">
        <v>0.59489283999999998</v>
      </c>
      <c r="I38">
        <v>0.59832859999999999</v>
      </c>
      <c r="J38">
        <v>-3.4357300000000001E-3</v>
      </c>
      <c r="K38">
        <v>24.35</v>
      </c>
      <c r="L38">
        <v>24.35</v>
      </c>
      <c r="M38">
        <v>0.01</v>
      </c>
      <c r="N38">
        <v>6.9938260000000002E-2</v>
      </c>
      <c r="O38">
        <v>4.7380699999999996E-3</v>
      </c>
      <c r="P38">
        <v>6.52002E-2</v>
      </c>
      <c r="Q38">
        <v>1.1457169999999999E-2</v>
      </c>
      <c r="R38">
        <v>-1.7055E-4</v>
      </c>
      <c r="S38">
        <v>1.1627719999999999E-2</v>
      </c>
      <c r="U38" s="15">
        <f t="shared" si="13"/>
        <v>1.5643000000000185E-3</v>
      </c>
      <c r="V38" s="15">
        <f t="shared" si="14"/>
        <v>-1.717880000000005E-3</v>
      </c>
      <c r="W38" s="15"/>
      <c r="X38" s="15"/>
      <c r="Y38" s="16">
        <f t="shared" si="15"/>
        <v>6.9938260000000002E-2</v>
      </c>
      <c r="Z38" s="16">
        <f t="shared" si="16"/>
        <v>1.1457169999999999E-2</v>
      </c>
      <c r="AA38" s="16">
        <f t="shared" si="17"/>
        <v>4.7380699999999996E-3</v>
      </c>
      <c r="AB38" s="16">
        <f t="shared" si="18"/>
        <v>-1.7055E-4</v>
      </c>
      <c r="AC38" s="17">
        <f t="shared" si="19"/>
        <v>4.0639870485735727</v>
      </c>
      <c r="AD38" s="17">
        <f t="shared" si="20"/>
        <v>0.27164824596841369</v>
      </c>
      <c r="AE38" s="17">
        <f t="shared" si="21"/>
        <v>9.3034631496127851</v>
      </c>
      <c r="AF38" s="17">
        <f t="shared" si="22"/>
        <v>8.8478989496127856</v>
      </c>
    </row>
    <row r="39" spans="1:32" x14ac:dyDescent="0.25">
      <c r="A39" s="19">
        <v>37</v>
      </c>
      <c r="B39" s="23" t="s">
        <v>60</v>
      </c>
      <c r="C39" s="23">
        <v>0</v>
      </c>
      <c r="D39" s="23">
        <v>10</v>
      </c>
      <c r="E39" s="23">
        <v>-0.44484489999999999</v>
      </c>
      <c r="F39" s="23">
        <v>-0.44120996000000001</v>
      </c>
      <c r="G39" s="23">
        <v>-3.6349300000000002E-3</v>
      </c>
      <c r="H39" s="23">
        <v>0.59523499999999996</v>
      </c>
      <c r="I39" s="23">
        <v>0.59892500000000004</v>
      </c>
      <c r="J39" s="23">
        <v>-3.6900000000000001E-3</v>
      </c>
      <c r="K39" s="23">
        <v>24.65</v>
      </c>
      <c r="L39" s="23">
        <v>24.65</v>
      </c>
      <c r="M39" s="23">
        <v>0</v>
      </c>
      <c r="N39" s="23">
        <v>7.0161860000000006E-2</v>
      </c>
      <c r="O39" s="23">
        <v>4.5407700000000004E-3</v>
      </c>
      <c r="P39" s="23">
        <v>6.5621090000000007E-2</v>
      </c>
      <c r="Q39" s="23">
        <v>6.6276900000000003E-3</v>
      </c>
      <c r="R39" s="23">
        <v>3.9775399999999999E-3</v>
      </c>
      <c r="S39" s="23">
        <v>2.65015E-3</v>
      </c>
      <c r="T39" s="23"/>
      <c r="U39" s="20">
        <f t="shared" si="13"/>
        <v>1.8174699999999877E-3</v>
      </c>
      <c r="V39" s="20">
        <f t="shared" si="14"/>
        <v>-1.8450000000000411E-3</v>
      </c>
      <c r="W39" s="20"/>
      <c r="X39" s="20"/>
      <c r="Y39" s="21">
        <f t="shared" si="15"/>
        <v>7.0161860000000006E-2</v>
      </c>
      <c r="Z39" s="21">
        <f t="shared" si="16"/>
        <v>6.6276900000000003E-3</v>
      </c>
      <c r="AA39" s="21">
        <f t="shared" si="17"/>
        <v>4.5407700000000004E-3</v>
      </c>
      <c r="AB39" s="21">
        <f t="shared" si="18"/>
        <v>3.9775399999999999E-3</v>
      </c>
      <c r="AC39" s="22">
        <f t="shared" si="19"/>
        <v>4.0412241464683065</v>
      </c>
      <c r="AD39" s="22">
        <f t="shared" si="20"/>
        <v>0.3458684741106558</v>
      </c>
      <c r="AE39" s="22">
        <f t="shared" si="21"/>
        <v>5.3963104052701922</v>
      </c>
      <c r="AF39" s="22">
        <f t="shared" si="22"/>
        <v>4.9551004452701921</v>
      </c>
    </row>
    <row r="40" spans="1:32" x14ac:dyDescent="0.25">
      <c r="A40" s="14">
        <v>38</v>
      </c>
      <c r="B40" t="s">
        <v>60</v>
      </c>
      <c r="C40">
        <v>10</v>
      </c>
      <c r="D40">
        <v>4</v>
      </c>
      <c r="E40">
        <v>-0.46252483999999999</v>
      </c>
      <c r="F40">
        <v>-0.45626240000000001</v>
      </c>
      <c r="G40">
        <v>-6.2624500000000001E-3</v>
      </c>
      <c r="H40">
        <v>0.60451248000000002</v>
      </c>
      <c r="I40">
        <v>0.60877490000000001</v>
      </c>
      <c r="J40">
        <v>-4.2624500000000001E-3</v>
      </c>
      <c r="K40">
        <v>24.22</v>
      </c>
      <c r="L40">
        <v>24.23</v>
      </c>
      <c r="M40">
        <v>0</v>
      </c>
      <c r="N40">
        <v>7.0300909999999994E-2</v>
      </c>
      <c r="O40">
        <v>5.5493199999999999E-3</v>
      </c>
      <c r="P40">
        <v>6.4751589999999998E-2</v>
      </c>
      <c r="Q40">
        <v>1.0192999999999999E-4</v>
      </c>
      <c r="R40">
        <v>1.1763920000000001E-2</v>
      </c>
      <c r="S40">
        <v>-1.1661990000000001E-2</v>
      </c>
      <c r="U40" s="15">
        <f t="shared" si="13"/>
        <v>3.1312199999999901E-3</v>
      </c>
      <c r="V40" s="15">
        <f t="shared" si="14"/>
        <v>-2.1312099999999945E-3</v>
      </c>
      <c r="W40" s="15"/>
      <c r="X40" s="15"/>
      <c r="Y40" s="16">
        <f t="shared" si="15"/>
        <v>7.0300909999999994E-2</v>
      </c>
      <c r="Z40" s="16">
        <f t="shared" si="16"/>
        <v>1.0192999999999999E-4</v>
      </c>
      <c r="AA40" s="16">
        <f t="shared" si="17"/>
        <v>5.5493199999999999E-3</v>
      </c>
      <c r="AB40" s="16">
        <f t="shared" si="18"/>
        <v>1.1763920000000001E-2</v>
      </c>
      <c r="AC40" s="17">
        <f t="shared" si="19"/>
        <v>4.0312749146163611</v>
      </c>
      <c r="AD40" s="17">
        <f t="shared" si="20"/>
        <v>0.74527320461286506</v>
      </c>
      <c r="AE40" s="17">
        <f t="shared" si="21"/>
        <v>8.3073671639572647E-2</v>
      </c>
      <c r="AF40" s="17">
        <f t="shared" si="22"/>
        <v>359.62681127163955</v>
      </c>
    </row>
    <row r="41" spans="1:32" x14ac:dyDescent="0.25">
      <c r="A41" s="14">
        <v>39</v>
      </c>
      <c r="B41" t="s">
        <v>60</v>
      </c>
      <c r="C41">
        <v>20</v>
      </c>
      <c r="D41">
        <v>11</v>
      </c>
      <c r="E41">
        <v>-0.45510891999999997</v>
      </c>
      <c r="F41">
        <v>-0.44522267999999998</v>
      </c>
      <c r="G41">
        <v>-9.8862599999999991E-3</v>
      </c>
      <c r="H41">
        <v>0.58967729999999996</v>
      </c>
      <c r="I41">
        <v>0.59140000000000004</v>
      </c>
      <c r="J41">
        <v>-1.7227500000000001E-3</v>
      </c>
      <c r="K41">
        <v>24.56</v>
      </c>
      <c r="L41">
        <v>24.56</v>
      </c>
      <c r="M41">
        <v>0</v>
      </c>
      <c r="N41">
        <v>6.8992590000000006E-2</v>
      </c>
      <c r="O41">
        <v>6.7666899999999997E-3</v>
      </c>
      <c r="P41">
        <v>6.2225900000000001E-2</v>
      </c>
      <c r="Q41">
        <v>-5.6638399999999998E-3</v>
      </c>
      <c r="R41">
        <v>1.6240899999999999E-2</v>
      </c>
      <c r="S41">
        <v>-2.1904739999999999E-2</v>
      </c>
      <c r="U41" s="15">
        <f t="shared" si="13"/>
        <v>4.9431199999999953E-3</v>
      </c>
      <c r="V41" s="15">
        <f t="shared" si="14"/>
        <v>-8.6135000000003847E-4</v>
      </c>
      <c r="W41" s="15"/>
      <c r="X41" s="15"/>
      <c r="Y41" s="16">
        <f t="shared" si="15"/>
        <v>6.8992590000000006E-2</v>
      </c>
      <c r="Z41" s="16">
        <f t="shared" si="16"/>
        <v>-5.6638399999999998E-3</v>
      </c>
      <c r="AA41" s="16">
        <f t="shared" si="17"/>
        <v>6.7666899999999997E-3</v>
      </c>
      <c r="AB41" s="16">
        <f t="shared" si="18"/>
        <v>1.6240899999999999E-2</v>
      </c>
      <c r="AC41" s="17">
        <f t="shared" si="19"/>
        <v>3.9694567256797075</v>
      </c>
      <c r="AD41" s="17">
        <f t="shared" si="20"/>
        <v>1.0081238776832802</v>
      </c>
      <c r="AE41" s="17">
        <f t="shared" si="21"/>
        <v>355.30691544755427</v>
      </c>
      <c r="AF41" s="17">
        <f t="shared" si="22"/>
        <v>354.8616927675543</v>
      </c>
    </row>
    <row r="42" spans="1:32" x14ac:dyDescent="0.25">
      <c r="A42" s="14">
        <v>40</v>
      </c>
      <c r="B42" t="s">
        <v>60</v>
      </c>
      <c r="C42">
        <v>30</v>
      </c>
      <c r="D42">
        <v>6</v>
      </c>
      <c r="E42">
        <v>-0.45335824000000002</v>
      </c>
      <c r="F42">
        <v>-0.44990824000000001</v>
      </c>
      <c r="G42">
        <v>-3.4500099999999999E-3</v>
      </c>
      <c r="H42">
        <v>0.60991660000000003</v>
      </c>
      <c r="I42">
        <v>0.60696669999999997</v>
      </c>
      <c r="J42">
        <v>2.9499499999999998E-3</v>
      </c>
      <c r="K42">
        <v>24.28</v>
      </c>
      <c r="L42">
        <v>24.28</v>
      </c>
      <c r="M42">
        <v>0</v>
      </c>
      <c r="N42">
        <v>6.6999920000000004E-2</v>
      </c>
      <c r="O42">
        <v>8.9619999999999995E-3</v>
      </c>
      <c r="P42">
        <v>5.803792E-2</v>
      </c>
      <c r="Q42">
        <v>-1.021322E-2</v>
      </c>
      <c r="R42">
        <v>2.0928550000000001E-2</v>
      </c>
      <c r="S42">
        <v>-3.1141760000000001E-2</v>
      </c>
      <c r="U42" s="15">
        <f t="shared" si="13"/>
        <v>1.7250000000000043E-3</v>
      </c>
      <c r="V42" s="15">
        <f t="shared" si="14"/>
        <v>1.4749500000000304E-3</v>
      </c>
      <c r="W42" s="15"/>
      <c r="X42" s="15"/>
      <c r="Y42" s="16">
        <f t="shared" si="15"/>
        <v>6.6999920000000004E-2</v>
      </c>
      <c r="Z42" s="16">
        <f t="shared" si="16"/>
        <v>-1.021322E-2</v>
      </c>
      <c r="AA42" s="16">
        <f t="shared" si="17"/>
        <v>8.9619999999999995E-3</v>
      </c>
      <c r="AB42" s="16">
        <f t="shared" si="18"/>
        <v>2.0928550000000001E-2</v>
      </c>
      <c r="AC42" s="17">
        <f t="shared" si="19"/>
        <v>3.8861363378768998</v>
      </c>
      <c r="AD42" s="17">
        <f t="shared" si="20"/>
        <v>1.3045473029558208</v>
      </c>
      <c r="AE42" s="17">
        <f t="shared" si="21"/>
        <v>351.33276529192312</v>
      </c>
      <c r="AF42" s="17">
        <f t="shared" si="22"/>
        <v>350.88285705192311</v>
      </c>
    </row>
    <row r="43" spans="1:32" x14ac:dyDescent="0.25">
      <c r="A43" s="14">
        <v>41</v>
      </c>
      <c r="B43" t="s">
        <v>60</v>
      </c>
      <c r="C43">
        <v>40</v>
      </c>
      <c r="D43">
        <v>14</v>
      </c>
      <c r="E43">
        <v>-0.45049640000000002</v>
      </c>
      <c r="F43">
        <v>-0.44427847999999998</v>
      </c>
      <c r="G43">
        <v>-6.2179000000000002E-3</v>
      </c>
      <c r="H43">
        <v>0.59214290000000003</v>
      </c>
      <c r="I43">
        <v>0.59121789999999996</v>
      </c>
      <c r="J43">
        <v>9.2500000000000004E-4</v>
      </c>
      <c r="K43">
        <v>24.6</v>
      </c>
      <c r="L43">
        <v>24.58</v>
      </c>
      <c r="M43">
        <v>0.02</v>
      </c>
      <c r="N43">
        <v>6.3665949999999999E-2</v>
      </c>
      <c r="O43">
        <v>1.185547E-2</v>
      </c>
      <c r="P43">
        <v>5.1810479999999999E-2</v>
      </c>
      <c r="Q43">
        <v>-1.509958E-2</v>
      </c>
      <c r="R43">
        <v>2.5656390000000001E-2</v>
      </c>
      <c r="S43">
        <v>-4.0755960000000001E-2</v>
      </c>
      <c r="U43" s="15">
        <f t="shared" si="13"/>
        <v>3.1089600000000217E-3</v>
      </c>
      <c r="V43" s="15">
        <f t="shared" si="14"/>
        <v>4.6250000000003233E-4</v>
      </c>
      <c r="W43" s="15"/>
      <c r="X43" s="15"/>
      <c r="Y43" s="16">
        <f t="shared" si="15"/>
        <v>6.3665949999999999E-2</v>
      </c>
      <c r="Z43" s="16">
        <f t="shared" si="16"/>
        <v>-1.509958E-2</v>
      </c>
      <c r="AA43" s="16">
        <f t="shared" si="17"/>
        <v>1.185547E-2</v>
      </c>
      <c r="AB43" s="16">
        <f t="shared" si="18"/>
        <v>2.5656390000000001E-2</v>
      </c>
      <c r="AC43" s="17">
        <f t="shared" si="19"/>
        <v>3.7516594272564103</v>
      </c>
      <c r="AD43" s="17">
        <f t="shared" si="20"/>
        <v>1.619571705428412</v>
      </c>
      <c r="AE43" s="17">
        <f t="shared" si="21"/>
        <v>346.65774343356173</v>
      </c>
      <c r="AF43" s="17">
        <f t="shared" si="22"/>
        <v>346.21346495356175</v>
      </c>
    </row>
    <row r="44" spans="1:32" x14ac:dyDescent="0.25">
      <c r="A44" s="14">
        <v>42</v>
      </c>
      <c r="B44" t="s">
        <v>60</v>
      </c>
      <c r="C44">
        <v>50</v>
      </c>
      <c r="D44">
        <v>9</v>
      </c>
      <c r="E44">
        <v>-0.4527332</v>
      </c>
      <c r="F44">
        <v>-0.44996663999999997</v>
      </c>
      <c r="G44">
        <v>-2.76655E-3</v>
      </c>
      <c r="H44">
        <v>0.59280560000000004</v>
      </c>
      <c r="I44">
        <v>0.58671667999999999</v>
      </c>
      <c r="J44">
        <v>6.08897E-3</v>
      </c>
      <c r="K44">
        <v>24.56</v>
      </c>
      <c r="L44">
        <v>24.55</v>
      </c>
      <c r="M44">
        <v>0.01</v>
      </c>
      <c r="N44">
        <v>5.8754609999999999E-2</v>
      </c>
      <c r="O44">
        <v>1.5864530000000002E-2</v>
      </c>
      <c r="P44">
        <v>4.2890079999999997E-2</v>
      </c>
      <c r="Q44">
        <v>-1.9609919999999999E-2</v>
      </c>
      <c r="R44">
        <v>3.0214029999999999E-2</v>
      </c>
      <c r="S44">
        <v>-4.9823949999999999E-2</v>
      </c>
      <c r="U44" s="15">
        <f t="shared" si="13"/>
        <v>1.3832800000000145E-3</v>
      </c>
      <c r="V44" s="15">
        <f t="shared" si="14"/>
        <v>3.0444600000000266E-3</v>
      </c>
      <c r="W44" s="15"/>
      <c r="X44" s="15"/>
      <c r="Y44" s="16">
        <f t="shared" si="15"/>
        <v>5.8754609999999999E-2</v>
      </c>
      <c r="Z44" s="16">
        <f t="shared" si="16"/>
        <v>-1.9609919999999999E-2</v>
      </c>
      <c r="AA44" s="16">
        <f t="shared" si="17"/>
        <v>1.5864530000000002E-2</v>
      </c>
      <c r="AB44" s="16">
        <f t="shared" si="18"/>
        <v>3.0214029999999999E-2</v>
      </c>
      <c r="AC44" s="17">
        <f t="shared" si="19"/>
        <v>3.5512152748402195</v>
      </c>
      <c r="AD44" s="17">
        <f t="shared" si="20"/>
        <v>1.9556446026770766</v>
      </c>
      <c r="AE44" s="17">
        <f t="shared" si="21"/>
        <v>341.54306876432929</v>
      </c>
      <c r="AF44" s="17">
        <f t="shared" si="22"/>
        <v>341.09310212432928</v>
      </c>
    </row>
    <row r="45" spans="1:32" x14ac:dyDescent="0.25">
      <c r="A45" s="14">
        <v>43</v>
      </c>
      <c r="B45" t="s">
        <v>60</v>
      </c>
      <c r="C45">
        <v>60</v>
      </c>
      <c r="D45">
        <v>5</v>
      </c>
      <c r="E45">
        <v>-0.46168999999999999</v>
      </c>
      <c r="F45">
        <v>-0.44995990000000002</v>
      </c>
      <c r="G45">
        <v>-1.17301E-2</v>
      </c>
      <c r="H45">
        <v>0.59739995999999995</v>
      </c>
      <c r="I45">
        <v>0.59268010000000004</v>
      </c>
      <c r="J45">
        <v>4.7198500000000003E-3</v>
      </c>
      <c r="K45">
        <v>24.42</v>
      </c>
      <c r="L45">
        <v>24.4</v>
      </c>
      <c r="M45">
        <v>0.02</v>
      </c>
      <c r="N45">
        <v>5.3701169999999999E-2</v>
      </c>
      <c r="O45">
        <v>2.1191890000000001E-2</v>
      </c>
      <c r="P45">
        <v>3.2509280000000002E-2</v>
      </c>
      <c r="Q45">
        <v>-2.3327150000000001E-2</v>
      </c>
      <c r="R45">
        <v>3.4774899999999997E-2</v>
      </c>
      <c r="S45">
        <v>-5.8102050000000002E-2</v>
      </c>
      <c r="U45" s="15">
        <f t="shared" si="13"/>
        <v>5.8650499999999828E-3</v>
      </c>
      <c r="V45" s="15">
        <f t="shared" si="14"/>
        <v>2.3599299999999546E-3</v>
      </c>
      <c r="W45" s="15"/>
      <c r="X45" s="15"/>
      <c r="Y45" s="16">
        <f t="shared" si="15"/>
        <v>5.3701169999999999E-2</v>
      </c>
      <c r="Z45" s="16">
        <f t="shared" si="16"/>
        <v>-2.3327150000000001E-2</v>
      </c>
      <c r="AA45" s="16">
        <f t="shared" si="17"/>
        <v>2.1191890000000001E-2</v>
      </c>
      <c r="AB45" s="16">
        <f t="shared" si="18"/>
        <v>3.4774899999999997E-2</v>
      </c>
      <c r="AC45" s="17">
        <f t="shared" si="19"/>
        <v>3.3565233789431086</v>
      </c>
      <c r="AD45" s="17">
        <f t="shared" si="20"/>
        <v>2.3339205185506766</v>
      </c>
      <c r="AE45" s="17">
        <f t="shared" si="21"/>
        <v>336.52044644456845</v>
      </c>
      <c r="AF45" s="17">
        <f t="shared" si="22"/>
        <v>336.07048654456844</v>
      </c>
    </row>
    <row r="46" spans="1:32" x14ac:dyDescent="0.25">
      <c r="A46" s="14">
        <v>44</v>
      </c>
      <c r="B46" t="s">
        <v>60</v>
      </c>
      <c r="C46">
        <v>70</v>
      </c>
      <c r="D46">
        <v>7</v>
      </c>
      <c r="E46">
        <v>-0.45348564000000002</v>
      </c>
      <c r="F46">
        <v>-0.45038563999999998</v>
      </c>
      <c r="G46">
        <v>-3.1000099999999998E-3</v>
      </c>
      <c r="H46">
        <v>0.60809283999999997</v>
      </c>
      <c r="I46">
        <v>0.60390710000000003</v>
      </c>
      <c r="J46">
        <v>4.1857400000000003E-3</v>
      </c>
      <c r="K46">
        <v>24.3</v>
      </c>
      <c r="L46">
        <v>24.29</v>
      </c>
      <c r="M46">
        <v>0.01</v>
      </c>
      <c r="N46">
        <v>4.9533689999999998E-2</v>
      </c>
      <c r="O46">
        <v>2.5334470000000001E-2</v>
      </c>
      <c r="P46">
        <v>2.419922E-2</v>
      </c>
      <c r="Q46">
        <v>-2.559954E-2</v>
      </c>
      <c r="R46">
        <v>3.6269179999999998E-2</v>
      </c>
      <c r="S46">
        <v>-6.1868720000000002E-2</v>
      </c>
      <c r="U46" s="15">
        <f t="shared" si="13"/>
        <v>1.5500000000000236E-3</v>
      </c>
      <c r="V46" s="15">
        <f t="shared" si="14"/>
        <v>2.0928699999999689E-3</v>
      </c>
      <c r="W46" s="15"/>
      <c r="X46" s="15"/>
      <c r="Y46" s="16">
        <f t="shared" si="15"/>
        <v>4.9533689999999998E-2</v>
      </c>
      <c r="Z46" s="16">
        <f t="shared" si="16"/>
        <v>-2.559954E-2</v>
      </c>
      <c r="AA46" s="16">
        <f t="shared" si="17"/>
        <v>2.5334470000000001E-2</v>
      </c>
      <c r="AB46" s="16">
        <f t="shared" si="18"/>
        <v>3.6269179999999998E-2</v>
      </c>
      <c r="AC46" s="17">
        <f t="shared" si="19"/>
        <v>3.1963394586312743</v>
      </c>
      <c r="AD46" s="17">
        <f t="shared" si="20"/>
        <v>2.5356649157590252</v>
      </c>
      <c r="AE46" s="17">
        <f t="shared" si="21"/>
        <v>332.66959629160408</v>
      </c>
      <c r="AF46" s="17">
        <f t="shared" si="22"/>
        <v>332.2192106516041</v>
      </c>
    </row>
    <row r="47" spans="1:32" x14ac:dyDescent="0.25">
      <c r="A47" s="14">
        <v>45</v>
      </c>
      <c r="B47" t="s">
        <v>60</v>
      </c>
      <c r="C47">
        <v>80</v>
      </c>
      <c r="D47">
        <v>6</v>
      </c>
      <c r="E47">
        <v>-0.4578583</v>
      </c>
      <c r="F47">
        <v>-0.45324167999999998</v>
      </c>
      <c r="G47">
        <v>-4.6166200000000001E-3</v>
      </c>
      <c r="H47">
        <v>0.60984163999999996</v>
      </c>
      <c r="I47">
        <v>0.60312504</v>
      </c>
      <c r="J47">
        <v>6.7166099999999996E-3</v>
      </c>
      <c r="K47">
        <v>24.36</v>
      </c>
      <c r="L47">
        <v>24.36</v>
      </c>
      <c r="M47">
        <v>0</v>
      </c>
      <c r="N47">
        <v>4.2959799999999999E-2</v>
      </c>
      <c r="O47">
        <v>3.1573900000000002E-2</v>
      </c>
      <c r="P47">
        <v>1.1385899999999999E-2</v>
      </c>
      <c r="Q47">
        <v>-2.6852620000000001E-2</v>
      </c>
      <c r="R47">
        <v>3.7906490000000001E-2</v>
      </c>
      <c r="S47">
        <v>-6.4759109999999995E-2</v>
      </c>
      <c r="U47" s="15">
        <f t="shared" si="13"/>
        <v>2.3083100000000079E-3</v>
      </c>
      <c r="V47" s="15">
        <f t="shared" si="14"/>
        <v>3.3582999999999807E-3</v>
      </c>
      <c r="W47" s="15"/>
      <c r="X47" s="15"/>
      <c r="Y47" s="16">
        <f t="shared" si="15"/>
        <v>4.2959799999999999E-2</v>
      </c>
      <c r="Z47" s="16">
        <f t="shared" si="16"/>
        <v>-2.6852620000000001E-2</v>
      </c>
      <c r="AA47" s="16">
        <f t="shared" si="17"/>
        <v>3.1573900000000002E-2</v>
      </c>
      <c r="AB47" s="16">
        <f t="shared" si="18"/>
        <v>3.7906490000000001E-2</v>
      </c>
      <c r="AC47" s="17">
        <f t="shared" si="19"/>
        <v>2.9039445818262322</v>
      </c>
      <c r="AD47" s="17">
        <f t="shared" si="20"/>
        <v>2.8277601591334642</v>
      </c>
      <c r="AE47" s="17">
        <f t="shared" si="21"/>
        <v>327.99198422011176</v>
      </c>
      <c r="AF47" s="17">
        <f t="shared" si="22"/>
        <v>327.53874254011174</v>
      </c>
    </row>
    <row r="48" spans="1:32" x14ac:dyDescent="0.25">
      <c r="A48" s="14">
        <v>46</v>
      </c>
      <c r="B48" t="s">
        <v>60</v>
      </c>
      <c r="C48">
        <v>90</v>
      </c>
      <c r="D48">
        <v>12</v>
      </c>
      <c r="E48">
        <v>-0.45400819999999997</v>
      </c>
      <c r="F48">
        <v>-0.45367076000000001</v>
      </c>
      <c r="G48">
        <v>-3.3747999999999997E-4</v>
      </c>
      <c r="H48">
        <v>0.60047079999999997</v>
      </c>
      <c r="I48">
        <v>0.59326250000000003</v>
      </c>
      <c r="J48">
        <v>7.20829E-3</v>
      </c>
      <c r="K48">
        <v>24.44</v>
      </c>
      <c r="L48">
        <v>24.43</v>
      </c>
      <c r="M48">
        <v>0.01</v>
      </c>
      <c r="N48">
        <v>3.7077230000000003E-2</v>
      </c>
      <c r="O48">
        <v>3.746033E-2</v>
      </c>
      <c r="P48">
        <v>-3.8309999999999999E-4</v>
      </c>
      <c r="Q48">
        <v>-2.7683510000000001E-2</v>
      </c>
      <c r="R48">
        <v>3.847677E-2</v>
      </c>
      <c r="S48">
        <v>-6.6160280000000002E-2</v>
      </c>
      <c r="U48" s="15">
        <f t="shared" si="13"/>
        <v>1.6871999999998333E-4</v>
      </c>
      <c r="V48" s="15">
        <f t="shared" si="14"/>
        <v>3.6041499999999727E-3</v>
      </c>
      <c r="W48" s="15"/>
      <c r="X48" s="15"/>
      <c r="Y48" s="16">
        <f t="shared" si="15"/>
        <v>3.7077230000000003E-2</v>
      </c>
      <c r="Z48" s="16">
        <f t="shared" si="16"/>
        <v>-2.7683510000000001E-2</v>
      </c>
      <c r="AA48" s="16">
        <f t="shared" si="17"/>
        <v>3.746033E-2</v>
      </c>
      <c r="AB48" s="16">
        <f t="shared" si="18"/>
        <v>3.847677E-2</v>
      </c>
      <c r="AC48" s="17">
        <f t="shared" si="19"/>
        <v>2.6521371291259235</v>
      </c>
      <c r="AD48" s="17">
        <f t="shared" si="20"/>
        <v>3.0782897561701326</v>
      </c>
      <c r="AE48" s="17">
        <f t="shared" si="21"/>
        <v>323.2533443514053</v>
      </c>
      <c r="AF48" s="17">
        <f t="shared" si="22"/>
        <v>322.79967359140528</v>
      </c>
    </row>
    <row r="49" spans="1:32" x14ac:dyDescent="0.25">
      <c r="A49" s="14">
        <v>47</v>
      </c>
      <c r="B49" t="s">
        <v>60</v>
      </c>
      <c r="C49">
        <v>100</v>
      </c>
      <c r="D49">
        <v>4</v>
      </c>
      <c r="E49">
        <v>-0.45527489999999998</v>
      </c>
      <c r="F49">
        <v>-0.45842492000000001</v>
      </c>
      <c r="G49">
        <v>3.1500199999999999E-3</v>
      </c>
      <c r="H49">
        <v>0.59400003999999995</v>
      </c>
      <c r="I49">
        <v>0.59215004000000004</v>
      </c>
      <c r="J49">
        <v>1.85001E-3</v>
      </c>
      <c r="K49">
        <v>24.44</v>
      </c>
      <c r="L49">
        <v>24.44</v>
      </c>
      <c r="M49">
        <v>0</v>
      </c>
      <c r="N49">
        <v>3.1981200000000001E-2</v>
      </c>
      <c r="O49">
        <v>4.2955930000000003E-2</v>
      </c>
      <c r="P49">
        <v>-1.097473E-2</v>
      </c>
      <c r="Q49">
        <v>-2.7510380000000001E-2</v>
      </c>
      <c r="R49">
        <v>3.8083489999999998E-2</v>
      </c>
      <c r="S49">
        <v>-6.5593869999999999E-2</v>
      </c>
      <c r="U49" s="15">
        <f t="shared" si="13"/>
        <v>-1.5750100000000156E-3</v>
      </c>
      <c r="V49" s="15">
        <f t="shared" si="14"/>
        <v>9.2499999999995364E-4</v>
      </c>
      <c r="W49" s="15"/>
      <c r="X49" s="15"/>
      <c r="Y49" s="16">
        <f t="shared" si="15"/>
        <v>3.1981200000000001E-2</v>
      </c>
      <c r="Z49" s="16">
        <f t="shared" si="16"/>
        <v>-2.7510380000000001E-2</v>
      </c>
      <c r="AA49" s="16">
        <f t="shared" si="17"/>
        <v>4.2955930000000003E-2</v>
      </c>
      <c r="AB49" s="16">
        <f t="shared" si="18"/>
        <v>3.8083489999999998E-2</v>
      </c>
      <c r="AC49" s="17">
        <f t="shared" si="19"/>
        <v>2.4177697754502683</v>
      </c>
      <c r="AD49" s="17">
        <f t="shared" si="20"/>
        <v>3.2909883571523237</v>
      </c>
      <c r="AE49" s="17">
        <f t="shared" si="21"/>
        <v>319.29772611529722</v>
      </c>
      <c r="AF49" s="17">
        <f t="shared" si="22"/>
        <v>318.8393011952972</v>
      </c>
    </row>
    <row r="50" spans="1:32" x14ac:dyDescent="0.25">
      <c r="A50" s="14">
        <v>48</v>
      </c>
      <c r="B50" t="s">
        <v>60</v>
      </c>
      <c r="C50">
        <v>110</v>
      </c>
      <c r="D50">
        <v>8</v>
      </c>
      <c r="E50">
        <v>-0.44763747999999998</v>
      </c>
      <c r="F50">
        <v>-0.45060615999999998</v>
      </c>
      <c r="G50">
        <v>2.9686999999999999E-3</v>
      </c>
      <c r="H50">
        <v>0.58974992000000004</v>
      </c>
      <c r="I50">
        <v>0.58812503999999999</v>
      </c>
      <c r="J50">
        <v>1.62488E-3</v>
      </c>
      <c r="K50">
        <v>24.51</v>
      </c>
      <c r="L50">
        <v>24.49</v>
      </c>
      <c r="M50">
        <v>0.01</v>
      </c>
      <c r="N50">
        <v>2.650665E-2</v>
      </c>
      <c r="O50">
        <v>4.8508610000000001E-2</v>
      </c>
      <c r="P50">
        <v>-2.2001949999999999E-2</v>
      </c>
      <c r="Q50">
        <v>-2.5561520000000001E-2</v>
      </c>
      <c r="R50">
        <v>3.6568299999999998E-2</v>
      </c>
      <c r="S50">
        <v>-6.2129820000000002E-2</v>
      </c>
      <c r="U50" s="15">
        <f t="shared" si="13"/>
        <v>-1.4843400000000007E-3</v>
      </c>
      <c r="V50" s="15">
        <f t="shared" si="14"/>
        <v>8.1244000000002536E-4</v>
      </c>
      <c r="W50" s="15"/>
      <c r="X50" s="15"/>
      <c r="Y50" s="16">
        <f t="shared" si="15"/>
        <v>2.650665E-2</v>
      </c>
      <c r="Z50" s="16">
        <f t="shared" si="16"/>
        <v>-2.5561520000000001E-2</v>
      </c>
      <c r="AA50" s="16">
        <f t="shared" si="17"/>
        <v>4.8508610000000001E-2</v>
      </c>
      <c r="AB50" s="16">
        <f t="shared" si="18"/>
        <v>3.6568299999999998E-2</v>
      </c>
      <c r="AC50" s="17">
        <f t="shared" si="19"/>
        <v>2.11032664843531</v>
      </c>
      <c r="AD50" s="17">
        <f t="shared" si="20"/>
        <v>3.4827513123956511</v>
      </c>
      <c r="AE50" s="17">
        <f t="shared" si="21"/>
        <v>316.03990621926084</v>
      </c>
      <c r="AF50" s="17">
        <f t="shared" si="22"/>
        <v>315.58930005926084</v>
      </c>
    </row>
    <row r="51" spans="1:32" x14ac:dyDescent="0.25">
      <c r="A51" s="14">
        <v>49</v>
      </c>
      <c r="B51" t="s">
        <v>60</v>
      </c>
      <c r="C51">
        <v>120</v>
      </c>
      <c r="D51">
        <v>9</v>
      </c>
      <c r="E51">
        <v>-0.45329431999999997</v>
      </c>
      <c r="F51">
        <v>-0.44959436000000003</v>
      </c>
      <c r="G51">
        <v>-3.6999899999999998E-3</v>
      </c>
      <c r="H51">
        <v>0.59543884000000002</v>
      </c>
      <c r="I51">
        <v>0.58653330000000004</v>
      </c>
      <c r="J51">
        <v>8.90553E-3</v>
      </c>
      <c r="K51">
        <v>24.54</v>
      </c>
      <c r="L51">
        <v>24.55</v>
      </c>
      <c r="M51">
        <v>-0.01</v>
      </c>
      <c r="N51">
        <v>2.1408420000000001E-2</v>
      </c>
      <c r="O51">
        <v>5.3598899999999998E-2</v>
      </c>
      <c r="P51">
        <v>-3.219048E-2</v>
      </c>
      <c r="Q51">
        <v>-2.3522950000000001E-2</v>
      </c>
      <c r="R51">
        <v>3.4233399999999997E-2</v>
      </c>
      <c r="S51">
        <v>-5.7756349999999998E-2</v>
      </c>
      <c r="U51" s="15">
        <f t="shared" si="13"/>
        <v>1.8499799999999733E-3</v>
      </c>
      <c r="V51" s="15">
        <f t="shared" si="14"/>
        <v>4.4527699999999948E-3</v>
      </c>
      <c r="W51" s="15"/>
      <c r="X51" s="15"/>
      <c r="Y51" s="16">
        <f t="shared" si="15"/>
        <v>2.1408420000000001E-2</v>
      </c>
      <c r="Z51" s="16">
        <f t="shared" si="16"/>
        <v>-2.3522950000000001E-2</v>
      </c>
      <c r="AA51" s="16">
        <f t="shared" si="17"/>
        <v>5.3598899999999998E-2</v>
      </c>
      <c r="AB51" s="16">
        <f t="shared" si="18"/>
        <v>3.4233399999999997E-2</v>
      </c>
      <c r="AC51" s="17">
        <f t="shared" si="19"/>
        <v>1.8226821790716266</v>
      </c>
      <c r="AD51" s="17">
        <f t="shared" si="20"/>
        <v>3.6463859358905335</v>
      </c>
      <c r="AE51" s="17">
        <f t="shared" si="21"/>
        <v>312.30557245664556</v>
      </c>
      <c r="AF51" s="17">
        <f t="shared" si="22"/>
        <v>311.85597809664557</v>
      </c>
    </row>
    <row r="52" spans="1:32" x14ac:dyDescent="0.25">
      <c r="A52" s="14">
        <v>50</v>
      </c>
      <c r="B52" t="s">
        <v>60</v>
      </c>
      <c r="C52">
        <v>130</v>
      </c>
      <c r="D52">
        <v>3</v>
      </c>
      <c r="E52">
        <v>-0.44569989999999998</v>
      </c>
      <c r="F52">
        <v>-0.45168315999999997</v>
      </c>
      <c r="G52">
        <v>5.9832599999999998E-3</v>
      </c>
      <c r="H52">
        <v>0.59093324000000003</v>
      </c>
      <c r="I52">
        <v>0.58320004000000003</v>
      </c>
      <c r="J52">
        <v>7.7332299999999998E-3</v>
      </c>
      <c r="K52">
        <v>24.68</v>
      </c>
      <c r="L52">
        <v>24.68</v>
      </c>
      <c r="M52">
        <v>0</v>
      </c>
      <c r="N52">
        <v>1.5717769999999999E-2</v>
      </c>
      <c r="O52">
        <v>5.847086E-2</v>
      </c>
      <c r="P52">
        <v>-4.2753090000000001E-2</v>
      </c>
      <c r="Q52">
        <v>-2.0247390000000001E-2</v>
      </c>
      <c r="R52">
        <v>3.0878909999999999E-2</v>
      </c>
      <c r="S52">
        <v>-5.11263E-2</v>
      </c>
      <c r="U52" s="15">
        <f t="shared" si="13"/>
        <v>-2.9916299999999951E-3</v>
      </c>
      <c r="V52" s="15">
        <f t="shared" si="14"/>
        <v>3.8665999999999978E-3</v>
      </c>
      <c r="W52" s="15"/>
      <c r="X52" s="15"/>
      <c r="Y52" s="16">
        <f t="shared" si="15"/>
        <v>1.5717769999999999E-2</v>
      </c>
      <c r="Z52" s="16">
        <f t="shared" si="16"/>
        <v>-2.0247390000000001E-2</v>
      </c>
      <c r="AA52" s="16">
        <f t="shared" si="17"/>
        <v>5.847086E-2</v>
      </c>
      <c r="AB52" s="16">
        <f t="shared" si="18"/>
        <v>3.0878909999999999E-2</v>
      </c>
      <c r="AC52" s="17">
        <f t="shared" si="19"/>
        <v>1.4687726211742638</v>
      </c>
      <c r="AD52" s="17">
        <f t="shared" si="20"/>
        <v>3.7913773381211939</v>
      </c>
      <c r="AE52" s="17">
        <f t="shared" si="21"/>
        <v>307.82169728523331</v>
      </c>
      <c r="AF52" s="17">
        <f t="shared" si="22"/>
        <v>307.3700141252333</v>
      </c>
    </row>
    <row r="53" spans="1:32" x14ac:dyDescent="0.25">
      <c r="A53" s="14">
        <v>51</v>
      </c>
      <c r="B53" t="s">
        <v>60</v>
      </c>
      <c r="C53">
        <v>140</v>
      </c>
      <c r="D53">
        <v>9</v>
      </c>
      <c r="E53">
        <v>-0.45146656000000002</v>
      </c>
      <c r="F53">
        <v>-0.45173871999999998</v>
      </c>
      <c r="G53">
        <v>2.7214999999999997E-4</v>
      </c>
      <c r="H53">
        <v>0.59938884000000003</v>
      </c>
      <c r="I53">
        <v>0.59122220000000003</v>
      </c>
      <c r="J53">
        <v>8.1666099999999995E-3</v>
      </c>
      <c r="K53">
        <v>24.43</v>
      </c>
      <c r="L53">
        <v>24.42</v>
      </c>
      <c r="M53">
        <v>0.01</v>
      </c>
      <c r="N53">
        <v>1.197347E-2</v>
      </c>
      <c r="O53">
        <v>6.2842339999999997E-2</v>
      </c>
      <c r="P53">
        <v>-5.0868869999999997E-2</v>
      </c>
      <c r="Q53">
        <v>-1.5960829999999999E-2</v>
      </c>
      <c r="R53">
        <v>2.691298E-2</v>
      </c>
      <c r="S53">
        <v>-4.2873809999999998E-2</v>
      </c>
      <c r="U53" s="15">
        <f t="shared" si="13"/>
        <v>-1.3607999999998288E-4</v>
      </c>
      <c r="V53" s="15">
        <f t="shared" si="14"/>
        <v>4.0833200000000014E-3</v>
      </c>
      <c r="W53" s="15"/>
      <c r="X53" s="15"/>
      <c r="Y53" s="16">
        <f t="shared" si="15"/>
        <v>1.197347E-2</v>
      </c>
      <c r="Z53" s="16">
        <f t="shared" si="16"/>
        <v>-1.5960829999999999E-2</v>
      </c>
      <c r="AA53" s="16">
        <f t="shared" si="17"/>
        <v>6.2842339999999997E-2</v>
      </c>
      <c r="AB53" s="16">
        <f t="shared" si="18"/>
        <v>2.691298E-2</v>
      </c>
      <c r="AC53" s="17">
        <f t="shared" si="19"/>
        <v>1.1432840107013551</v>
      </c>
      <c r="AD53" s="17">
        <f t="shared" si="20"/>
        <v>3.9199554917693242</v>
      </c>
      <c r="AE53" s="17">
        <f t="shared" si="21"/>
        <v>306.87643909057368</v>
      </c>
      <c r="AF53" s="17">
        <f t="shared" si="22"/>
        <v>306.4247003705737</v>
      </c>
    </row>
    <row r="54" spans="1:32" x14ac:dyDescent="0.25">
      <c r="A54" s="14">
        <v>52</v>
      </c>
      <c r="B54" t="s">
        <v>60</v>
      </c>
      <c r="C54">
        <v>150</v>
      </c>
      <c r="D54">
        <v>4</v>
      </c>
      <c r="E54">
        <v>-0.45669979999999999</v>
      </c>
      <c r="F54">
        <v>-0.46076247999999997</v>
      </c>
      <c r="G54">
        <v>4.0626500000000001E-3</v>
      </c>
      <c r="H54">
        <v>0.61113740000000005</v>
      </c>
      <c r="I54">
        <v>0.60106252000000004</v>
      </c>
      <c r="J54">
        <v>1.007485E-2</v>
      </c>
      <c r="K54">
        <v>24.36</v>
      </c>
      <c r="L54">
        <v>24.38</v>
      </c>
      <c r="M54">
        <v>-0.01</v>
      </c>
      <c r="N54">
        <v>8.3618200000000007E-3</v>
      </c>
      <c r="O54">
        <v>6.6221920000000004E-2</v>
      </c>
      <c r="P54">
        <v>-5.7860109999999999E-2</v>
      </c>
      <c r="Q54">
        <v>-1.0930789999999999E-2</v>
      </c>
      <c r="R54">
        <v>2.2228999999999999E-2</v>
      </c>
      <c r="S54">
        <v>-3.3159790000000001E-2</v>
      </c>
      <c r="U54" s="15">
        <f t="shared" si="13"/>
        <v>-2.0313399999999926E-3</v>
      </c>
      <c r="V54" s="15">
        <f t="shared" si="14"/>
        <v>5.0374400000000041E-3</v>
      </c>
      <c r="W54" s="15"/>
      <c r="X54" s="15"/>
      <c r="Y54" s="16">
        <f t="shared" si="15"/>
        <v>8.3618200000000007E-3</v>
      </c>
      <c r="Z54" s="16">
        <f t="shared" si="16"/>
        <v>-1.0930789999999999E-2</v>
      </c>
      <c r="AA54" s="16">
        <f t="shared" si="17"/>
        <v>6.6221920000000004E-2</v>
      </c>
      <c r="AB54" s="16">
        <f t="shared" si="18"/>
        <v>2.2228999999999999E-2</v>
      </c>
      <c r="AC54" s="17">
        <f t="shared" si="19"/>
        <v>0.7885493110867613</v>
      </c>
      <c r="AD54" s="17">
        <f t="shared" si="20"/>
        <v>4.0055562073465287</v>
      </c>
      <c r="AE54" s="17">
        <f t="shared" si="21"/>
        <v>307.41521371151379</v>
      </c>
      <c r="AF54" s="17">
        <f t="shared" si="22"/>
        <v>306.95445123151376</v>
      </c>
    </row>
    <row r="55" spans="1:32" x14ac:dyDescent="0.25">
      <c r="A55" s="14">
        <v>53</v>
      </c>
      <c r="B55" t="s">
        <v>60</v>
      </c>
      <c r="C55">
        <v>160</v>
      </c>
      <c r="D55">
        <v>8</v>
      </c>
      <c r="E55">
        <v>-0.45522488</v>
      </c>
      <c r="F55">
        <v>-0.46057483999999999</v>
      </c>
      <c r="G55">
        <v>5.34996E-3</v>
      </c>
      <c r="H55">
        <v>0.60859996000000005</v>
      </c>
      <c r="I55">
        <v>0.60142499999999999</v>
      </c>
      <c r="J55">
        <v>7.1749700000000001E-3</v>
      </c>
      <c r="K55">
        <v>24.24</v>
      </c>
      <c r="L55">
        <v>24.24</v>
      </c>
      <c r="M55">
        <v>0</v>
      </c>
      <c r="N55">
        <v>5.9081999999999997E-3</v>
      </c>
      <c r="O55">
        <v>6.889526E-2</v>
      </c>
      <c r="P55">
        <v>-6.2987059999999997E-2</v>
      </c>
      <c r="Q55">
        <v>-5.5493199999999999E-3</v>
      </c>
      <c r="R55">
        <v>1.6958919999999999E-2</v>
      </c>
      <c r="S55">
        <v>-2.2508239999999999E-2</v>
      </c>
      <c r="U55" s="15">
        <f t="shared" si="13"/>
        <v>-2.6749799999999935E-3</v>
      </c>
      <c r="V55" s="15">
        <f t="shared" si="14"/>
        <v>3.5874800000000318E-3</v>
      </c>
      <c r="W55" s="15"/>
      <c r="X55" s="15"/>
      <c r="Y55" s="16">
        <f t="shared" si="15"/>
        <v>5.9081999999999997E-3</v>
      </c>
      <c r="Z55" s="16">
        <f t="shared" si="16"/>
        <v>-5.5493199999999999E-3</v>
      </c>
      <c r="AA55" s="16">
        <f t="shared" si="17"/>
        <v>6.889526E-2</v>
      </c>
      <c r="AB55" s="16">
        <f t="shared" si="18"/>
        <v>1.6958919999999999E-2</v>
      </c>
      <c r="AC55" s="17">
        <f t="shared" si="19"/>
        <v>0.46442539060198013</v>
      </c>
      <c r="AD55" s="17">
        <f t="shared" si="20"/>
        <v>4.0686588577286358</v>
      </c>
      <c r="AE55" s="17">
        <f t="shared" si="21"/>
        <v>316.79406963156998</v>
      </c>
      <c r="AF55" s="17">
        <f t="shared" si="22"/>
        <v>316.33349479156999</v>
      </c>
    </row>
    <row r="56" spans="1:32" x14ac:dyDescent="0.25">
      <c r="A56" s="14">
        <v>54</v>
      </c>
      <c r="B56" t="s">
        <v>60</v>
      </c>
      <c r="C56">
        <v>170</v>
      </c>
      <c r="D56">
        <v>7</v>
      </c>
      <c r="E56">
        <v>-0.44767136000000002</v>
      </c>
      <c r="F56">
        <v>-0.45332129999999998</v>
      </c>
      <c r="G56">
        <v>5.6499499999999999E-3</v>
      </c>
      <c r="H56">
        <v>0.5907</v>
      </c>
      <c r="I56">
        <v>0.59093569999999995</v>
      </c>
      <c r="J56">
        <v>-2.3573999999999999E-4</v>
      </c>
      <c r="K56">
        <v>24.52</v>
      </c>
      <c r="L56">
        <v>24.52</v>
      </c>
      <c r="M56">
        <v>0</v>
      </c>
      <c r="N56">
        <v>5.1109099999999998E-3</v>
      </c>
      <c r="O56">
        <v>7.0377720000000005E-2</v>
      </c>
      <c r="P56">
        <v>-6.5266809999999995E-2</v>
      </c>
      <c r="Q56">
        <v>-1.6253E-4</v>
      </c>
      <c r="R56">
        <v>1.1232560000000001E-2</v>
      </c>
      <c r="S56">
        <v>-1.139509E-2</v>
      </c>
      <c r="U56" s="15">
        <f t="shared" si="13"/>
        <v>-2.8249699999999822E-3</v>
      </c>
      <c r="V56" s="15">
        <f t="shared" si="14"/>
        <v>-1.1784999999997492E-4</v>
      </c>
      <c r="W56" s="15"/>
      <c r="X56" s="15"/>
      <c r="Y56" s="16">
        <f t="shared" si="15"/>
        <v>5.1109099999999998E-3</v>
      </c>
      <c r="Z56" s="16">
        <f t="shared" si="16"/>
        <v>-1.6253E-4</v>
      </c>
      <c r="AA56" s="16">
        <f t="shared" si="17"/>
        <v>7.0377720000000005E-2</v>
      </c>
      <c r="AB56" s="16">
        <f t="shared" si="18"/>
        <v>1.1232560000000001E-2</v>
      </c>
      <c r="AC56" s="17">
        <f t="shared" si="19"/>
        <v>0.29298287996548261</v>
      </c>
      <c r="AD56" s="17">
        <f t="shared" si="20"/>
        <v>4.0868468053813976</v>
      </c>
      <c r="AE56" s="17">
        <f t="shared" si="21"/>
        <v>358.17857370899827</v>
      </c>
      <c r="AF56" s="17">
        <f t="shared" si="22"/>
        <v>357.72525240899824</v>
      </c>
    </row>
    <row r="57" spans="1:32" x14ac:dyDescent="0.25">
      <c r="A57" s="14">
        <v>55</v>
      </c>
      <c r="B57" t="s">
        <v>60</v>
      </c>
      <c r="C57">
        <v>180</v>
      </c>
      <c r="D57">
        <v>5</v>
      </c>
      <c r="E57">
        <v>-0.44931991999999998</v>
      </c>
      <c r="F57">
        <v>-0.45715983999999998</v>
      </c>
      <c r="G57">
        <v>7.8399200000000002E-3</v>
      </c>
      <c r="H57">
        <v>0.59638007999999998</v>
      </c>
      <c r="I57">
        <v>0.60114990000000001</v>
      </c>
      <c r="J57">
        <v>-4.7698599999999999E-3</v>
      </c>
      <c r="K57">
        <v>24.36</v>
      </c>
      <c r="L57">
        <v>24.39</v>
      </c>
      <c r="M57">
        <v>-0.02</v>
      </c>
      <c r="N57">
        <v>4.2187500000000003E-3</v>
      </c>
      <c r="O57">
        <v>7.1198730000000002E-2</v>
      </c>
      <c r="P57">
        <v>-6.6979979999999995E-2</v>
      </c>
      <c r="Q57">
        <v>5.3042000000000002E-3</v>
      </c>
      <c r="R57">
        <v>5.8071299999999998E-3</v>
      </c>
      <c r="S57">
        <v>-5.0292999999999996E-4</v>
      </c>
      <c r="U57" s="15">
        <f t="shared" si="13"/>
        <v>-3.9199600000000001E-3</v>
      </c>
      <c r="V57" s="15">
        <f t="shared" si="14"/>
        <v>-2.3849100000000178E-3</v>
      </c>
      <c r="W57" s="15"/>
      <c r="X57" s="15"/>
      <c r="Y57" s="16">
        <f t="shared" si="15"/>
        <v>4.2187500000000003E-3</v>
      </c>
      <c r="Z57" s="16">
        <f t="shared" si="16"/>
        <v>5.3042000000000002E-3</v>
      </c>
      <c r="AA57" s="16">
        <f t="shared" si="17"/>
        <v>7.1198730000000002E-2</v>
      </c>
      <c r="AB57" s="16">
        <f t="shared" si="18"/>
        <v>5.8071299999999998E-3</v>
      </c>
      <c r="AC57" s="17">
        <f t="shared" si="19"/>
        <v>0.38831616972889493</v>
      </c>
      <c r="AD57" s="17">
        <f t="shared" si="20"/>
        <v>4.0964221532175458</v>
      </c>
      <c r="AE57" s="17">
        <f t="shared" si="21"/>
        <v>51.502654340945831</v>
      </c>
      <c r="AF57" s="17">
        <f t="shared" si="22"/>
        <v>51.045494500945829</v>
      </c>
    </row>
    <row r="58" spans="1:32" x14ac:dyDescent="0.25">
      <c r="A58" s="14">
        <v>56</v>
      </c>
      <c r="B58" t="s">
        <v>60</v>
      </c>
      <c r="C58">
        <v>190</v>
      </c>
      <c r="D58">
        <v>7</v>
      </c>
      <c r="E58">
        <v>-0.44617131999999998</v>
      </c>
      <c r="F58">
        <v>-0.45660708</v>
      </c>
      <c r="G58">
        <v>1.0435730000000001E-2</v>
      </c>
      <c r="H58">
        <v>0.59058569999999999</v>
      </c>
      <c r="I58">
        <v>0.59189990000000003</v>
      </c>
      <c r="J58">
        <v>-1.31416E-3</v>
      </c>
      <c r="K58">
        <v>24.61</v>
      </c>
      <c r="L58">
        <v>24.61</v>
      </c>
      <c r="M58">
        <v>0</v>
      </c>
      <c r="N58">
        <v>4.2808300000000002E-3</v>
      </c>
      <c r="O58">
        <v>7.0567450000000004E-2</v>
      </c>
      <c r="P58">
        <v>-6.6286620000000004E-2</v>
      </c>
      <c r="Q58">
        <v>1.026263E-2</v>
      </c>
      <c r="R58">
        <v>3.5504999999999998E-4</v>
      </c>
      <c r="S58">
        <v>9.9075799999999992E-3</v>
      </c>
      <c r="U58" s="15">
        <f t="shared" si="13"/>
        <v>-5.2178800000000081E-3</v>
      </c>
      <c r="V58" s="15">
        <f t="shared" si="14"/>
        <v>-6.5710000000002156E-4</v>
      </c>
      <c r="W58" s="15"/>
      <c r="X58" s="15"/>
      <c r="Y58" s="16">
        <f t="shared" si="15"/>
        <v>4.2808300000000002E-3</v>
      </c>
      <c r="Z58" s="16">
        <f t="shared" si="16"/>
        <v>1.026263E-2</v>
      </c>
      <c r="AA58" s="16">
        <f t="shared" si="17"/>
        <v>7.0567450000000004E-2</v>
      </c>
      <c r="AB58" s="16">
        <f t="shared" si="18"/>
        <v>3.5504999999999998E-4</v>
      </c>
      <c r="AC58" s="17">
        <f t="shared" si="19"/>
        <v>0.63712333997817172</v>
      </c>
      <c r="AD58" s="17">
        <f t="shared" si="20"/>
        <v>4.0466316136425409</v>
      </c>
      <c r="AE58" s="17">
        <f t="shared" si="21"/>
        <v>67.357617967947021</v>
      </c>
      <c r="AF58" s="17">
        <f t="shared" si="22"/>
        <v>66.901010887947024</v>
      </c>
    </row>
    <row r="59" spans="1:32" x14ac:dyDescent="0.25">
      <c r="A59" s="14">
        <v>57</v>
      </c>
      <c r="B59" t="s">
        <v>60</v>
      </c>
      <c r="C59">
        <v>200</v>
      </c>
      <c r="D59">
        <v>7</v>
      </c>
      <c r="E59">
        <v>-0.43626428</v>
      </c>
      <c r="F59">
        <v>-0.44044275999999999</v>
      </c>
      <c r="G59">
        <v>4.17849E-3</v>
      </c>
      <c r="H59">
        <v>0.59329279999999995</v>
      </c>
      <c r="I59">
        <v>0.59652143999999996</v>
      </c>
      <c r="J59">
        <v>-3.22866E-3</v>
      </c>
      <c r="K59">
        <v>24.75</v>
      </c>
      <c r="L59">
        <v>24.76</v>
      </c>
      <c r="M59">
        <v>-0.01</v>
      </c>
      <c r="N59">
        <v>5.6079099999999998E-3</v>
      </c>
      <c r="O59">
        <v>6.8719649999999993E-2</v>
      </c>
      <c r="P59">
        <v>-6.311174E-2</v>
      </c>
      <c r="Q59">
        <v>1.4669359999999999E-2</v>
      </c>
      <c r="R59">
        <v>-4.2424699999999999E-3</v>
      </c>
      <c r="S59">
        <v>1.8911830000000001E-2</v>
      </c>
      <c r="U59" s="15">
        <f t="shared" si="13"/>
        <v>-2.0892399999999922E-3</v>
      </c>
      <c r="V59" s="15">
        <f t="shared" si="14"/>
        <v>-1.6143200000000024E-3</v>
      </c>
      <c r="W59" s="15"/>
      <c r="X59" s="15"/>
      <c r="Y59" s="16">
        <f t="shared" si="15"/>
        <v>5.6079099999999998E-3</v>
      </c>
      <c r="Z59" s="16">
        <f t="shared" si="16"/>
        <v>1.4669359999999999E-2</v>
      </c>
      <c r="AA59" s="16">
        <f t="shared" si="17"/>
        <v>6.8719649999999993E-2</v>
      </c>
      <c r="AB59" s="16">
        <f t="shared" si="18"/>
        <v>-4.2424699999999999E-3</v>
      </c>
      <c r="AC59" s="17">
        <f t="shared" si="19"/>
        <v>0.89985216475450502</v>
      </c>
      <c r="AD59" s="17">
        <f t="shared" si="20"/>
        <v>3.9479653742386382</v>
      </c>
      <c r="AE59" s="17">
        <f t="shared" si="21"/>
        <v>69.078779681640214</v>
      </c>
      <c r="AF59" s="17">
        <f t="shared" si="22"/>
        <v>68.638336921640217</v>
      </c>
    </row>
    <row r="60" spans="1:32" x14ac:dyDescent="0.25">
      <c r="A60" s="14">
        <v>58</v>
      </c>
      <c r="B60" t="s">
        <v>60</v>
      </c>
      <c r="C60">
        <v>210</v>
      </c>
      <c r="D60">
        <v>5</v>
      </c>
      <c r="E60">
        <v>-0.44791999999999998</v>
      </c>
      <c r="F60">
        <v>-0.4506599</v>
      </c>
      <c r="G60">
        <v>2.7399099999999999E-3</v>
      </c>
      <c r="H60">
        <v>0.59858999999999996</v>
      </c>
      <c r="I60">
        <v>0.60087000000000002</v>
      </c>
      <c r="J60">
        <v>-2.2799999999999999E-3</v>
      </c>
      <c r="K60">
        <v>24.37</v>
      </c>
      <c r="L60">
        <v>24.35</v>
      </c>
      <c r="M60">
        <v>0.01</v>
      </c>
      <c r="N60">
        <v>8.4492200000000003E-3</v>
      </c>
      <c r="O60">
        <v>6.6136719999999996E-2</v>
      </c>
      <c r="P60">
        <v>-5.7687500000000003E-2</v>
      </c>
      <c r="Q60">
        <v>2.2419919999999999E-2</v>
      </c>
      <c r="R60">
        <v>-1.093066E-2</v>
      </c>
      <c r="S60">
        <v>3.3350579999999998E-2</v>
      </c>
      <c r="U60" s="15">
        <f t="shared" si="13"/>
        <v>-1.3699500000000087E-3</v>
      </c>
      <c r="V60" s="15">
        <f t="shared" si="14"/>
        <v>-1.1400000000000299E-3</v>
      </c>
      <c r="W60" s="15"/>
      <c r="X60" s="15"/>
      <c r="Y60" s="16">
        <f t="shared" si="15"/>
        <v>8.4492200000000003E-3</v>
      </c>
      <c r="Z60" s="16">
        <f t="shared" si="16"/>
        <v>2.2419919999999999E-2</v>
      </c>
      <c r="AA60" s="16">
        <f t="shared" si="17"/>
        <v>6.6136719999999996E-2</v>
      </c>
      <c r="AB60" s="16">
        <f t="shared" si="18"/>
        <v>-1.093066E-2</v>
      </c>
      <c r="AC60" s="17">
        <f t="shared" si="19"/>
        <v>1.3728910564388086</v>
      </c>
      <c r="AD60" s="17">
        <f t="shared" si="20"/>
        <v>3.8436423847990029</v>
      </c>
      <c r="AE60" s="17">
        <f t="shared" si="21"/>
        <v>69.350471062193648</v>
      </c>
      <c r="AF60" s="17">
        <f t="shared" si="22"/>
        <v>68.899811162193643</v>
      </c>
    </row>
    <row r="61" spans="1:32" x14ac:dyDescent="0.25">
      <c r="A61" s="14">
        <v>59</v>
      </c>
      <c r="B61" t="s">
        <v>60</v>
      </c>
      <c r="C61">
        <v>220</v>
      </c>
      <c r="D61">
        <v>4</v>
      </c>
      <c r="E61">
        <v>-0.44619992000000003</v>
      </c>
      <c r="F61">
        <v>-0.45657495999999997</v>
      </c>
      <c r="G61">
        <v>1.037502E-2</v>
      </c>
      <c r="H61">
        <v>0.58007496000000003</v>
      </c>
      <c r="I61">
        <v>0.58728749999999996</v>
      </c>
      <c r="J61">
        <v>-7.21252E-3</v>
      </c>
      <c r="K61">
        <v>24.7</v>
      </c>
      <c r="L61">
        <v>24.7</v>
      </c>
      <c r="M61">
        <v>0</v>
      </c>
      <c r="N61">
        <v>1.1156620000000001E-2</v>
      </c>
      <c r="O61">
        <v>6.3955700000000004E-2</v>
      </c>
      <c r="P61">
        <v>-5.2799079999999998E-2</v>
      </c>
      <c r="Q61">
        <v>2.627991E-2</v>
      </c>
      <c r="R61">
        <v>-1.556335E-2</v>
      </c>
      <c r="S61">
        <v>4.184326E-2</v>
      </c>
      <c r="U61" s="15">
        <f t="shared" si="13"/>
        <v>-5.1875199999999733E-3</v>
      </c>
      <c r="V61" s="15">
        <f t="shared" si="14"/>
        <v>-3.606269999999967E-3</v>
      </c>
      <c r="W61" s="15"/>
      <c r="X61" s="15"/>
      <c r="Y61" s="16">
        <f t="shared" si="15"/>
        <v>1.1156620000000001E-2</v>
      </c>
      <c r="Z61" s="16">
        <f t="shared" si="16"/>
        <v>2.627991E-2</v>
      </c>
      <c r="AA61" s="16">
        <f t="shared" si="17"/>
        <v>6.3955700000000004E-2</v>
      </c>
      <c r="AB61" s="16">
        <f t="shared" si="18"/>
        <v>-1.556335E-2</v>
      </c>
      <c r="AC61" s="17">
        <f t="shared" si="19"/>
        <v>1.6360181545864094</v>
      </c>
      <c r="AD61" s="17">
        <f t="shared" si="20"/>
        <v>3.7740573477712891</v>
      </c>
      <c r="AE61" s="17">
        <f t="shared" si="21"/>
        <v>66.997302851603195</v>
      </c>
      <c r="AF61" s="17">
        <f t="shared" si="22"/>
        <v>66.540727891603197</v>
      </c>
    </row>
    <row r="62" spans="1:32" x14ac:dyDescent="0.25">
      <c r="A62" s="14">
        <v>60</v>
      </c>
      <c r="B62" t="s">
        <v>60</v>
      </c>
      <c r="C62">
        <v>230</v>
      </c>
      <c r="D62">
        <v>7</v>
      </c>
      <c r="E62">
        <v>-0.44965704000000001</v>
      </c>
      <c r="F62">
        <v>-0.45793556000000002</v>
      </c>
      <c r="G62">
        <v>8.2785199999999993E-3</v>
      </c>
      <c r="H62">
        <v>0.58715720000000005</v>
      </c>
      <c r="I62">
        <v>0.59555709999999995</v>
      </c>
      <c r="J62">
        <v>-8.3999000000000001E-3</v>
      </c>
      <c r="K62">
        <v>24.55</v>
      </c>
      <c r="L62">
        <v>24.55</v>
      </c>
      <c r="M62">
        <v>0</v>
      </c>
      <c r="N62">
        <v>1.6007250000000001E-2</v>
      </c>
      <c r="O62">
        <v>5.9024489999999999E-2</v>
      </c>
      <c r="P62">
        <v>-4.3017229999999997E-2</v>
      </c>
      <c r="Q62">
        <v>3.0736960000000001E-2</v>
      </c>
      <c r="R62">
        <v>-1.9972799999999999E-2</v>
      </c>
      <c r="S62">
        <v>5.0709749999999998E-2</v>
      </c>
      <c r="U62" s="15">
        <f t="shared" si="13"/>
        <v>-4.1392600000000057E-3</v>
      </c>
      <c r="V62" s="15">
        <f t="shared" si="14"/>
        <v>-4.1999499999999523E-3</v>
      </c>
      <c r="W62" s="15"/>
      <c r="X62" s="15"/>
      <c r="Y62" s="16">
        <f t="shared" si="15"/>
        <v>1.6007250000000001E-2</v>
      </c>
      <c r="Z62" s="16">
        <f t="shared" si="16"/>
        <v>3.0736960000000001E-2</v>
      </c>
      <c r="AA62" s="16">
        <f t="shared" si="17"/>
        <v>5.9024489999999999E-2</v>
      </c>
      <c r="AB62" s="16">
        <f t="shared" si="18"/>
        <v>-1.9972799999999999E-2</v>
      </c>
      <c r="AC62" s="17">
        <f t="shared" si="19"/>
        <v>1.9860025263135059</v>
      </c>
      <c r="AD62" s="17">
        <f t="shared" si="20"/>
        <v>3.5725372620294213</v>
      </c>
      <c r="AE62" s="17">
        <f t="shared" si="21"/>
        <v>62.490319077444667</v>
      </c>
      <c r="AF62" s="17">
        <f t="shared" si="22"/>
        <v>62.032383517444664</v>
      </c>
    </row>
    <row r="63" spans="1:32" x14ac:dyDescent="0.25">
      <c r="A63" s="14">
        <v>61</v>
      </c>
      <c r="B63" t="s">
        <v>60</v>
      </c>
      <c r="C63">
        <v>240</v>
      </c>
      <c r="D63">
        <v>7</v>
      </c>
      <c r="E63">
        <v>-0.45452135999999999</v>
      </c>
      <c r="F63">
        <v>-0.46071420000000002</v>
      </c>
      <c r="G63">
        <v>6.1928299999999999E-3</v>
      </c>
      <c r="H63">
        <v>0.59752136</v>
      </c>
      <c r="I63">
        <v>0.60593569999999997</v>
      </c>
      <c r="J63">
        <v>-8.4143299999999994E-3</v>
      </c>
      <c r="K63">
        <v>24.21</v>
      </c>
      <c r="L63">
        <v>24.21</v>
      </c>
      <c r="M63">
        <v>0</v>
      </c>
      <c r="N63">
        <v>2.0981099999999999E-2</v>
      </c>
      <c r="O63">
        <v>5.4012629999999999E-2</v>
      </c>
      <c r="P63">
        <v>-3.3031530000000003E-2</v>
      </c>
      <c r="Q63">
        <v>3.4724119999999997E-2</v>
      </c>
      <c r="R63">
        <v>-2.3307410000000001E-2</v>
      </c>
      <c r="S63">
        <v>5.8031529999999998E-2</v>
      </c>
      <c r="U63" s="15">
        <f t="shared" si="13"/>
        <v>-3.0964200000000164E-3</v>
      </c>
      <c r="V63" s="15">
        <f t="shared" si="14"/>
        <v>-4.2071699999999823E-3</v>
      </c>
      <c r="W63" s="15"/>
      <c r="X63" s="15"/>
      <c r="Y63" s="16">
        <f t="shared" si="15"/>
        <v>2.0981099999999999E-2</v>
      </c>
      <c r="Z63" s="16">
        <f t="shared" si="16"/>
        <v>3.4724119999999997E-2</v>
      </c>
      <c r="AA63" s="16">
        <f t="shared" si="17"/>
        <v>5.4012629999999999E-2</v>
      </c>
      <c r="AB63" s="16">
        <f t="shared" si="18"/>
        <v>-2.3307410000000001E-2</v>
      </c>
      <c r="AC63" s="17">
        <f t="shared" si="19"/>
        <v>2.3251605302813161</v>
      </c>
      <c r="AD63" s="17">
        <f t="shared" si="20"/>
        <v>3.3724778933442696</v>
      </c>
      <c r="AE63" s="17">
        <f t="shared" si="21"/>
        <v>58.858677519315215</v>
      </c>
      <c r="AF63" s="17">
        <f t="shared" si="22"/>
        <v>58.397963319315217</v>
      </c>
    </row>
    <row r="64" spans="1:32" x14ac:dyDescent="0.25">
      <c r="A64" s="14">
        <v>62</v>
      </c>
      <c r="B64" t="s">
        <v>60</v>
      </c>
      <c r="C64">
        <v>250</v>
      </c>
      <c r="D64">
        <v>4</v>
      </c>
      <c r="E64">
        <v>-0.45976232</v>
      </c>
      <c r="F64">
        <v>-0.44918750000000002</v>
      </c>
      <c r="G64">
        <v>-1.057485E-2</v>
      </c>
      <c r="H64">
        <v>0.57956251999999997</v>
      </c>
      <c r="I64">
        <v>0.58545009999999997</v>
      </c>
      <c r="J64">
        <v>-5.88757E-3</v>
      </c>
      <c r="K64">
        <v>24.58</v>
      </c>
      <c r="L64">
        <v>24.57</v>
      </c>
      <c r="M64">
        <v>0.01</v>
      </c>
      <c r="N64">
        <v>2.6135249999999999E-2</v>
      </c>
      <c r="O64">
        <v>4.840332E-2</v>
      </c>
      <c r="P64">
        <v>-2.2268059999999999E-2</v>
      </c>
      <c r="Q64">
        <v>3.6856079999999999E-2</v>
      </c>
      <c r="R64">
        <v>-2.5997309999999999E-2</v>
      </c>
      <c r="S64">
        <v>6.2853400000000004E-2</v>
      </c>
      <c r="U64" s="15">
        <f t="shared" si="13"/>
        <v>5.2874099999999924E-3</v>
      </c>
      <c r="V64" s="15">
        <f t="shared" si="14"/>
        <v>-2.9437900000000017E-3</v>
      </c>
      <c r="W64" s="15"/>
      <c r="X64" s="15"/>
      <c r="Y64" s="16">
        <f t="shared" si="15"/>
        <v>2.6135249999999999E-2</v>
      </c>
      <c r="Z64" s="16">
        <f t="shared" si="16"/>
        <v>3.6856079999999999E-2</v>
      </c>
      <c r="AA64" s="16">
        <f t="shared" si="17"/>
        <v>4.840332E-2</v>
      </c>
      <c r="AB64" s="16">
        <f t="shared" si="18"/>
        <v>-2.5997309999999999E-2</v>
      </c>
      <c r="AC64" s="17">
        <f t="shared" si="19"/>
        <v>2.5896250870075819</v>
      </c>
      <c r="AD64" s="17">
        <f t="shared" si="20"/>
        <v>3.1495923150215401</v>
      </c>
      <c r="AE64" s="17">
        <f t="shared" si="21"/>
        <v>54.658922023832446</v>
      </c>
      <c r="AF64" s="17">
        <f t="shared" si="22"/>
        <v>54.209734523832445</v>
      </c>
    </row>
    <row r="65" spans="1:32" x14ac:dyDescent="0.25">
      <c r="A65" s="14">
        <v>63</v>
      </c>
      <c r="B65" t="s">
        <v>60</v>
      </c>
      <c r="C65">
        <v>260</v>
      </c>
      <c r="D65">
        <v>6</v>
      </c>
      <c r="E65">
        <v>-0.45024160000000002</v>
      </c>
      <c r="F65">
        <v>-0.45143327999999999</v>
      </c>
      <c r="G65">
        <v>1.1916800000000001E-3</v>
      </c>
      <c r="H65">
        <v>0.59457490000000002</v>
      </c>
      <c r="I65">
        <v>0.59241664000000005</v>
      </c>
      <c r="J65">
        <v>2.1582799999999998E-3</v>
      </c>
      <c r="K65">
        <v>24.5</v>
      </c>
      <c r="L65">
        <v>24.5</v>
      </c>
      <c r="M65">
        <v>0</v>
      </c>
      <c r="N65">
        <v>3.122436E-2</v>
      </c>
      <c r="O65">
        <v>4.329997E-2</v>
      </c>
      <c r="P65">
        <v>-1.2075600000000001E-2</v>
      </c>
      <c r="Q65">
        <v>3.8178709999999998E-2</v>
      </c>
      <c r="R65">
        <v>-2.6971439999999999E-2</v>
      </c>
      <c r="S65">
        <v>6.5150150000000004E-2</v>
      </c>
      <c r="U65" s="15">
        <f t="shared" si="13"/>
        <v>-5.9583999999998638E-4</v>
      </c>
      <c r="V65" s="15">
        <f t="shared" si="14"/>
        <v>1.0791299999999837E-3</v>
      </c>
      <c r="W65" s="15"/>
      <c r="X65" s="15"/>
      <c r="Y65" s="16">
        <f t="shared" si="15"/>
        <v>3.122436E-2</v>
      </c>
      <c r="Z65" s="16">
        <f t="shared" si="16"/>
        <v>3.8178709999999998E-2</v>
      </c>
      <c r="AA65" s="16">
        <f t="shared" si="17"/>
        <v>4.329997E-2</v>
      </c>
      <c r="AB65" s="16">
        <f t="shared" si="18"/>
        <v>-2.6971439999999999E-2</v>
      </c>
      <c r="AC65" s="17">
        <f t="shared" si="19"/>
        <v>2.8270399459118161</v>
      </c>
      <c r="AD65" s="17">
        <f t="shared" si="20"/>
        <v>2.9241099184318071</v>
      </c>
      <c r="AE65" s="17">
        <f t="shared" si="21"/>
        <v>50.722071336941106</v>
      </c>
      <c r="AF65" s="17">
        <f t="shared" si="22"/>
        <v>50.270638056941102</v>
      </c>
    </row>
    <row r="66" spans="1:32" x14ac:dyDescent="0.25">
      <c r="A66" s="14">
        <v>64</v>
      </c>
      <c r="B66" t="s">
        <v>60</v>
      </c>
      <c r="C66">
        <v>270</v>
      </c>
      <c r="D66">
        <v>13</v>
      </c>
      <c r="E66">
        <v>-0.45177299999999998</v>
      </c>
      <c r="F66">
        <v>-0.45442295999999999</v>
      </c>
      <c r="G66">
        <v>2.6499599999999998E-3</v>
      </c>
      <c r="H66">
        <v>0.58983463999999997</v>
      </c>
      <c r="I66">
        <v>0.5922231</v>
      </c>
      <c r="J66">
        <v>-2.3884800000000001E-3</v>
      </c>
      <c r="K66">
        <v>24.52</v>
      </c>
      <c r="L66">
        <v>24.53</v>
      </c>
      <c r="M66">
        <v>0</v>
      </c>
      <c r="N66">
        <v>3.6719120000000001E-2</v>
      </c>
      <c r="O66">
        <v>3.7447229999999998E-2</v>
      </c>
      <c r="P66">
        <v>-7.2809999999999997E-4</v>
      </c>
      <c r="Q66">
        <v>3.8745679999999998E-2</v>
      </c>
      <c r="R66">
        <v>-2.7786209999999999E-2</v>
      </c>
      <c r="S66">
        <v>6.6531880000000002E-2</v>
      </c>
      <c r="U66" s="15">
        <f t="shared" si="13"/>
        <v>-1.3249800000000034E-3</v>
      </c>
      <c r="V66" s="15">
        <f t="shared" si="14"/>
        <v>-1.1942300000000183E-3</v>
      </c>
      <c r="W66" s="15"/>
      <c r="X66" s="15"/>
      <c r="Y66" s="16">
        <f t="shared" si="15"/>
        <v>3.6719120000000001E-2</v>
      </c>
      <c r="Z66" s="16">
        <f t="shared" si="16"/>
        <v>3.8745679999999998E-2</v>
      </c>
      <c r="AA66" s="16">
        <f t="shared" si="17"/>
        <v>3.7447229999999998E-2</v>
      </c>
      <c r="AB66" s="16">
        <f t="shared" si="18"/>
        <v>-2.7786209999999999E-2</v>
      </c>
      <c r="AC66" s="17">
        <f t="shared" si="19"/>
        <v>3.0599552269738783</v>
      </c>
      <c r="AD66" s="17">
        <f t="shared" si="20"/>
        <v>2.6726784878714374</v>
      </c>
      <c r="AE66" s="17">
        <f t="shared" si="21"/>
        <v>46.538272611908361</v>
      </c>
      <c r="AF66" s="17">
        <f t="shared" si="22"/>
        <v>46.083849651908359</v>
      </c>
    </row>
    <row r="67" spans="1:32" x14ac:dyDescent="0.25">
      <c r="A67" s="14">
        <v>65</v>
      </c>
      <c r="B67" t="s">
        <v>60</v>
      </c>
      <c r="C67">
        <v>280</v>
      </c>
      <c r="D67">
        <v>6</v>
      </c>
      <c r="E67">
        <v>-0.44989992000000001</v>
      </c>
      <c r="F67">
        <v>-0.45236660000000001</v>
      </c>
      <c r="G67">
        <v>2.4666499999999999E-3</v>
      </c>
      <c r="H67">
        <v>0.58365007999999996</v>
      </c>
      <c r="I67">
        <v>0.59169989999999995</v>
      </c>
      <c r="J67">
        <v>-8.0498500000000008E-3</v>
      </c>
      <c r="K67">
        <v>24.59</v>
      </c>
      <c r="L67">
        <v>24.6</v>
      </c>
      <c r="M67">
        <v>-0.01</v>
      </c>
      <c r="N67">
        <v>4.2314459999999998E-2</v>
      </c>
      <c r="O67">
        <v>3.1939700000000001E-2</v>
      </c>
      <c r="P67">
        <v>1.037475E-2</v>
      </c>
      <c r="Q67">
        <v>3.8301189999999999E-2</v>
      </c>
      <c r="R67">
        <v>-2.7300620000000001E-2</v>
      </c>
      <c r="S67">
        <v>6.5601809999999997E-2</v>
      </c>
      <c r="U67" s="15">
        <f t="shared" si="13"/>
        <v>-1.2333399999999994E-3</v>
      </c>
      <c r="V67" s="15">
        <f t="shared" si="14"/>
        <v>-4.0249099999999927E-3</v>
      </c>
      <c r="W67" s="15"/>
      <c r="X67" s="15"/>
      <c r="Y67" s="16">
        <f t="shared" si="15"/>
        <v>4.2314459999999998E-2</v>
      </c>
      <c r="Z67" s="16">
        <f t="shared" si="16"/>
        <v>3.8301189999999999E-2</v>
      </c>
      <c r="AA67" s="16">
        <f t="shared" si="17"/>
        <v>3.1939700000000001E-2</v>
      </c>
      <c r="AB67" s="16">
        <f t="shared" si="18"/>
        <v>-2.7300620000000001E-2</v>
      </c>
      <c r="AC67" s="17">
        <f t="shared" si="19"/>
        <v>3.2719040360403242</v>
      </c>
      <c r="AD67" s="17">
        <f t="shared" si="20"/>
        <v>2.4081329751195355</v>
      </c>
      <c r="AE67" s="17">
        <f t="shared" si="21"/>
        <v>42.150010488977976</v>
      </c>
      <c r="AF67" s="17">
        <f t="shared" si="22"/>
        <v>41.697643888977979</v>
      </c>
    </row>
    <row r="68" spans="1:32" x14ac:dyDescent="0.25">
      <c r="A68" s="14">
        <v>66</v>
      </c>
      <c r="B68" t="s">
        <v>60</v>
      </c>
      <c r="C68">
        <v>290</v>
      </c>
      <c r="D68">
        <v>6</v>
      </c>
      <c r="E68">
        <v>-0.44985831999999998</v>
      </c>
      <c r="F68">
        <v>-0.45259164000000002</v>
      </c>
      <c r="G68">
        <v>2.7332900000000002E-3</v>
      </c>
      <c r="H68">
        <v>0.59443330000000005</v>
      </c>
      <c r="I68">
        <v>0.59784999999999999</v>
      </c>
      <c r="J68">
        <v>-3.4167199999999998E-3</v>
      </c>
      <c r="K68">
        <v>24.39</v>
      </c>
      <c r="L68">
        <v>24.4</v>
      </c>
      <c r="M68">
        <v>-0.01</v>
      </c>
      <c r="N68">
        <v>4.7867840000000002E-2</v>
      </c>
      <c r="O68">
        <v>2.6986079999999999E-2</v>
      </c>
      <c r="P68">
        <v>2.0881750000000001E-2</v>
      </c>
      <c r="Q68">
        <v>3.7186280000000002E-2</v>
      </c>
      <c r="R68">
        <v>-2.56604E-2</v>
      </c>
      <c r="S68">
        <v>6.2846680000000002E-2</v>
      </c>
      <c r="U68" s="15">
        <f t="shared" si="13"/>
        <v>-1.3666600000000195E-3</v>
      </c>
      <c r="V68" s="15">
        <f t="shared" si="14"/>
        <v>-1.7083499999999696E-3</v>
      </c>
      <c r="W68" s="15"/>
      <c r="X68" s="15"/>
      <c r="Y68" s="16">
        <f t="shared" si="15"/>
        <v>4.7867840000000002E-2</v>
      </c>
      <c r="Z68" s="16">
        <f t="shared" si="16"/>
        <v>3.7186280000000002E-2</v>
      </c>
      <c r="AA68" s="16">
        <f t="shared" si="17"/>
        <v>2.6986079999999999E-2</v>
      </c>
      <c r="AB68" s="16">
        <f t="shared" si="18"/>
        <v>-2.56604E-2</v>
      </c>
      <c r="AC68" s="17">
        <f t="shared" si="19"/>
        <v>3.4751003375061744</v>
      </c>
      <c r="AD68" s="17">
        <f t="shared" si="20"/>
        <v>2.1341013531758799</v>
      </c>
      <c r="AE68" s="17">
        <f t="shared" si="21"/>
        <v>37.841958235572115</v>
      </c>
      <c r="AF68" s="17">
        <f t="shared" si="22"/>
        <v>37.389366595572113</v>
      </c>
    </row>
    <row r="69" spans="1:32" x14ac:dyDescent="0.25">
      <c r="A69" s="14">
        <v>67</v>
      </c>
      <c r="B69" t="s">
        <v>60</v>
      </c>
      <c r="C69">
        <v>300</v>
      </c>
      <c r="D69">
        <v>5</v>
      </c>
      <c r="E69">
        <v>-0.46323984000000001</v>
      </c>
      <c r="F69">
        <v>-0.45324991999999997</v>
      </c>
      <c r="G69">
        <v>-9.9899199999999994E-3</v>
      </c>
      <c r="H69">
        <v>0.58896000000000004</v>
      </c>
      <c r="I69">
        <v>0.59452000000000005</v>
      </c>
      <c r="J69">
        <v>-5.55998E-3</v>
      </c>
      <c r="K69">
        <v>24.49</v>
      </c>
      <c r="L69">
        <v>24.47</v>
      </c>
      <c r="M69">
        <v>0.02</v>
      </c>
      <c r="N69">
        <v>5.4080080000000003E-2</v>
      </c>
      <c r="O69">
        <v>2.0957030000000001E-2</v>
      </c>
      <c r="P69">
        <v>3.3123050000000001E-2</v>
      </c>
      <c r="Q69">
        <v>3.4123529999999999E-2</v>
      </c>
      <c r="R69">
        <v>-2.3187010000000001E-2</v>
      </c>
      <c r="S69">
        <v>5.731054E-2</v>
      </c>
      <c r="U69" s="15">
        <f t="shared" si="13"/>
        <v>4.9949600000000205E-3</v>
      </c>
      <c r="V69" s="15">
        <f t="shared" si="14"/>
        <v>-2.7800000000000047E-3</v>
      </c>
      <c r="W69" s="15"/>
      <c r="X69" s="15"/>
      <c r="Y69" s="16">
        <f t="shared" si="15"/>
        <v>5.4080080000000003E-2</v>
      </c>
      <c r="Z69" s="16">
        <f t="shared" si="16"/>
        <v>3.4123529999999999E-2</v>
      </c>
      <c r="AA69" s="16">
        <f t="shared" si="17"/>
        <v>2.0957030000000001E-2</v>
      </c>
      <c r="AB69" s="16">
        <f t="shared" si="18"/>
        <v>-2.3187010000000001E-2</v>
      </c>
      <c r="AC69" s="17">
        <f t="shared" si="19"/>
        <v>3.6663282508912083</v>
      </c>
      <c r="AD69" s="17">
        <f t="shared" si="20"/>
        <v>1.7910341509649645</v>
      </c>
      <c r="AE69" s="17">
        <f t="shared" si="21"/>
        <v>32.251167481609322</v>
      </c>
      <c r="AF69" s="17">
        <f t="shared" si="22"/>
        <v>31.797917561609321</v>
      </c>
    </row>
    <row r="70" spans="1:32" x14ac:dyDescent="0.25">
      <c r="A70" s="14">
        <v>68</v>
      </c>
      <c r="B70" t="s">
        <v>60</v>
      </c>
      <c r="C70">
        <v>310</v>
      </c>
      <c r="D70">
        <v>9</v>
      </c>
      <c r="E70">
        <v>-0.453011</v>
      </c>
      <c r="F70">
        <v>-0.44831100000000002</v>
      </c>
      <c r="G70">
        <v>-4.6999800000000003E-3</v>
      </c>
      <c r="H70">
        <v>0.59782219999999997</v>
      </c>
      <c r="I70">
        <v>0.60426659999999999</v>
      </c>
      <c r="J70">
        <v>-6.4443900000000004E-3</v>
      </c>
      <c r="K70">
        <v>24.48</v>
      </c>
      <c r="L70">
        <v>24.47</v>
      </c>
      <c r="M70">
        <v>0.01</v>
      </c>
      <c r="N70">
        <v>5.9112690000000002E-2</v>
      </c>
      <c r="O70">
        <v>1.7245280000000002E-2</v>
      </c>
      <c r="P70">
        <v>4.1867399999999999E-2</v>
      </c>
      <c r="Q70">
        <v>3.1481660000000002E-2</v>
      </c>
      <c r="R70">
        <v>-2.066759E-2</v>
      </c>
      <c r="S70">
        <v>5.2149250000000001E-2</v>
      </c>
      <c r="U70" s="15">
        <f t="shared" si="13"/>
        <v>2.349999999999991E-3</v>
      </c>
      <c r="V70" s="15">
        <f t="shared" si="14"/>
        <v>-3.2222000000000084E-3</v>
      </c>
      <c r="W70" s="15"/>
      <c r="X70" s="15"/>
      <c r="Y70" s="16">
        <f t="shared" si="15"/>
        <v>5.9112690000000002E-2</v>
      </c>
      <c r="Z70" s="16">
        <f t="shared" si="16"/>
        <v>3.1481660000000002E-2</v>
      </c>
      <c r="AA70" s="16">
        <f t="shared" si="17"/>
        <v>1.7245280000000002E-2</v>
      </c>
      <c r="AB70" s="16">
        <f t="shared" si="18"/>
        <v>-2.066759E-2</v>
      </c>
      <c r="AC70" s="17">
        <f t="shared" si="19"/>
        <v>3.8401542142495053</v>
      </c>
      <c r="AD70" s="17">
        <f t="shared" si="20"/>
        <v>1.5424424151809721</v>
      </c>
      <c r="AE70" s="17">
        <f t="shared" si="21"/>
        <v>28.038436887397427</v>
      </c>
      <c r="AF70" s="17">
        <f t="shared" si="22"/>
        <v>27.590125887397427</v>
      </c>
    </row>
    <row r="71" spans="1:32" x14ac:dyDescent="0.25">
      <c r="A71" s="14">
        <v>69</v>
      </c>
      <c r="B71" t="s">
        <v>60</v>
      </c>
      <c r="C71">
        <v>320</v>
      </c>
      <c r="D71">
        <v>6</v>
      </c>
      <c r="E71">
        <v>-0.45605824</v>
      </c>
      <c r="F71">
        <v>-0.4534166</v>
      </c>
      <c r="G71">
        <v>-2.64168E-3</v>
      </c>
      <c r="H71">
        <v>0.59594992000000002</v>
      </c>
      <c r="I71">
        <v>0.59712500000000002</v>
      </c>
      <c r="J71">
        <v>-1.17505E-3</v>
      </c>
      <c r="K71">
        <v>24.37</v>
      </c>
      <c r="L71">
        <v>24.37</v>
      </c>
      <c r="M71">
        <v>0</v>
      </c>
      <c r="N71">
        <v>6.2545580000000003E-2</v>
      </c>
      <c r="O71">
        <v>1.2341309999999999E-2</v>
      </c>
      <c r="P71">
        <v>5.0204270000000002E-2</v>
      </c>
      <c r="Q71">
        <v>2.716675E-2</v>
      </c>
      <c r="R71">
        <v>-1.5926920000000001E-2</v>
      </c>
      <c r="S71">
        <v>4.3093670000000001E-2</v>
      </c>
      <c r="U71" s="15">
        <f t="shared" si="13"/>
        <v>1.3208200000000003E-3</v>
      </c>
      <c r="V71" s="15">
        <f t="shared" si="14"/>
        <v>-5.8753999999999751E-4</v>
      </c>
      <c r="W71" s="15"/>
      <c r="X71" s="15"/>
      <c r="Y71" s="16">
        <f t="shared" si="15"/>
        <v>6.2545580000000003E-2</v>
      </c>
      <c r="Z71" s="16">
        <f t="shared" si="16"/>
        <v>2.716675E-2</v>
      </c>
      <c r="AA71" s="16">
        <f t="shared" si="17"/>
        <v>1.2341309999999999E-2</v>
      </c>
      <c r="AB71" s="16">
        <f t="shared" si="18"/>
        <v>-1.5926920000000001E-2</v>
      </c>
      <c r="AC71" s="17">
        <f t="shared" si="19"/>
        <v>3.9100779467711559</v>
      </c>
      <c r="AD71" s="17">
        <f t="shared" si="20"/>
        <v>1.1545201418454412</v>
      </c>
      <c r="AE71" s="17">
        <f t="shared" si="21"/>
        <v>23.477775964159655</v>
      </c>
      <c r="AF71" s="17">
        <f t="shared" si="22"/>
        <v>23.024359364159654</v>
      </c>
    </row>
    <row r="72" spans="1:32" x14ac:dyDescent="0.25">
      <c r="A72" s="14">
        <v>70</v>
      </c>
      <c r="B72" t="s">
        <v>60</v>
      </c>
      <c r="C72">
        <v>330</v>
      </c>
      <c r="D72">
        <v>3</v>
      </c>
      <c r="E72">
        <v>-0.45183316000000001</v>
      </c>
      <c r="F72">
        <v>-0.45659996000000003</v>
      </c>
      <c r="G72">
        <v>4.7667899999999999E-3</v>
      </c>
      <c r="H72">
        <v>0.59353332000000003</v>
      </c>
      <c r="I72">
        <v>0.60186667999999999</v>
      </c>
      <c r="J72">
        <v>-8.3333299999999999E-3</v>
      </c>
      <c r="K72">
        <v>24.41</v>
      </c>
      <c r="L72">
        <v>24.38</v>
      </c>
      <c r="M72">
        <v>0.03</v>
      </c>
      <c r="N72">
        <v>6.6236160000000002E-2</v>
      </c>
      <c r="O72">
        <v>8.9917E-3</v>
      </c>
      <c r="P72">
        <v>5.7244459999999997E-2</v>
      </c>
      <c r="Q72">
        <v>2.218262E-2</v>
      </c>
      <c r="R72">
        <v>-1.062744E-2</v>
      </c>
      <c r="S72">
        <v>3.2810060000000002E-2</v>
      </c>
      <c r="U72" s="15">
        <f t="shared" si="13"/>
        <v>-2.3834000000000077E-3</v>
      </c>
      <c r="V72" s="15">
        <f t="shared" si="14"/>
        <v>-4.1666799999999782E-3</v>
      </c>
      <c r="W72" s="15"/>
      <c r="X72" s="15"/>
      <c r="Y72" s="16">
        <f t="shared" si="15"/>
        <v>6.6236160000000002E-2</v>
      </c>
      <c r="Z72" s="16">
        <f t="shared" si="16"/>
        <v>2.218262E-2</v>
      </c>
      <c r="AA72" s="16">
        <f t="shared" si="17"/>
        <v>8.9917E-3</v>
      </c>
      <c r="AB72" s="16">
        <f t="shared" si="18"/>
        <v>-1.062744E-2</v>
      </c>
      <c r="AC72" s="17">
        <f t="shared" si="19"/>
        <v>4.0054848330753812</v>
      </c>
      <c r="AD72" s="17">
        <f t="shared" si="20"/>
        <v>0.79763806533195258</v>
      </c>
      <c r="AE72" s="17">
        <f t="shared" si="21"/>
        <v>18.515798991265157</v>
      </c>
      <c r="AF72" s="17">
        <f t="shared" si="22"/>
        <v>18.059199031265159</v>
      </c>
    </row>
    <row r="73" spans="1:32" x14ac:dyDescent="0.25">
      <c r="A73" s="14">
        <v>71</v>
      </c>
      <c r="B73" t="s">
        <v>60</v>
      </c>
      <c r="C73">
        <v>340</v>
      </c>
      <c r="D73">
        <v>8</v>
      </c>
      <c r="E73">
        <v>-0.45405615999999999</v>
      </c>
      <c r="F73">
        <v>-0.44436871999999999</v>
      </c>
      <c r="G73">
        <v>-9.6874500000000002E-3</v>
      </c>
      <c r="H73">
        <v>0.59684999999999999</v>
      </c>
      <c r="I73">
        <v>0.59668750000000004</v>
      </c>
      <c r="J73">
        <v>1.6248E-4</v>
      </c>
      <c r="K73">
        <v>24.42</v>
      </c>
      <c r="L73">
        <v>24.41</v>
      </c>
      <c r="M73">
        <v>0</v>
      </c>
      <c r="N73">
        <v>6.8451540000000005E-2</v>
      </c>
      <c r="O73">
        <v>6.0421800000000003E-3</v>
      </c>
      <c r="P73">
        <v>6.2409369999999999E-2</v>
      </c>
      <c r="Q73">
        <v>1.7301939999999998E-2</v>
      </c>
      <c r="R73">
        <v>-5.6640600000000003E-3</v>
      </c>
      <c r="S73">
        <v>2.2966E-2</v>
      </c>
      <c r="U73" s="15">
        <f t="shared" si="13"/>
        <v>4.8437199999999958E-3</v>
      </c>
      <c r="V73" s="15">
        <f t="shared" si="14"/>
        <v>8.1249999999977174E-5</v>
      </c>
      <c r="W73" s="15"/>
      <c r="X73" s="15"/>
      <c r="Y73" s="16">
        <f t="shared" si="15"/>
        <v>6.8451540000000005E-2</v>
      </c>
      <c r="Z73" s="16">
        <f t="shared" si="16"/>
        <v>1.7301939999999998E-2</v>
      </c>
      <c r="AA73" s="16">
        <f t="shared" si="17"/>
        <v>6.0421800000000003E-3</v>
      </c>
      <c r="AB73" s="16">
        <f t="shared" si="18"/>
        <v>-5.6640600000000003E-3</v>
      </c>
      <c r="AC73" s="17">
        <f t="shared" si="19"/>
        <v>4.0486982721680613</v>
      </c>
      <c r="AD73" s="17">
        <f t="shared" si="20"/>
        <v>0.47452212071434707</v>
      </c>
      <c r="AE73" s="17">
        <f t="shared" si="21"/>
        <v>14.185082050299616</v>
      </c>
      <c r="AF73" s="17">
        <f t="shared" si="22"/>
        <v>13.740713330299617</v>
      </c>
    </row>
    <row r="74" spans="1:32" x14ac:dyDescent="0.25">
      <c r="A74" s="14">
        <v>72</v>
      </c>
      <c r="B74" t="s">
        <v>60</v>
      </c>
      <c r="C74">
        <v>350</v>
      </c>
      <c r="D74">
        <v>7</v>
      </c>
      <c r="E74">
        <v>-0.44511420000000002</v>
      </c>
      <c r="F74">
        <v>-0.43844284</v>
      </c>
      <c r="G74">
        <v>-6.6713400000000004E-3</v>
      </c>
      <c r="H74">
        <v>0.59268569999999998</v>
      </c>
      <c r="I74">
        <v>0.59087140000000005</v>
      </c>
      <c r="J74">
        <v>1.81431E-3</v>
      </c>
      <c r="K74">
        <v>24.63</v>
      </c>
      <c r="L74">
        <v>24.63</v>
      </c>
      <c r="M74">
        <v>-0.01</v>
      </c>
      <c r="N74">
        <v>7.0034879999999994E-2</v>
      </c>
      <c r="O74">
        <v>5.7268400000000004E-3</v>
      </c>
      <c r="P74">
        <v>6.4308030000000002E-2</v>
      </c>
      <c r="Q74">
        <v>1.252441E-2</v>
      </c>
      <c r="R74">
        <v>-2.2394699999999999E-3</v>
      </c>
      <c r="S74">
        <v>1.476388E-2</v>
      </c>
      <c r="U74" s="15">
        <f t="shared" si="13"/>
        <v>3.3356800000000075E-3</v>
      </c>
      <c r="V74" s="15">
        <f t="shared" si="14"/>
        <v>9.071499999999677E-4</v>
      </c>
      <c r="W74" s="15"/>
      <c r="X74" s="15"/>
      <c r="Y74" s="16">
        <f t="shared" si="15"/>
        <v>7.0034879999999994E-2</v>
      </c>
      <c r="Z74" s="16">
        <f t="shared" si="16"/>
        <v>1.252441E-2</v>
      </c>
      <c r="AA74" s="16">
        <f t="shared" si="17"/>
        <v>5.7268400000000004E-3</v>
      </c>
      <c r="AB74" s="16">
        <f t="shared" si="18"/>
        <v>-2.2394699999999999E-3</v>
      </c>
      <c r="AC74" s="17">
        <f t="shared" si="19"/>
        <v>4.0798090610861699</v>
      </c>
      <c r="AD74" s="17">
        <f t="shared" si="20"/>
        <v>0.35232198778336571</v>
      </c>
      <c r="AE74" s="17">
        <f t="shared" si="21"/>
        <v>10.139085647145947</v>
      </c>
      <c r="AF74" s="17">
        <f t="shared" si="22"/>
        <v>9.7006428071459467</v>
      </c>
    </row>
    <row r="77" spans="1:32" x14ac:dyDescent="0.25">
      <c r="A77">
        <v>1</v>
      </c>
      <c r="C77" s="14">
        <v>0</v>
      </c>
      <c r="K77">
        <f>(K3+K39)/2</f>
        <v>24.41</v>
      </c>
      <c r="L77">
        <f>(L3+L39)/2</f>
        <v>24.41</v>
      </c>
      <c r="M77">
        <f>K77-L77</f>
        <v>0</v>
      </c>
      <c r="U77">
        <f>(U3+U39)/2</f>
        <v>2.6926649999999969E-3</v>
      </c>
      <c r="V77">
        <f>(V3+V39)/2</f>
        <v>-1.6474999999999962E-3</v>
      </c>
      <c r="AC77">
        <f>(AC3+AC39)/2</f>
        <v>4.0642308715283271</v>
      </c>
      <c r="AD77">
        <f>(AD3+AD39)/2</f>
        <v>0.37895657245520104</v>
      </c>
    </row>
    <row r="78" spans="1:32" x14ac:dyDescent="0.25">
      <c r="A78">
        <v>2</v>
      </c>
      <c r="C78" s="14">
        <v>10</v>
      </c>
      <c r="K78">
        <f t="shared" ref="K78:L78" si="23">(K4+K40)/2</f>
        <v>24.354999999999997</v>
      </c>
      <c r="L78">
        <f t="shared" si="23"/>
        <v>24.365000000000002</v>
      </c>
      <c r="M78">
        <f t="shared" ref="M78:M112" si="24">K78-L78</f>
        <v>-1.0000000000005116E-2</v>
      </c>
      <c r="U78">
        <f t="shared" ref="U78:V78" si="25">(U4+U40)/2</f>
        <v>2.6506249999999898E-3</v>
      </c>
      <c r="V78">
        <f t="shared" si="25"/>
        <v>-1.3080649999999971E-3</v>
      </c>
      <c r="AC78">
        <f t="shared" ref="AC78:AD78" si="26">(AC4+AC40)/2</f>
        <v>4.0017352555056611</v>
      </c>
      <c r="AD78">
        <f t="shared" si="26"/>
        <v>0.72309041299424626</v>
      </c>
    </row>
    <row r="79" spans="1:32" x14ac:dyDescent="0.25">
      <c r="A79">
        <v>3</v>
      </c>
      <c r="C79" s="14">
        <v>20</v>
      </c>
      <c r="K79">
        <f t="shared" ref="K79:L79" si="27">(K5+K41)/2</f>
        <v>24.454999999999998</v>
      </c>
      <c r="L79">
        <f t="shared" si="27"/>
        <v>24.445</v>
      </c>
      <c r="M79">
        <f t="shared" si="24"/>
        <v>9.9999999999980105E-3</v>
      </c>
      <c r="U79">
        <f t="shared" ref="U79:V79" si="28">(U5+U41)/2</f>
        <v>3.2940449999999954E-3</v>
      </c>
      <c r="V79">
        <f t="shared" si="28"/>
        <v>-1.6631750000000167E-3</v>
      </c>
      <c r="AC79">
        <f t="shared" ref="AC79:AD79" si="29">(AC5+AC41)/2</f>
        <v>3.9637287052384127</v>
      </c>
      <c r="AD79">
        <f t="shared" si="29"/>
        <v>0.9997319784788079</v>
      </c>
    </row>
    <row r="80" spans="1:32" x14ac:dyDescent="0.25">
      <c r="A80">
        <v>4</v>
      </c>
      <c r="C80" s="14">
        <v>30</v>
      </c>
      <c r="K80">
        <f t="shared" ref="K80:L80" si="30">(K6+K42)/2</f>
        <v>24.44</v>
      </c>
      <c r="L80">
        <f t="shared" si="30"/>
        <v>24.435000000000002</v>
      </c>
      <c r="M80">
        <f t="shared" si="24"/>
        <v>4.9999999999990052E-3</v>
      </c>
      <c r="U80">
        <f t="shared" ref="U80:V80" si="31">(U6+U42)/2</f>
        <v>1.3718800000000059E-3</v>
      </c>
      <c r="V80">
        <f t="shared" si="31"/>
        <v>-2.0316499999997739E-4</v>
      </c>
      <c r="AC80">
        <f t="shared" ref="AC80:AD80" si="32">(AC6+AC42)/2</f>
        <v>3.8734628579441157</v>
      </c>
      <c r="AD80">
        <f t="shared" si="32"/>
        <v>1.3225025811487607</v>
      </c>
    </row>
    <row r="81" spans="1:30" x14ac:dyDescent="0.25">
      <c r="A81">
        <v>5</v>
      </c>
      <c r="C81" s="14">
        <v>40</v>
      </c>
      <c r="K81">
        <f t="shared" ref="K81:L81" si="33">(K7+K43)/2</f>
        <v>24.535</v>
      </c>
      <c r="L81">
        <f t="shared" si="33"/>
        <v>24.52</v>
      </c>
      <c r="M81">
        <f t="shared" si="24"/>
        <v>1.5000000000000568E-2</v>
      </c>
      <c r="U81">
        <f t="shared" ref="U81:V81" si="34">(U7+U43)/2</f>
        <v>2.1076200000000184E-3</v>
      </c>
      <c r="V81">
        <f t="shared" si="34"/>
        <v>1.1343750000000208E-3</v>
      </c>
      <c r="AC81">
        <f t="shared" ref="AC81:AD81" si="35">(AC7+AC43)/2</f>
        <v>3.7280721438914242</v>
      </c>
      <c r="AD81">
        <f t="shared" si="35"/>
        <v>1.6352840956489572</v>
      </c>
    </row>
    <row r="82" spans="1:30" x14ac:dyDescent="0.25">
      <c r="A82">
        <v>6</v>
      </c>
      <c r="C82" s="14">
        <v>50</v>
      </c>
      <c r="K82">
        <f t="shared" ref="K82:L82" si="36">(K8+K44)/2</f>
        <v>24.4</v>
      </c>
      <c r="L82">
        <f t="shared" si="36"/>
        <v>24.395</v>
      </c>
      <c r="M82">
        <f t="shared" si="24"/>
        <v>4.9999999999990052E-3</v>
      </c>
      <c r="U82">
        <f t="shared" ref="U82:V82" si="37">(U8+U44)/2</f>
        <v>3.8916250000000097E-3</v>
      </c>
      <c r="V82">
        <f t="shared" si="37"/>
        <v>2.09098000000002E-3</v>
      </c>
      <c r="AC82">
        <f t="shared" ref="AC82:AD82" si="38">(AC8+AC44)/2</f>
        <v>3.5481937859376207</v>
      </c>
      <c r="AD82">
        <f t="shared" si="38"/>
        <v>1.9773177042365846</v>
      </c>
    </row>
    <row r="83" spans="1:30" x14ac:dyDescent="0.25">
      <c r="A83">
        <v>7</v>
      </c>
      <c r="C83" s="14">
        <v>60</v>
      </c>
      <c r="K83">
        <f t="shared" ref="K83:L83" si="39">(K9+K45)/2</f>
        <v>24.380000000000003</v>
      </c>
      <c r="L83">
        <f t="shared" si="39"/>
        <v>24.369999999999997</v>
      </c>
      <c r="M83">
        <f t="shared" si="24"/>
        <v>1.0000000000005116E-2</v>
      </c>
      <c r="U83">
        <f t="shared" ref="U83:V83" si="40">(U9+U45)/2</f>
        <v>5.1361149999999828E-3</v>
      </c>
      <c r="V83">
        <f t="shared" si="40"/>
        <v>1.5138749999999701E-3</v>
      </c>
      <c r="AC83">
        <f t="shared" ref="AC83:AD83" si="41">(AC9+AC45)/2</f>
        <v>3.3730110493243997</v>
      </c>
      <c r="AD83">
        <f t="shared" si="41"/>
        <v>2.3126112738085469</v>
      </c>
    </row>
    <row r="84" spans="1:30" x14ac:dyDescent="0.25">
      <c r="A84">
        <v>8</v>
      </c>
      <c r="C84" s="14">
        <v>70</v>
      </c>
      <c r="K84">
        <f t="shared" ref="K84:L84" si="42">(K10+K46)/2</f>
        <v>24.255000000000003</v>
      </c>
      <c r="L84">
        <f t="shared" si="42"/>
        <v>24.25</v>
      </c>
      <c r="M84">
        <f t="shared" si="24"/>
        <v>5.000000000002558E-3</v>
      </c>
      <c r="U84">
        <f t="shared" ref="U84:V84" si="43">(U10+U46)/2</f>
        <v>1.821650000000119E-4</v>
      </c>
      <c r="V84">
        <f t="shared" si="43"/>
        <v>2.8678599999999721E-3</v>
      </c>
      <c r="AC84">
        <f t="shared" ref="AC84:AD84" si="44">(AC10+AC46)/2</f>
        <v>3.1746160009665196</v>
      </c>
      <c r="AD84">
        <f t="shared" si="44"/>
        <v>2.5606296506843833</v>
      </c>
    </row>
    <row r="85" spans="1:30" x14ac:dyDescent="0.25">
      <c r="A85">
        <v>9</v>
      </c>
      <c r="C85" s="14">
        <v>80</v>
      </c>
      <c r="K85">
        <f t="shared" ref="K85:L85" si="45">(K11+K47)/2</f>
        <v>24.34</v>
      </c>
      <c r="L85">
        <f t="shared" si="45"/>
        <v>24.33</v>
      </c>
      <c r="M85">
        <f t="shared" si="24"/>
        <v>1.0000000000001563E-2</v>
      </c>
      <c r="U85">
        <f t="shared" ref="U85:V85" si="46">(U11+U47)/2</f>
        <v>9.4166000000001082E-4</v>
      </c>
      <c r="V85">
        <f t="shared" si="46"/>
        <v>4.6374399999999927E-3</v>
      </c>
      <c r="AC85">
        <f t="shared" ref="AC85:AD85" si="47">(AC11+AC47)/2</f>
        <v>2.9412299174695677</v>
      </c>
      <c r="AD85">
        <f t="shared" si="47"/>
        <v>2.8367598118887556</v>
      </c>
    </row>
    <row r="86" spans="1:30" x14ac:dyDescent="0.25">
      <c r="A86">
        <v>10</v>
      </c>
      <c r="C86" s="14">
        <v>90</v>
      </c>
      <c r="K86">
        <f t="shared" ref="K86:L86" si="48">(K12+K48)/2</f>
        <v>24.274999999999999</v>
      </c>
      <c r="L86">
        <f t="shared" si="48"/>
        <v>24.254999999999999</v>
      </c>
      <c r="M86">
        <f t="shared" si="24"/>
        <v>1.9999999999999574E-2</v>
      </c>
      <c r="U86">
        <f t="shared" ref="U86:V86" si="49">(U12+U48)/2</f>
        <v>-3.7397000000000125E-4</v>
      </c>
      <c r="V86">
        <f t="shared" si="49"/>
        <v>2.0979250000000005E-3</v>
      </c>
      <c r="AC86">
        <f t="shared" ref="AC86:AD86" si="50">(AC12+AC48)/2</f>
        <v>2.6624219219895933</v>
      </c>
      <c r="AD86">
        <f t="shared" si="50"/>
        <v>3.1067299689018206</v>
      </c>
    </row>
    <row r="87" spans="1:30" x14ac:dyDescent="0.25">
      <c r="A87">
        <v>11</v>
      </c>
      <c r="C87" s="14">
        <v>100</v>
      </c>
      <c r="K87">
        <f t="shared" ref="K87:L87" si="51">(K13+K49)/2</f>
        <v>24.414999999999999</v>
      </c>
      <c r="L87">
        <f t="shared" si="51"/>
        <v>24.395000000000003</v>
      </c>
      <c r="M87">
        <f t="shared" si="24"/>
        <v>1.9999999999996021E-2</v>
      </c>
      <c r="U87">
        <f t="shared" ref="U87:V87" si="52">(U13+U49)/2</f>
        <v>-1.4562450000000088E-3</v>
      </c>
      <c r="V87">
        <f t="shared" si="52"/>
        <v>1.3031299999999579E-3</v>
      </c>
      <c r="AC87">
        <f t="shared" ref="AC87:AD87" si="53">(AC13+AC49)/2</f>
        <v>2.376850275581003</v>
      </c>
      <c r="AD87">
        <f t="shared" si="53"/>
        <v>3.3138796697996526</v>
      </c>
    </row>
    <row r="88" spans="1:30" x14ac:dyDescent="0.25">
      <c r="A88">
        <v>12</v>
      </c>
      <c r="C88" s="14">
        <v>110</v>
      </c>
      <c r="K88">
        <f t="shared" ref="K88:L88" si="54">(K14+K50)/2</f>
        <v>24.365000000000002</v>
      </c>
      <c r="L88">
        <f t="shared" si="54"/>
        <v>24.36</v>
      </c>
      <c r="M88">
        <f t="shared" si="24"/>
        <v>5.000000000002558E-3</v>
      </c>
      <c r="U88">
        <f t="shared" ref="U88:V88" si="55">(U14+U50)/2</f>
        <v>-1.5672099999999994E-3</v>
      </c>
      <c r="V88">
        <f t="shared" si="55"/>
        <v>2.8756400000000126E-3</v>
      </c>
      <c r="AC88">
        <f t="shared" ref="AC88:AD88" si="56">(AC14+AC50)/2</f>
        <v>2.1091404791579085</v>
      </c>
      <c r="AD88">
        <f t="shared" si="56"/>
        <v>3.5117745088835246</v>
      </c>
    </row>
    <row r="89" spans="1:30" x14ac:dyDescent="0.25">
      <c r="A89">
        <v>13</v>
      </c>
      <c r="C89" s="14">
        <v>120</v>
      </c>
      <c r="K89">
        <f t="shared" ref="K89:L89" si="57">(K15+K51)/2</f>
        <v>24.454999999999998</v>
      </c>
      <c r="L89">
        <f t="shared" si="57"/>
        <v>24.46</v>
      </c>
      <c r="M89">
        <f t="shared" si="24"/>
        <v>-5.000000000002558E-3</v>
      </c>
      <c r="U89">
        <f t="shared" ref="U89:V89" si="58">(U15+U51)/2</f>
        <v>7.8139999999990439E-5</v>
      </c>
      <c r="V89">
        <f t="shared" si="58"/>
        <v>3.9170050000000012E-3</v>
      </c>
      <c r="AC89">
        <f t="shared" ref="AC89:AD89" si="59">(AC15+AC51)/2</f>
        <v>1.775645270142105</v>
      </c>
      <c r="AD89">
        <f t="shared" si="59"/>
        <v>3.6849281658084783</v>
      </c>
    </row>
    <row r="90" spans="1:30" x14ac:dyDescent="0.25">
      <c r="A90">
        <v>14</v>
      </c>
      <c r="C90" s="14">
        <v>130</v>
      </c>
      <c r="K90">
        <f t="shared" ref="K90:L90" si="60">(K16+K52)/2</f>
        <v>24.67</v>
      </c>
      <c r="L90">
        <f t="shared" si="60"/>
        <v>24.67</v>
      </c>
      <c r="M90">
        <f t="shared" si="24"/>
        <v>0</v>
      </c>
      <c r="U90">
        <f t="shared" ref="U90:V90" si="61">(U16+U52)/2</f>
        <v>-2.9360749999999963E-3</v>
      </c>
      <c r="V90">
        <f t="shared" si="61"/>
        <v>3.9305249999999903E-3</v>
      </c>
      <c r="AC90">
        <f t="shared" ref="AC90:AD90" si="62">(AC16+AC52)/2</f>
        <v>1.4749317136238909</v>
      </c>
      <c r="AD90">
        <f t="shared" si="62"/>
        <v>3.7852271684886944</v>
      </c>
    </row>
    <row r="91" spans="1:30" x14ac:dyDescent="0.25">
      <c r="A91">
        <v>15</v>
      </c>
      <c r="C91" s="14">
        <v>140</v>
      </c>
      <c r="K91">
        <f t="shared" ref="K91:L91" si="63">(K17+K53)/2</f>
        <v>24.55</v>
      </c>
      <c r="L91">
        <f t="shared" si="63"/>
        <v>24.545000000000002</v>
      </c>
      <c r="M91">
        <f t="shared" si="24"/>
        <v>4.9999999999990052E-3</v>
      </c>
      <c r="U91">
        <f t="shared" ref="U91:V91" si="64">(U17+U53)/2</f>
        <v>1.9475000000004905E-5</v>
      </c>
      <c r="V91">
        <f t="shared" si="64"/>
        <v>2.0023499999999861E-3</v>
      </c>
      <c r="AC91">
        <f t="shared" ref="AC91:AD91" si="65">(AC17+AC53)/2</f>
        <v>1.1654927115091041</v>
      </c>
      <c r="AD91">
        <f t="shared" si="65"/>
        <v>3.8960975030824505</v>
      </c>
    </row>
    <row r="92" spans="1:30" x14ac:dyDescent="0.25">
      <c r="A92">
        <v>16</v>
      </c>
      <c r="C92" s="14">
        <v>150</v>
      </c>
      <c r="K92">
        <f t="shared" ref="K92:L92" si="66">(K18+K54)/2</f>
        <v>24.515000000000001</v>
      </c>
      <c r="L92">
        <f t="shared" si="66"/>
        <v>24.52</v>
      </c>
      <c r="M92">
        <f t="shared" si="24"/>
        <v>-4.9999999999990052E-3</v>
      </c>
      <c r="U92">
        <f t="shared" ref="U92:V92" si="67">(U18+U54)/2</f>
        <v>-8.7815999999998895E-4</v>
      </c>
      <c r="V92">
        <f t="shared" si="67"/>
        <v>2.9729350000000099E-3</v>
      </c>
      <c r="AC92">
        <f t="shared" ref="AC92:AD92" si="68">(AC18+AC54)/2</f>
        <v>0.78473267497817956</v>
      </c>
      <c r="AD92">
        <f t="shared" si="68"/>
        <v>3.9825607967827787</v>
      </c>
    </row>
    <row r="93" spans="1:30" x14ac:dyDescent="0.25">
      <c r="A93">
        <v>17</v>
      </c>
      <c r="C93" s="14">
        <v>160</v>
      </c>
      <c r="K93">
        <f t="shared" ref="K93:L93" si="69">(K19+K55)/2</f>
        <v>24.29</v>
      </c>
      <c r="L93">
        <f t="shared" si="69"/>
        <v>24.29</v>
      </c>
      <c r="M93">
        <f t="shared" si="24"/>
        <v>0</v>
      </c>
      <c r="U93">
        <f t="shared" ref="U93:V93" si="70">(U19+U55)/2</f>
        <v>-2.7705999999999564E-4</v>
      </c>
      <c r="V93">
        <f t="shared" si="70"/>
        <v>1.5125E-3</v>
      </c>
      <c r="AC93">
        <f t="shared" ref="AC93:AD93" si="71">(AC19+AC55)/2</f>
        <v>0.45917275998170737</v>
      </c>
      <c r="AD93">
        <f t="shared" si="71"/>
        <v>4.0757016644554254</v>
      </c>
    </row>
    <row r="94" spans="1:30" x14ac:dyDescent="0.25">
      <c r="A94">
        <v>18</v>
      </c>
      <c r="C94" s="14">
        <v>170</v>
      </c>
      <c r="K94">
        <f t="shared" ref="K94:L94" si="72">(K20+K56)/2</f>
        <v>24.41</v>
      </c>
      <c r="L94">
        <f t="shared" si="72"/>
        <v>24.41</v>
      </c>
      <c r="M94">
        <f t="shared" si="24"/>
        <v>0</v>
      </c>
      <c r="U94">
        <f t="shared" ref="U94:V94" si="73">(U20+U56)/2</f>
        <v>-3.2517849999999932E-3</v>
      </c>
      <c r="V94">
        <f t="shared" si="73"/>
        <v>1.0214249999999925E-3</v>
      </c>
      <c r="AC94">
        <f t="shared" ref="AC94:AD94" si="74">(AC20+AC56)/2</f>
        <v>0.27595003557493158</v>
      </c>
      <c r="AD94">
        <f t="shared" si="74"/>
        <v>4.0824731211486043</v>
      </c>
    </row>
    <row r="95" spans="1:30" x14ac:dyDescent="0.25">
      <c r="A95">
        <v>19</v>
      </c>
      <c r="C95" s="14">
        <v>180</v>
      </c>
      <c r="K95">
        <f t="shared" ref="K95:L95" si="75">(K21+K57)/2</f>
        <v>24.424999999999997</v>
      </c>
      <c r="L95">
        <f t="shared" si="75"/>
        <v>24.445</v>
      </c>
      <c r="M95">
        <f t="shared" si="24"/>
        <v>-2.0000000000003126E-2</v>
      </c>
      <c r="U95">
        <f t="shared" ref="U95:V95" si="76">(U21+U57)/2</f>
        <v>-3.0153299999999966E-3</v>
      </c>
      <c r="V95">
        <f t="shared" si="76"/>
        <v>-2.2103049999999957E-3</v>
      </c>
      <c r="AC95">
        <f t="shared" ref="AC95:AD95" si="77">(AC21+AC57)/2</f>
        <v>0.378344348260718</v>
      </c>
      <c r="AD95">
        <f t="shared" si="77"/>
        <v>4.071309399715167</v>
      </c>
    </row>
    <row r="96" spans="1:30" x14ac:dyDescent="0.25">
      <c r="A96">
        <v>20</v>
      </c>
      <c r="C96" s="14">
        <v>190</v>
      </c>
      <c r="K96">
        <f t="shared" ref="K96:L96" si="78">(K22+K58)/2</f>
        <v>24.42</v>
      </c>
      <c r="L96">
        <f t="shared" si="78"/>
        <v>24.405000000000001</v>
      </c>
      <c r="M96">
        <f t="shared" si="24"/>
        <v>1.5000000000000568E-2</v>
      </c>
      <c r="U96">
        <f t="shared" ref="U96:V96" si="79">(U22+U58)/2</f>
        <v>-2.7714400000000139E-3</v>
      </c>
      <c r="V96">
        <f t="shared" si="79"/>
        <v>3.5267499999999674E-4</v>
      </c>
      <c r="AC96">
        <f t="shared" ref="AC96:AD96" si="80">(AC22+AC58)/2</f>
        <v>0.6762458280648509</v>
      </c>
      <c r="AD96">
        <f t="shared" si="80"/>
        <v>4.0311620683891194</v>
      </c>
    </row>
    <row r="97" spans="1:30" x14ac:dyDescent="0.25">
      <c r="A97">
        <v>21</v>
      </c>
      <c r="C97" s="14">
        <v>200</v>
      </c>
      <c r="K97">
        <f t="shared" ref="K97:L97" si="81">(K23+K59)/2</f>
        <v>24.535</v>
      </c>
      <c r="L97">
        <f t="shared" si="81"/>
        <v>24.54</v>
      </c>
      <c r="M97">
        <f t="shared" si="24"/>
        <v>-4.9999999999990052E-3</v>
      </c>
      <c r="U97">
        <f t="shared" ref="U97:V97" si="82">(U23+U59)/2</f>
        <v>-2.7374849999999978E-3</v>
      </c>
      <c r="V97">
        <f t="shared" si="82"/>
        <v>-1.0518149999999837E-3</v>
      </c>
      <c r="AC97">
        <f t="shared" ref="AC97:AD97" si="83">(AC23+AC59)/2</f>
        <v>0.95219810417153128</v>
      </c>
      <c r="AD97">
        <f t="shared" si="83"/>
        <v>3.96426195242613</v>
      </c>
    </row>
    <row r="98" spans="1:30" x14ac:dyDescent="0.25">
      <c r="A98">
        <v>22</v>
      </c>
      <c r="C98" s="14">
        <v>210</v>
      </c>
      <c r="K98">
        <f t="shared" ref="K98:L98" si="84">(K24+K60)/2</f>
        <v>24.325000000000003</v>
      </c>
      <c r="L98">
        <f t="shared" si="84"/>
        <v>24.325000000000003</v>
      </c>
      <c r="M98">
        <f t="shared" si="24"/>
        <v>0</v>
      </c>
      <c r="U98">
        <f t="shared" ref="U98:V98" si="85">(U24+U60)/2</f>
        <v>-1.9724450000000032E-3</v>
      </c>
      <c r="V98">
        <f t="shared" si="85"/>
        <v>-1.96685000000002E-3</v>
      </c>
      <c r="AC98">
        <f t="shared" ref="AC98:AD98" si="86">(AC24+AC60)/2</f>
        <v>1.3589783183808579</v>
      </c>
      <c r="AD98">
        <f t="shared" si="86"/>
        <v>3.8567675334121851</v>
      </c>
    </row>
    <row r="99" spans="1:30" x14ac:dyDescent="0.25">
      <c r="A99">
        <v>23</v>
      </c>
      <c r="C99" s="14">
        <v>220</v>
      </c>
      <c r="K99">
        <f t="shared" ref="K99:L99" si="87">(K25+K61)/2</f>
        <v>24.52</v>
      </c>
      <c r="L99">
        <f t="shared" si="87"/>
        <v>24.524999999999999</v>
      </c>
      <c r="M99">
        <f t="shared" si="24"/>
        <v>-4.9999999999990052E-3</v>
      </c>
      <c r="U99">
        <f t="shared" ref="U99:V99" si="88">(U25+U61)/2</f>
        <v>-4.6875199999999867E-3</v>
      </c>
      <c r="V99">
        <f t="shared" si="88"/>
        <v>-2.7156249999999715E-3</v>
      </c>
      <c r="AC99">
        <f t="shared" ref="AC99:AD99" si="89">(AC25+AC61)/2</f>
        <v>1.6516691493294386</v>
      </c>
      <c r="AD99">
        <f t="shared" si="89"/>
        <v>3.7639982608024054</v>
      </c>
    </row>
    <row r="100" spans="1:30" x14ac:dyDescent="0.25">
      <c r="A100">
        <v>24</v>
      </c>
      <c r="C100" s="14">
        <v>230</v>
      </c>
      <c r="K100">
        <f t="shared" ref="K100:L100" si="90">(K26+K62)/2</f>
        <v>24.355</v>
      </c>
      <c r="L100">
        <f t="shared" si="90"/>
        <v>24.365000000000002</v>
      </c>
      <c r="M100">
        <f t="shared" si="24"/>
        <v>-1.0000000000001563E-2</v>
      </c>
      <c r="U100">
        <f t="shared" ref="U100:V100" si="91">(U26+U62)/2</f>
        <v>-2.9696149999999949E-3</v>
      </c>
      <c r="V100">
        <f t="shared" si="91"/>
        <v>-3.3187149999999721E-3</v>
      </c>
      <c r="AC100">
        <f t="shared" ref="AC100:AD100" si="92">(AC26+AC62)/2</f>
        <v>1.995336859652364</v>
      </c>
      <c r="AD100">
        <f t="shared" si="92"/>
        <v>3.5802183811214014</v>
      </c>
    </row>
    <row r="101" spans="1:30" x14ac:dyDescent="0.25">
      <c r="A101">
        <v>25</v>
      </c>
      <c r="C101" s="14">
        <v>240</v>
      </c>
      <c r="K101">
        <f t="shared" ref="K101:L101" si="93">(K27+K63)/2</f>
        <v>24.35</v>
      </c>
      <c r="L101">
        <f t="shared" si="93"/>
        <v>24.355</v>
      </c>
      <c r="M101">
        <f t="shared" si="24"/>
        <v>-4.9999999999990052E-3</v>
      </c>
      <c r="U101">
        <f t="shared" ref="U101:V101" si="94">(U27+U63)/2</f>
        <v>-2.6374850000000089E-3</v>
      </c>
      <c r="V101">
        <f t="shared" si="94"/>
        <v>-2.1910850000000093E-3</v>
      </c>
      <c r="AC101">
        <f t="shared" ref="AC101:AD101" si="95">(AC27+AC63)/2</f>
        <v>2.2941067038819307</v>
      </c>
      <c r="AD101">
        <f t="shared" si="95"/>
        <v>3.37246766797933</v>
      </c>
    </row>
    <row r="102" spans="1:30" x14ac:dyDescent="0.25">
      <c r="A102">
        <v>26</v>
      </c>
      <c r="C102" s="14">
        <v>250</v>
      </c>
      <c r="K102">
        <f t="shared" ref="K102:L102" si="96">(K28+K64)/2</f>
        <v>24.52</v>
      </c>
      <c r="L102">
        <f t="shared" si="96"/>
        <v>24.52</v>
      </c>
      <c r="M102">
        <f t="shared" si="24"/>
        <v>0</v>
      </c>
      <c r="U102">
        <f t="shared" ref="U102:V102" si="97">(U28+U64)/2</f>
        <v>2.2843449999999932E-3</v>
      </c>
      <c r="V102">
        <f t="shared" si="97"/>
        <v>-2.9468700000000181E-3</v>
      </c>
      <c r="AC102">
        <f t="shared" ref="AC102:AD102" si="98">(AC28+AC64)/2</f>
        <v>2.5796198070370875</v>
      </c>
      <c r="AD102">
        <f t="shared" si="98"/>
        <v>3.153525470589722</v>
      </c>
    </row>
    <row r="103" spans="1:30" x14ac:dyDescent="0.25">
      <c r="A103">
        <v>27</v>
      </c>
      <c r="C103" s="14">
        <v>260</v>
      </c>
      <c r="K103">
        <f t="shared" ref="K103:L103" si="99">(K29+K65)/2</f>
        <v>24.43</v>
      </c>
      <c r="L103">
        <f t="shared" si="99"/>
        <v>24.43</v>
      </c>
      <c r="M103">
        <f t="shared" si="24"/>
        <v>0</v>
      </c>
      <c r="U103">
        <f t="shared" ref="U103:V103" si="100">(U29+U65)/2</f>
        <v>4.0486000000000688E-4</v>
      </c>
      <c r="V103">
        <f t="shared" si="100"/>
        <v>-1.2854250000000067E-3</v>
      </c>
      <c r="AC103">
        <f t="shared" ref="AC103:AD103" si="101">(AC29+AC65)/2</f>
        <v>2.8412948083507059</v>
      </c>
      <c r="AD103">
        <f t="shared" si="101"/>
        <v>2.9437491497475401</v>
      </c>
    </row>
    <row r="104" spans="1:30" x14ac:dyDescent="0.25">
      <c r="A104">
        <v>28</v>
      </c>
      <c r="C104" s="14">
        <v>270</v>
      </c>
      <c r="K104">
        <f t="shared" ref="K104:L104" si="102">(K30+K66)/2</f>
        <v>24.454999999999998</v>
      </c>
      <c r="L104">
        <f t="shared" si="102"/>
        <v>24.454999999999998</v>
      </c>
      <c r="M104">
        <f t="shared" si="24"/>
        <v>0</v>
      </c>
      <c r="U104">
        <f t="shared" ref="U104:V104" si="103">(U30+U66)/2</f>
        <v>-6.7321000000000741E-4</v>
      </c>
      <c r="V104">
        <f t="shared" si="103"/>
        <v>-1.8524950000000096E-3</v>
      </c>
      <c r="AC104">
        <f t="shared" ref="AC104:AD104" si="104">(AC30+AC66)/2</f>
        <v>3.0695360440831623</v>
      </c>
      <c r="AD104">
        <f t="shared" si="104"/>
        <v>2.6858703669555593</v>
      </c>
    </row>
    <row r="105" spans="1:30" x14ac:dyDescent="0.25">
      <c r="A105">
        <v>29</v>
      </c>
      <c r="C105" s="14">
        <v>280</v>
      </c>
      <c r="K105">
        <f t="shared" ref="K105:L105" si="105">(K31+K67)/2</f>
        <v>24.564999999999998</v>
      </c>
      <c r="L105">
        <f t="shared" si="105"/>
        <v>24.565000000000001</v>
      </c>
      <c r="M105">
        <f t="shared" si="24"/>
        <v>0</v>
      </c>
      <c r="U105">
        <f t="shared" ref="U105:V105" si="106">(U31+U67)/2</f>
        <v>1.3864300000000079E-3</v>
      </c>
      <c r="V105">
        <f t="shared" si="106"/>
        <v>-2.996814999999986E-3</v>
      </c>
      <c r="AC105">
        <f t="shared" ref="AC105:AD105" si="107">(AC31+AC67)/2</f>
        <v>3.2704314006291471</v>
      </c>
      <c r="AD105">
        <f t="shared" si="107"/>
        <v>2.4165569288187685</v>
      </c>
    </row>
    <row r="106" spans="1:30" x14ac:dyDescent="0.25">
      <c r="A106">
        <v>30</v>
      </c>
      <c r="C106" s="14">
        <v>290</v>
      </c>
      <c r="K106">
        <f t="shared" ref="K106:L106" si="108">(K32+K68)/2</f>
        <v>24.439999999999998</v>
      </c>
      <c r="L106">
        <f t="shared" si="108"/>
        <v>24.445</v>
      </c>
      <c r="M106">
        <f t="shared" si="24"/>
        <v>-5.000000000002558E-3</v>
      </c>
      <c r="U106">
        <f t="shared" ref="U106:V106" si="109">(U32+U68)/2</f>
        <v>-7.0833000000000701E-4</v>
      </c>
      <c r="V106">
        <f t="shared" si="109"/>
        <v>-2.2939399999999943E-3</v>
      </c>
      <c r="AC106">
        <f t="shared" ref="AC106:AD106" si="110">(AC32+AC68)/2</f>
        <v>3.4644177351217924</v>
      </c>
      <c r="AD106">
        <f t="shared" si="110"/>
        <v>2.1582533790791452</v>
      </c>
    </row>
    <row r="107" spans="1:30" x14ac:dyDescent="0.25">
      <c r="A107">
        <v>31</v>
      </c>
      <c r="C107" s="14">
        <v>300</v>
      </c>
      <c r="K107">
        <f t="shared" ref="K107:L107" si="111">(K33+K69)/2</f>
        <v>24.494999999999997</v>
      </c>
      <c r="L107">
        <f t="shared" si="111"/>
        <v>24.484999999999999</v>
      </c>
      <c r="M107">
        <f t="shared" si="24"/>
        <v>9.9999999999980105E-3</v>
      </c>
      <c r="U107">
        <f t="shared" ref="U107:V107" si="112">(U33+U69)/2</f>
        <v>1.9758900000000079E-3</v>
      </c>
      <c r="V107">
        <f t="shared" si="112"/>
        <v>-3.2252150000000035E-3</v>
      </c>
      <c r="AC107">
        <f t="shared" ref="AC107:AD107" si="113">(AC33+AC69)/2</f>
        <v>3.661252546731828</v>
      </c>
      <c r="AD107">
        <f t="shared" si="113"/>
        <v>1.8017513268047249</v>
      </c>
    </row>
    <row r="108" spans="1:30" x14ac:dyDescent="0.25">
      <c r="A108">
        <v>32</v>
      </c>
      <c r="C108" s="14">
        <v>310</v>
      </c>
      <c r="K108">
        <f t="shared" ref="K108:L108" si="114">(K34+K70)/2</f>
        <v>24.475000000000001</v>
      </c>
      <c r="L108">
        <f t="shared" si="114"/>
        <v>24.465</v>
      </c>
      <c r="M108">
        <f t="shared" si="24"/>
        <v>1.0000000000001563E-2</v>
      </c>
      <c r="U108">
        <f t="shared" ref="U108:V108" si="115">(U34+U70)/2</f>
        <v>-5.0010000000003108E-5</v>
      </c>
      <c r="V108">
        <f t="shared" si="115"/>
        <v>-1.6402650000000019E-3</v>
      </c>
      <c r="AC108">
        <f t="shared" ref="AC108:AD108" si="116">(AC34+AC70)/2</f>
        <v>3.823557634431312</v>
      </c>
      <c r="AD108">
        <f t="shared" si="116"/>
        <v>1.5274450844282914</v>
      </c>
    </row>
    <row r="109" spans="1:30" x14ac:dyDescent="0.25">
      <c r="A109">
        <v>33</v>
      </c>
      <c r="C109">
        <v>320</v>
      </c>
      <c r="K109">
        <f t="shared" ref="K109:L109" si="117">(K35+K71)/2</f>
        <v>24.315000000000001</v>
      </c>
      <c r="L109">
        <f t="shared" si="117"/>
        <v>24.32</v>
      </c>
      <c r="M109">
        <f t="shared" si="24"/>
        <v>-4.9999999999990052E-3</v>
      </c>
      <c r="U109">
        <f t="shared" ref="U109:V109" si="118">(U35+U71)/2</f>
        <v>7.7916000000000096E-4</v>
      </c>
      <c r="V109">
        <f t="shared" si="118"/>
        <v>-1.5781800000000124E-3</v>
      </c>
      <c r="AC109">
        <f t="shared" ref="AC109:AD109" si="119">(AC35+AC71)/2</f>
        <v>3.9225877400770641</v>
      </c>
      <c r="AD109">
        <f t="shared" si="119"/>
        <v>1.134424747179918</v>
      </c>
    </row>
    <row r="110" spans="1:30" x14ac:dyDescent="0.25">
      <c r="A110">
        <v>34</v>
      </c>
      <c r="C110">
        <v>330</v>
      </c>
      <c r="K110">
        <f t="shared" ref="K110:L110" si="120">(K36+K72)/2</f>
        <v>24.395</v>
      </c>
      <c r="L110">
        <f t="shared" si="120"/>
        <v>24.38</v>
      </c>
      <c r="M110">
        <f t="shared" si="24"/>
        <v>1.5000000000000568E-2</v>
      </c>
      <c r="U110">
        <f t="shared" ref="U110:V110" si="121">(U36+U72)/2</f>
        <v>8.7149999999994177E-5</v>
      </c>
      <c r="V110">
        <f t="shared" si="121"/>
        <v>-2.0496750000000008E-3</v>
      </c>
      <c r="AC110">
        <f t="shared" ref="AC110:AD110" si="122">(AC36+AC72)/2</f>
        <v>4.0021942475504</v>
      </c>
      <c r="AD110">
        <f t="shared" si="122"/>
        <v>0.79144706686194577</v>
      </c>
    </row>
    <row r="111" spans="1:30" x14ac:dyDescent="0.25">
      <c r="A111">
        <v>35</v>
      </c>
      <c r="C111">
        <v>340</v>
      </c>
      <c r="K111">
        <f t="shared" ref="K111:L111" si="123">(K37+K73)/2</f>
        <v>24.305</v>
      </c>
      <c r="L111">
        <f t="shared" si="123"/>
        <v>24.3</v>
      </c>
      <c r="M111">
        <f t="shared" si="24"/>
        <v>4.9999999999990052E-3</v>
      </c>
      <c r="U111">
        <f t="shared" ref="U111:V111" si="124">(U37+U73)/2</f>
        <v>2.530210000000005E-3</v>
      </c>
      <c r="V111">
        <f t="shared" si="124"/>
        <v>-4.3855000000000977E-4</v>
      </c>
      <c r="AC111">
        <f t="shared" ref="AC111:AD111" si="125">(AC37+AC73)/2</f>
        <v>4.0494344420468664</v>
      </c>
      <c r="AD111">
        <f t="shared" si="125"/>
        <v>0.48643700426963932</v>
      </c>
    </row>
    <row r="112" spans="1:30" x14ac:dyDescent="0.25">
      <c r="A112">
        <v>36</v>
      </c>
      <c r="C112">
        <v>350</v>
      </c>
      <c r="K112">
        <f t="shared" ref="K112:L112" si="126">(K38+K74)/2</f>
        <v>24.490000000000002</v>
      </c>
      <c r="L112">
        <f t="shared" si="126"/>
        <v>24.490000000000002</v>
      </c>
      <c r="M112">
        <f t="shared" si="24"/>
        <v>0</v>
      </c>
      <c r="U112">
        <f t="shared" ref="U112:V112" si="127">(U38+U74)/2</f>
        <v>2.449990000000013E-3</v>
      </c>
      <c r="V112">
        <f t="shared" si="127"/>
        <v>-4.0536500000001863E-4</v>
      </c>
      <c r="AC112">
        <f t="shared" ref="AC112:AD112" si="128">(AC38+AC74)/2</f>
        <v>4.0718980548298713</v>
      </c>
      <c r="AD112">
        <f t="shared" si="128"/>
        <v>0.3119851168758897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88A2-E1CD-483F-A2A1-1BE5DDAD8A97}">
  <dimension ref="A1:AA164"/>
  <sheetViews>
    <sheetView zoomScale="70" zoomScaleNormal="70" workbookViewId="0">
      <selection activeCell="Q58" sqref="Q58"/>
    </sheetView>
  </sheetViews>
  <sheetFormatPr defaultRowHeight="15.75" x14ac:dyDescent="0.25"/>
  <cols>
    <col min="1" max="1" width="19.42578125" style="24" customWidth="1"/>
    <col min="2" max="2" width="20.140625" style="24" customWidth="1"/>
    <col min="3" max="3" width="20.7109375" style="24" customWidth="1"/>
    <col min="4" max="5" width="9.140625" style="24"/>
    <col min="6" max="6" width="11.5703125" style="24" customWidth="1"/>
    <col min="7" max="7" width="11.7109375" style="24" customWidth="1"/>
    <col min="8" max="8" width="10.85546875" style="24" customWidth="1"/>
    <col min="9" max="10" width="10.28515625" style="24" bestFit="1" customWidth="1"/>
    <col min="11" max="11" width="9.140625" style="24"/>
    <col min="12" max="12" width="21.7109375" style="24" customWidth="1"/>
    <col min="13" max="13" width="21" style="24" customWidth="1"/>
    <col min="14" max="14" width="19.85546875" style="24" customWidth="1"/>
    <col min="15" max="16384" width="9.140625" style="24"/>
  </cols>
  <sheetData>
    <row r="1" spans="1:27" x14ac:dyDescent="0.25">
      <c r="A1" s="111" t="s">
        <v>67</v>
      </c>
      <c r="B1" s="111"/>
      <c r="C1" s="111"/>
      <c r="N1" s="25" t="s">
        <v>68</v>
      </c>
      <c r="O1" s="24">
        <f>COUNT($A$5:$A$104)</f>
        <v>36</v>
      </c>
    </row>
    <row r="2" spans="1:27" x14ac:dyDescent="0.25">
      <c r="A2" s="112" t="s">
        <v>69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P2" s="25"/>
      <c r="Q2" s="25"/>
      <c r="R2" s="25"/>
      <c r="S2" s="25"/>
      <c r="T2" s="25"/>
      <c r="U2" s="25"/>
      <c r="V2" s="25"/>
      <c r="W2" s="25"/>
    </row>
    <row r="3" spans="1:27" x14ac:dyDescent="0.25">
      <c r="A3" s="112" t="s">
        <v>70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P3" s="26"/>
      <c r="Q3" s="26"/>
      <c r="R3" s="26"/>
      <c r="S3" s="26"/>
      <c r="T3" s="26"/>
      <c r="U3" s="26"/>
      <c r="V3" s="26"/>
      <c r="W3" s="26"/>
    </row>
    <row r="4" spans="1:27" x14ac:dyDescent="0.25">
      <c r="A4" s="27" t="s">
        <v>71</v>
      </c>
      <c r="B4" s="27" t="s">
        <v>72</v>
      </c>
      <c r="C4" s="27" t="s">
        <v>73</v>
      </c>
      <c r="E4" s="28" t="s">
        <v>71</v>
      </c>
      <c r="F4" s="28" t="s">
        <v>74</v>
      </c>
      <c r="G4" s="28" t="s">
        <v>75</v>
      </c>
      <c r="H4" s="28" t="s">
        <v>76</v>
      </c>
      <c r="I4" s="28" t="s">
        <v>77</v>
      </c>
      <c r="J4" s="28" t="s">
        <v>78</v>
      </c>
      <c r="L4" s="29" t="s">
        <v>79</v>
      </c>
      <c r="M4" s="29" t="s">
        <v>80</v>
      </c>
      <c r="N4" s="29" t="s">
        <v>81</v>
      </c>
      <c r="P4" s="30"/>
      <c r="Q4" s="30"/>
      <c r="R4" s="30"/>
      <c r="S4" s="30"/>
      <c r="T4" s="30"/>
      <c r="U4" s="30"/>
      <c r="V4" s="30"/>
      <c r="W4" s="30"/>
      <c r="Z4" s="30"/>
      <c r="AA4" s="30"/>
    </row>
    <row r="5" spans="1:27" x14ac:dyDescent="0.25">
      <c r="A5" s="31">
        <v>0</v>
      </c>
      <c r="B5" s="32">
        <v>2.6926649999999969E-3</v>
      </c>
      <c r="C5" s="32">
        <v>-1.6474999999999962E-3</v>
      </c>
      <c r="E5" s="31">
        <f t="shared" ref="E5:E68" si="0">IF(A5="","",A5)</f>
        <v>0</v>
      </c>
      <c r="F5" s="31">
        <f t="shared" ref="F5:F68" si="1">IF(E5="","",RADIANS(E5))</f>
        <v>0</v>
      </c>
      <c r="G5" s="31">
        <f t="shared" ref="G5:G68" si="2">IF(E5="","",COS(F5))</f>
        <v>1</v>
      </c>
      <c r="H5" s="31">
        <f t="shared" ref="H5:H68" si="3">IF(E5="","",SIN(F5))</f>
        <v>0</v>
      </c>
      <c r="I5" s="31">
        <f t="shared" ref="I5:I68" si="4">IF(E5="","",COS(2*F5))</f>
        <v>1</v>
      </c>
      <c r="J5" s="31">
        <f t="shared" ref="J5:J68" si="5">IF(E5="","",SIN(2*F5))</f>
        <v>0</v>
      </c>
      <c r="L5" s="33">
        <v>0</v>
      </c>
      <c r="M5" s="34">
        <f>$B111+$B110*COS(RADIANS(L5))+$B109*SIN(RADIANS(L5))</f>
        <v>2.577846918097473E-3</v>
      </c>
      <c r="N5" s="34">
        <f>$B137+$B136*COS(RADIANS(L5))+$B135*SIN(RADIANS(L5))</f>
        <v>-6.2225100372463864E-4</v>
      </c>
      <c r="P5" s="35"/>
      <c r="Q5" s="35"/>
      <c r="R5" s="35"/>
      <c r="S5" s="35"/>
      <c r="T5" s="36"/>
      <c r="U5" s="36"/>
      <c r="V5" s="36"/>
      <c r="W5" s="36"/>
      <c r="Z5" s="35"/>
      <c r="AA5" s="35"/>
    </row>
    <row r="6" spans="1:27" x14ac:dyDescent="0.25">
      <c r="A6" s="31">
        <v>10</v>
      </c>
      <c r="B6" s="32">
        <v>2.6506249999999898E-3</v>
      </c>
      <c r="C6" s="32">
        <v>-1.3080649999999971E-3</v>
      </c>
      <c r="E6" s="31">
        <f t="shared" si="0"/>
        <v>10</v>
      </c>
      <c r="F6" s="32">
        <f t="shared" si="1"/>
        <v>0.17453292519943295</v>
      </c>
      <c r="G6" s="32">
        <f t="shared" si="2"/>
        <v>0.98480775301220802</v>
      </c>
      <c r="H6" s="32">
        <f t="shared" si="3"/>
        <v>0.17364817766693033</v>
      </c>
      <c r="I6" s="32">
        <f t="shared" si="4"/>
        <v>0.93969262078590843</v>
      </c>
      <c r="J6" s="32">
        <f t="shared" si="5"/>
        <v>0.34202014332566871</v>
      </c>
      <c r="L6" s="33">
        <v>5</v>
      </c>
      <c r="M6" s="34">
        <f>$B111+$B110*COS(RADIANS(L6))+$B109*SIN(RADIANS(L6))</f>
        <v>2.6141879211596681E-3</v>
      </c>
      <c r="N6" s="34">
        <f>$B137+$B136*COS(RADIANS(L6))+$B135*SIN(RADIANS(L6))</f>
        <v>-3.7474131975400625E-4</v>
      </c>
      <c r="P6" s="35"/>
      <c r="Q6" s="35"/>
      <c r="R6" s="35"/>
      <c r="S6" s="35"/>
      <c r="T6" s="36"/>
      <c r="U6" s="36"/>
      <c r="V6" s="36"/>
      <c r="W6" s="36"/>
      <c r="Z6" s="35"/>
      <c r="AA6" s="35"/>
    </row>
    <row r="7" spans="1:27" x14ac:dyDescent="0.25">
      <c r="A7" s="31">
        <v>20</v>
      </c>
      <c r="B7" s="32">
        <v>3.2940449999999954E-3</v>
      </c>
      <c r="C7" s="32">
        <v>-1.6631750000000167E-3</v>
      </c>
      <c r="E7" s="31">
        <f t="shared" si="0"/>
        <v>20</v>
      </c>
      <c r="F7" s="32">
        <f t="shared" si="1"/>
        <v>0.3490658503988659</v>
      </c>
      <c r="G7" s="32">
        <f t="shared" si="2"/>
        <v>0.93969262078590843</v>
      </c>
      <c r="H7" s="32">
        <f t="shared" si="3"/>
        <v>0.34202014332566871</v>
      </c>
      <c r="I7" s="32">
        <f t="shared" si="4"/>
        <v>0.76604444311897801</v>
      </c>
      <c r="J7" s="32">
        <f t="shared" si="5"/>
        <v>0.64278760968653925</v>
      </c>
      <c r="L7" s="33">
        <v>10</v>
      </c>
      <c r="M7" s="34">
        <f>$B111+$B110*COS(RADIANS(L7))+$B109*SIN(RADIANS(L7))</f>
        <v>2.6309083457108765E-3</v>
      </c>
      <c r="N7" s="34">
        <f>$B137+$B136*COS(RADIANS(L7))+$B135*SIN(RADIANS(L7))</f>
        <v>-1.2538559239237506E-4</v>
      </c>
      <c r="P7" s="35"/>
      <c r="Q7" s="35"/>
      <c r="R7" s="35"/>
      <c r="S7" s="35"/>
      <c r="T7" s="36"/>
      <c r="U7" s="36"/>
      <c r="V7" s="36"/>
      <c r="W7" s="36"/>
      <c r="Z7" s="35"/>
      <c r="AA7" s="35"/>
    </row>
    <row r="8" spans="1:27" x14ac:dyDescent="0.25">
      <c r="A8" s="31">
        <v>30</v>
      </c>
      <c r="B8" s="32">
        <v>1.3718800000000059E-3</v>
      </c>
      <c r="C8" s="32">
        <v>-2.0316499999997739E-4</v>
      </c>
      <c r="E8" s="31">
        <f t="shared" si="0"/>
        <v>30</v>
      </c>
      <c r="F8" s="32">
        <f t="shared" si="1"/>
        <v>0.52359877559829882</v>
      </c>
      <c r="G8" s="32">
        <f t="shared" si="2"/>
        <v>0.86602540378443871</v>
      </c>
      <c r="H8" s="32">
        <f t="shared" si="3"/>
        <v>0.49999999999999994</v>
      </c>
      <c r="I8" s="32">
        <f t="shared" si="4"/>
        <v>0.50000000000000011</v>
      </c>
      <c r="J8" s="32">
        <f t="shared" si="5"/>
        <v>0.8660254037844386</v>
      </c>
      <c r="L8" s="33">
        <v>15</v>
      </c>
      <c r="M8" s="34">
        <f>$B111+$B110*COS(RADIANS(L8))+$B109*SIN(RADIANS(L8))</f>
        <v>2.6278809392241945E-3</v>
      </c>
      <c r="N8" s="34">
        <f>$B137+$B136*COS(RADIANS(L8))+$B135*SIN(RADIANS(L8))</f>
        <v>1.2391843070992811E-4</v>
      </c>
      <c r="P8" s="35"/>
      <c r="Q8" s="35"/>
      <c r="R8" s="35"/>
      <c r="S8" s="35"/>
      <c r="T8" s="36"/>
      <c r="U8" s="36"/>
      <c r="V8" s="36"/>
      <c r="W8" s="36"/>
      <c r="Z8" s="35"/>
      <c r="AA8" s="35"/>
    </row>
    <row r="9" spans="1:27" x14ac:dyDescent="0.25">
      <c r="A9" s="31">
        <v>40</v>
      </c>
      <c r="B9" s="32">
        <v>2.1076200000000184E-3</v>
      </c>
      <c r="C9" s="32">
        <v>1.1343750000000208E-3</v>
      </c>
      <c r="E9" s="31">
        <f t="shared" si="0"/>
        <v>40</v>
      </c>
      <c r="F9" s="32">
        <f t="shared" si="1"/>
        <v>0.69813170079773179</v>
      </c>
      <c r="G9" s="32">
        <f t="shared" si="2"/>
        <v>0.76604444311897801</v>
      </c>
      <c r="H9" s="32">
        <f t="shared" si="3"/>
        <v>0.64278760968653925</v>
      </c>
      <c r="I9" s="32">
        <f t="shared" si="4"/>
        <v>0.17364817766693041</v>
      </c>
      <c r="J9" s="32">
        <f t="shared" si="5"/>
        <v>0.98480775301220802</v>
      </c>
      <c r="L9" s="33">
        <v>20</v>
      </c>
      <c r="M9" s="34">
        <f>$B111+$B110*COS(RADIANS(L9))+$B109*SIN(RADIANS(L9))</f>
        <v>2.6051287420909837E-3</v>
      </c>
      <c r="N9" s="34">
        <f>$B137+$B136*COS(RADIANS(L9))+$B135*SIN(RADIANS(L9))</f>
        <v>3.7127339540320994E-4</v>
      </c>
      <c r="P9" s="35"/>
      <c r="Q9" s="35"/>
      <c r="R9" s="35"/>
      <c r="S9" s="35"/>
      <c r="T9" s="36"/>
      <c r="U9" s="36"/>
      <c r="V9" s="36"/>
      <c r="W9" s="36"/>
      <c r="Z9" s="35"/>
      <c r="AA9" s="35"/>
    </row>
    <row r="10" spans="1:27" x14ac:dyDescent="0.25">
      <c r="A10" s="31">
        <v>50</v>
      </c>
      <c r="B10" s="32">
        <v>3.8916250000000097E-3</v>
      </c>
      <c r="C10" s="32">
        <v>2.09098000000002E-3</v>
      </c>
      <c r="E10" s="31">
        <f t="shared" si="0"/>
        <v>50</v>
      </c>
      <c r="F10" s="32">
        <f t="shared" si="1"/>
        <v>0.87266462599716477</v>
      </c>
      <c r="G10" s="32">
        <f t="shared" si="2"/>
        <v>0.64278760968653936</v>
      </c>
      <c r="H10" s="32">
        <f t="shared" si="3"/>
        <v>0.76604444311897801</v>
      </c>
      <c r="I10" s="32">
        <f t="shared" si="4"/>
        <v>-0.1736481776669303</v>
      </c>
      <c r="J10" s="32">
        <f t="shared" si="5"/>
        <v>0.98480775301220802</v>
      </c>
      <c r="L10" s="33">
        <v>25</v>
      </c>
      <c r="M10" s="34">
        <f>$B111+$B110*COS(RADIANS(L10))+$B109*SIN(RADIANS(L10))</f>
        <v>2.5628249122695806E-3</v>
      </c>
      <c r="N10" s="34">
        <f>$B137+$B136*COS(RADIANS(L10))+$B135*SIN(RADIANS(L10))</f>
        <v>6.1479678104914336E-4</v>
      </c>
      <c r="P10" s="35"/>
      <c r="Q10" s="35"/>
      <c r="R10" s="35"/>
      <c r="S10" s="35"/>
      <c r="T10" s="36"/>
      <c r="U10" s="36"/>
      <c r="V10" s="36"/>
      <c r="W10" s="36"/>
      <c r="Z10" s="35"/>
      <c r="AA10" s="35"/>
    </row>
    <row r="11" spans="1:27" x14ac:dyDescent="0.25">
      <c r="A11" s="31">
        <v>60</v>
      </c>
      <c r="B11" s="32">
        <v>5.1361149999999828E-3</v>
      </c>
      <c r="C11" s="32">
        <v>1.5138749999999701E-3</v>
      </c>
      <c r="E11" s="31">
        <f t="shared" si="0"/>
        <v>60</v>
      </c>
      <c r="F11" s="32">
        <f t="shared" si="1"/>
        <v>1.0471975511965976</v>
      </c>
      <c r="G11" s="32">
        <f t="shared" si="2"/>
        <v>0.50000000000000011</v>
      </c>
      <c r="H11" s="32">
        <f t="shared" si="3"/>
        <v>0.8660254037844386</v>
      </c>
      <c r="I11" s="32">
        <f t="shared" si="4"/>
        <v>-0.49999999999999978</v>
      </c>
      <c r="J11" s="32">
        <f t="shared" si="5"/>
        <v>0.86602540378443871</v>
      </c>
      <c r="L11" s="33">
        <v>30</v>
      </c>
      <c r="M11" s="34">
        <f>$B111+$B110*COS(RADIANS(L11))+$B109*SIN(RADIANS(L11))</f>
        <v>2.5012914074486765E-3</v>
      </c>
      <c r="N11" s="34">
        <f>$B137+$B136*COS(RADIANS(L11))+$B135*SIN(RADIANS(L11))</f>
        <v>8.5263522763952173E-4</v>
      </c>
      <c r="P11" s="35"/>
      <c r="Q11" s="35"/>
      <c r="R11" s="35"/>
      <c r="S11" s="35"/>
      <c r="T11" s="36"/>
      <c r="U11" s="36"/>
      <c r="V11" s="36"/>
      <c r="W11" s="36"/>
      <c r="Z11" s="35"/>
      <c r="AA11" s="35"/>
    </row>
    <row r="12" spans="1:27" x14ac:dyDescent="0.25">
      <c r="A12" s="31">
        <v>70</v>
      </c>
      <c r="B12" s="32">
        <v>1.821650000000119E-4</v>
      </c>
      <c r="C12" s="32">
        <v>2.8678599999999721E-3</v>
      </c>
      <c r="E12" s="31">
        <f t="shared" si="0"/>
        <v>70</v>
      </c>
      <c r="F12" s="32">
        <f t="shared" si="1"/>
        <v>1.2217304763960306</v>
      </c>
      <c r="G12" s="32">
        <f t="shared" si="2"/>
        <v>0.34202014332566882</v>
      </c>
      <c r="H12" s="32">
        <f t="shared" si="3"/>
        <v>0.93969262078590832</v>
      </c>
      <c r="I12" s="32">
        <f t="shared" si="4"/>
        <v>-0.7660444431189779</v>
      </c>
      <c r="J12" s="32">
        <f t="shared" si="5"/>
        <v>0.64278760968653947</v>
      </c>
      <c r="L12" s="33">
        <v>35</v>
      </c>
      <c r="M12" s="34">
        <f>$B111+$B110*COS(RADIANS(L12))+$B109*SIN(RADIANS(L12))</f>
        <v>2.4209965347549048E-3</v>
      </c>
      <c r="N12" s="34">
        <f>$B137+$B136*COS(RADIANS(L12))+$B135*SIN(RADIANS(L12))</f>
        <v>1.0829786409850125E-3</v>
      </c>
      <c r="P12" s="35"/>
      <c r="Q12" s="35"/>
      <c r="R12" s="35"/>
      <c r="S12" s="35"/>
      <c r="T12" s="36"/>
      <c r="U12" s="36"/>
      <c r="V12" s="36"/>
      <c r="W12" s="36"/>
      <c r="Z12" s="35"/>
      <c r="AA12" s="35"/>
    </row>
    <row r="13" spans="1:27" x14ac:dyDescent="0.25">
      <c r="A13" s="31">
        <v>80</v>
      </c>
      <c r="B13" s="32">
        <v>9.4166000000001082E-4</v>
      </c>
      <c r="C13" s="32">
        <v>4.6374399999999927E-3</v>
      </c>
      <c r="E13" s="31">
        <f t="shared" si="0"/>
        <v>80</v>
      </c>
      <c r="F13" s="32">
        <f t="shared" si="1"/>
        <v>1.3962634015954636</v>
      </c>
      <c r="G13" s="32">
        <f t="shared" si="2"/>
        <v>0.17364817766693041</v>
      </c>
      <c r="H13" s="32">
        <f t="shared" si="3"/>
        <v>0.98480775301220802</v>
      </c>
      <c r="I13" s="32">
        <f t="shared" si="4"/>
        <v>-0.93969262078590832</v>
      </c>
      <c r="J13" s="32">
        <f t="shared" si="5"/>
        <v>0.34202014332566888</v>
      </c>
      <c r="L13" s="33">
        <v>40</v>
      </c>
      <c r="M13" s="34">
        <f>$B111+$B110*COS(RADIANS(L13))+$B109*SIN(RADIANS(L13))</f>
        <v>2.3225513866528347E-3</v>
      </c>
      <c r="N13" s="34">
        <f>$B137+$B136*COS(RADIANS(L13))+$B135*SIN(RADIANS(L13))</f>
        <v>1.3040739686249003E-3</v>
      </c>
      <c r="P13" s="35"/>
      <c r="Q13" s="35"/>
      <c r="R13" s="35"/>
      <c r="S13" s="35"/>
      <c r="T13" s="36"/>
      <c r="U13" s="36"/>
      <c r="V13" s="36"/>
      <c r="W13" s="36"/>
      <c r="Z13" s="35"/>
      <c r="AA13" s="35"/>
    </row>
    <row r="14" spans="1:27" x14ac:dyDescent="0.25">
      <c r="A14" s="31">
        <v>90</v>
      </c>
      <c r="B14" s="32">
        <v>-3.7397000000000125E-4</v>
      </c>
      <c r="C14" s="32">
        <v>2.0979250000000005E-3</v>
      </c>
      <c r="E14" s="31">
        <f t="shared" si="0"/>
        <v>90</v>
      </c>
      <c r="F14" s="32">
        <f t="shared" si="1"/>
        <v>1.5707963267948966</v>
      </c>
      <c r="G14" s="32">
        <f t="shared" si="2"/>
        <v>6.1257422745431001E-17</v>
      </c>
      <c r="H14" s="32">
        <f t="shared" si="3"/>
        <v>1</v>
      </c>
      <c r="I14" s="32">
        <f t="shared" si="4"/>
        <v>-1</v>
      </c>
      <c r="J14" s="32">
        <f t="shared" si="5"/>
        <v>1.22514845490862E-16</v>
      </c>
      <c r="L14" s="33">
        <v>45</v>
      </c>
      <c r="M14" s="34">
        <f>$B111+$B110*COS(RADIANS(L14))+$B109*SIN(RADIANS(L14))</f>
        <v>2.2067051901623284E-3</v>
      </c>
      <c r="N14" s="34">
        <f>$B137+$B136*COS(RADIANS(L14))+$B135*SIN(RADIANS(L14))</f>
        <v>1.514238541614837E-3</v>
      </c>
      <c r="P14" s="35"/>
      <c r="Q14" s="35"/>
      <c r="R14" s="35"/>
      <c r="S14" s="35"/>
      <c r="T14" s="36"/>
      <c r="U14" s="36"/>
      <c r="V14" s="36"/>
      <c r="W14" s="36"/>
      <c r="Z14" s="35"/>
      <c r="AA14" s="35"/>
    </row>
    <row r="15" spans="1:27" x14ac:dyDescent="0.25">
      <c r="A15" s="31">
        <v>100</v>
      </c>
      <c r="B15" s="32">
        <v>-1.4562450000000088E-3</v>
      </c>
      <c r="C15" s="32">
        <v>1.3031299999999579E-3</v>
      </c>
      <c r="E15" s="31">
        <f t="shared" si="0"/>
        <v>100</v>
      </c>
      <c r="F15" s="32">
        <f t="shared" si="1"/>
        <v>1.7453292519943295</v>
      </c>
      <c r="G15" s="32">
        <f t="shared" si="2"/>
        <v>-0.1736481776669303</v>
      </c>
      <c r="H15" s="32">
        <f t="shared" si="3"/>
        <v>0.98480775301220802</v>
      </c>
      <c r="I15" s="32">
        <f t="shared" si="4"/>
        <v>-0.93969262078590843</v>
      </c>
      <c r="J15" s="32">
        <f t="shared" si="5"/>
        <v>-0.34202014332566866</v>
      </c>
      <c r="L15" s="33">
        <v>50</v>
      </c>
      <c r="M15" s="34">
        <f>$B111+$B110*COS(RADIANS(L15))+$B109*SIN(RADIANS(L15))</f>
        <v>2.0743396047885249E-3</v>
      </c>
      <c r="N15" s="34">
        <f>$B137+$B136*COS(RADIANS(L15))+$B135*SIN(RADIANS(L15))</f>
        <v>1.7118728806535303E-3</v>
      </c>
      <c r="P15" s="35"/>
      <c r="Q15" s="35"/>
      <c r="R15" s="35"/>
      <c r="S15" s="35"/>
      <c r="T15" s="36"/>
      <c r="U15" s="36"/>
      <c r="V15" s="36"/>
      <c r="W15" s="36"/>
      <c r="Z15" s="35"/>
      <c r="AA15" s="35"/>
    </row>
    <row r="16" spans="1:27" x14ac:dyDescent="0.25">
      <c r="A16" s="31">
        <v>110</v>
      </c>
      <c r="B16" s="32">
        <v>-1.5672099999999994E-3</v>
      </c>
      <c r="C16" s="32">
        <v>2.8756400000000126E-3</v>
      </c>
      <c r="E16" s="31">
        <f t="shared" si="0"/>
        <v>110</v>
      </c>
      <c r="F16" s="32">
        <f t="shared" si="1"/>
        <v>1.9198621771937625</v>
      </c>
      <c r="G16" s="32">
        <f t="shared" si="2"/>
        <v>-0.34202014332566871</v>
      </c>
      <c r="H16" s="32">
        <f t="shared" si="3"/>
        <v>0.93969262078590843</v>
      </c>
      <c r="I16" s="32">
        <f t="shared" si="4"/>
        <v>-0.76604444311897801</v>
      </c>
      <c r="J16" s="32">
        <f t="shared" si="5"/>
        <v>-0.64278760968653925</v>
      </c>
      <c r="L16" s="33">
        <v>55</v>
      </c>
      <c r="M16" s="34">
        <f>$B111+$B110*COS(RADIANS(L16))+$B109*SIN(RADIANS(L16))</f>
        <v>1.9264620125606442E-3</v>
      </c>
      <c r="N16" s="34">
        <f>$B137+$B136*COS(RADIANS(L16))+$B135*SIN(RADIANS(L16))</f>
        <v>1.8954728690860189E-3</v>
      </c>
      <c r="P16" s="35"/>
      <c r="Q16" s="35"/>
      <c r="R16" s="35"/>
      <c r="S16" s="35"/>
      <c r="T16" s="36"/>
      <c r="U16" s="36"/>
      <c r="V16" s="36"/>
      <c r="W16" s="36"/>
      <c r="Z16" s="35"/>
      <c r="AA16" s="35"/>
    </row>
    <row r="17" spans="1:27" x14ac:dyDescent="0.25">
      <c r="A17" s="31">
        <v>120</v>
      </c>
      <c r="B17" s="32">
        <v>7.8139999999990439E-5</v>
      </c>
      <c r="C17" s="32">
        <v>3.9170050000000012E-3</v>
      </c>
      <c r="E17" s="31">
        <f t="shared" si="0"/>
        <v>120</v>
      </c>
      <c r="F17" s="32">
        <f t="shared" si="1"/>
        <v>2.0943951023931953</v>
      </c>
      <c r="G17" s="32">
        <f t="shared" si="2"/>
        <v>-0.49999999999999978</v>
      </c>
      <c r="H17" s="32">
        <f t="shared" si="3"/>
        <v>0.86602540378443871</v>
      </c>
      <c r="I17" s="32">
        <f t="shared" si="4"/>
        <v>-0.50000000000000044</v>
      </c>
      <c r="J17" s="32">
        <f t="shared" si="5"/>
        <v>-0.86602540378443837</v>
      </c>
      <c r="L17" s="33">
        <v>60</v>
      </c>
      <c r="M17" s="34">
        <f>$B111+$B110*COS(RADIANS(L17))+$B109*SIN(RADIANS(L17))</f>
        <v>1.7641978512464723E-3</v>
      </c>
      <c r="N17" s="34">
        <f>$B137+$B136*COS(RADIANS(L17))+$B135*SIN(RADIANS(L17))</f>
        <v>2.0636412001396277E-3</v>
      </c>
      <c r="P17" s="35"/>
      <c r="Q17" s="35"/>
      <c r="R17" s="35"/>
      <c r="S17" s="35"/>
      <c r="T17" s="36"/>
      <c r="U17" s="36"/>
      <c r="V17" s="36"/>
      <c r="W17" s="36"/>
      <c r="Z17" s="35"/>
      <c r="AA17" s="35" t="str">
        <f t="shared" ref="AA17:AA80" si="6">IF(Q17="","",Q17-S17)</f>
        <v/>
      </c>
    </row>
    <row r="18" spans="1:27" x14ac:dyDescent="0.25">
      <c r="A18" s="31">
        <v>130</v>
      </c>
      <c r="B18" s="32">
        <v>-2.9360749999999963E-3</v>
      </c>
      <c r="C18" s="32">
        <v>3.9305249999999903E-3</v>
      </c>
      <c r="E18" s="31">
        <f t="shared" si="0"/>
        <v>130</v>
      </c>
      <c r="F18" s="32">
        <f t="shared" si="1"/>
        <v>2.2689280275926285</v>
      </c>
      <c r="G18" s="32">
        <f t="shared" si="2"/>
        <v>-0.64278760968653936</v>
      </c>
      <c r="H18" s="32">
        <f t="shared" si="3"/>
        <v>0.76604444311897801</v>
      </c>
      <c r="I18" s="32">
        <f t="shared" si="4"/>
        <v>-0.17364817766693033</v>
      </c>
      <c r="J18" s="32">
        <f t="shared" si="5"/>
        <v>-0.98480775301220802</v>
      </c>
      <c r="L18" s="33">
        <v>65</v>
      </c>
      <c r="M18" s="34">
        <f>$B111+$B110*COS(RADIANS(L18))+$B109*SIN(RADIANS(L18))</f>
        <v>1.5887820490913891E-3</v>
      </c>
      <c r="N18" s="34">
        <f>$B137+$B136*COS(RADIANS(L18))+$B135*SIN(RADIANS(L18))</f>
        <v>2.215098011272224E-3</v>
      </c>
      <c r="P18" s="35"/>
      <c r="Q18" s="35"/>
      <c r="R18" s="35"/>
      <c r="S18" s="35"/>
      <c r="T18" s="36"/>
      <c r="U18" s="36"/>
      <c r="V18" s="36"/>
      <c r="W18" s="36"/>
      <c r="Z18" s="35"/>
      <c r="AA18" s="35" t="str">
        <f t="shared" si="6"/>
        <v/>
      </c>
    </row>
    <row r="19" spans="1:27" x14ac:dyDescent="0.25">
      <c r="A19" s="31">
        <v>140</v>
      </c>
      <c r="B19" s="32">
        <v>1.9475000000004905E-5</v>
      </c>
      <c r="C19" s="32">
        <v>2.0023499999999861E-3</v>
      </c>
      <c r="E19" s="31">
        <f t="shared" si="0"/>
        <v>140</v>
      </c>
      <c r="F19" s="32">
        <f t="shared" si="1"/>
        <v>2.4434609527920612</v>
      </c>
      <c r="G19" s="32">
        <f t="shared" si="2"/>
        <v>-0.7660444431189779</v>
      </c>
      <c r="H19" s="32">
        <f t="shared" si="3"/>
        <v>0.64278760968653947</v>
      </c>
      <c r="I19" s="32">
        <f t="shared" si="4"/>
        <v>0.17364817766692997</v>
      </c>
      <c r="J19" s="32">
        <f t="shared" si="5"/>
        <v>-0.98480775301220813</v>
      </c>
      <c r="L19" s="33">
        <v>70</v>
      </c>
      <c r="M19" s="34">
        <f>$B111+$B110*COS(RADIANS(L19))+$B109*SIN(RADIANS(L19))</f>
        <v>1.4015496262687525E-3</v>
      </c>
      <c r="N19" s="34">
        <f>$B137+$B136*COS(RADIANS(L19))+$B135*SIN(RADIANS(L19))</f>
        <v>2.3486906246989662E-3</v>
      </c>
      <c r="P19" s="35"/>
      <c r="Q19" s="35"/>
      <c r="R19" s="35"/>
      <c r="S19" s="35"/>
      <c r="T19" s="36"/>
      <c r="U19" s="36"/>
      <c r="V19" s="36"/>
      <c r="W19" s="36"/>
      <c r="Z19" s="35"/>
      <c r="AA19" s="35" t="str">
        <f t="shared" si="6"/>
        <v/>
      </c>
    </row>
    <row r="20" spans="1:27" x14ac:dyDescent="0.25">
      <c r="A20" s="31">
        <v>150</v>
      </c>
      <c r="B20" s="32">
        <v>-8.7815999999998895E-4</v>
      </c>
      <c r="C20" s="32">
        <v>2.9729350000000099E-3</v>
      </c>
      <c r="E20" s="31">
        <f t="shared" si="0"/>
        <v>150</v>
      </c>
      <c r="F20" s="32">
        <f t="shared" si="1"/>
        <v>2.6179938779914944</v>
      </c>
      <c r="G20" s="32">
        <f t="shared" si="2"/>
        <v>-0.86602540378443871</v>
      </c>
      <c r="H20" s="32">
        <f t="shared" si="3"/>
        <v>0.49999999999999994</v>
      </c>
      <c r="I20" s="32">
        <f t="shared" si="4"/>
        <v>0.50000000000000011</v>
      </c>
      <c r="J20" s="32">
        <f t="shared" si="5"/>
        <v>-0.8660254037844386</v>
      </c>
      <c r="L20" s="33">
        <v>75</v>
      </c>
      <c r="M20" s="34">
        <f>$B111+$B110*COS(RADIANS(L20))+$B109*SIN(RADIANS(L20))</f>
        <v>1.2039255345702702E-3</v>
      </c>
      <c r="N20" s="34">
        <f>$B137+$B136*COS(RADIANS(L20))+$B135*SIN(RADIANS(L20))</f>
        <v>2.4634023199662509E-3</v>
      </c>
      <c r="P20" s="35"/>
      <c r="Q20" s="35"/>
      <c r="R20" s="35"/>
      <c r="S20" s="35"/>
      <c r="T20" s="36"/>
      <c r="U20" s="36"/>
      <c r="V20" s="36"/>
      <c r="W20" s="36"/>
      <c r="Z20" s="35"/>
      <c r="AA20" s="35" t="str">
        <f t="shared" si="6"/>
        <v/>
      </c>
    </row>
    <row r="21" spans="1:27" x14ac:dyDescent="0.25">
      <c r="A21" s="31">
        <v>160</v>
      </c>
      <c r="B21" s="32">
        <v>-2.7705999999999564E-4</v>
      </c>
      <c r="C21" s="32">
        <v>1.5125E-3</v>
      </c>
      <c r="E21" s="31">
        <f t="shared" si="0"/>
        <v>160</v>
      </c>
      <c r="F21" s="32">
        <f t="shared" si="1"/>
        <v>2.7925268031909272</v>
      </c>
      <c r="G21" s="32">
        <f t="shared" si="2"/>
        <v>-0.93969262078590832</v>
      </c>
      <c r="H21" s="32">
        <f t="shared" si="3"/>
        <v>0.34202014332566888</v>
      </c>
      <c r="I21" s="32">
        <f t="shared" si="4"/>
        <v>0.76604444311897779</v>
      </c>
      <c r="J21" s="32">
        <f t="shared" si="5"/>
        <v>-0.64278760968653958</v>
      </c>
      <c r="L21" s="33">
        <v>80</v>
      </c>
      <c r="M21" s="34">
        <f>$B111+$B110*COS(RADIANS(L21))+$B109*SIN(RADIANS(L21))</f>
        <v>9.9741381266245746E-4</v>
      </c>
      <c r="N21" s="34">
        <f>$B137+$B136*COS(RADIANS(L21))+$B135*SIN(RADIANS(L21))</f>
        <v>2.5583600718082789E-3</v>
      </c>
      <c r="T21" s="36"/>
      <c r="U21" s="36"/>
      <c r="V21" s="36"/>
      <c r="W21" s="36"/>
      <c r="Z21" s="35"/>
      <c r="AA21" s="35" t="str">
        <f t="shared" si="6"/>
        <v/>
      </c>
    </row>
    <row r="22" spans="1:27" x14ac:dyDescent="0.25">
      <c r="A22" s="31">
        <v>170</v>
      </c>
      <c r="B22" s="32">
        <v>-3.2517849999999932E-3</v>
      </c>
      <c r="C22" s="32">
        <v>1.0214249999999925E-3</v>
      </c>
      <c r="E22" s="31">
        <f t="shared" si="0"/>
        <v>170</v>
      </c>
      <c r="F22" s="32">
        <f t="shared" si="1"/>
        <v>2.9670597283903604</v>
      </c>
      <c r="G22" s="32">
        <f t="shared" si="2"/>
        <v>-0.98480775301220802</v>
      </c>
      <c r="H22" s="32">
        <f t="shared" si="3"/>
        <v>0.17364817766693028</v>
      </c>
      <c r="I22" s="32">
        <f t="shared" si="4"/>
        <v>0.93969262078590843</v>
      </c>
      <c r="J22" s="32">
        <f t="shared" si="5"/>
        <v>-0.3420201433256686</v>
      </c>
      <c r="L22" s="33">
        <v>85</v>
      </c>
      <c r="M22" s="34">
        <f>$B111+$B110*COS(RADIANS(L22))+$B109*SIN(RADIANS(L22))</f>
        <v>7.8358613944421872E-4</v>
      </c>
      <c r="N22" s="34">
        <f>$B137+$B136*COS(RADIANS(L22))+$B135*SIN(RADIANS(L22))</f>
        <v>2.6328411943964745E-3</v>
      </c>
      <c r="T22" s="36"/>
      <c r="U22" s="36"/>
      <c r="V22" s="36"/>
      <c r="W22" s="36"/>
      <c r="Z22" s="35"/>
      <c r="AA22" s="35" t="str">
        <f t="shared" si="6"/>
        <v/>
      </c>
    </row>
    <row r="23" spans="1:27" x14ac:dyDescent="0.25">
      <c r="A23" s="31">
        <v>180</v>
      </c>
      <c r="B23" s="32">
        <v>-3.0153299999999966E-3</v>
      </c>
      <c r="C23" s="32">
        <v>-2.2103049999999957E-3</v>
      </c>
      <c r="E23" s="31">
        <f t="shared" si="0"/>
        <v>180</v>
      </c>
      <c r="F23" s="32">
        <f t="shared" si="1"/>
        <v>3.1415926535897931</v>
      </c>
      <c r="G23" s="32">
        <f t="shared" si="2"/>
        <v>-1</v>
      </c>
      <c r="H23" s="32">
        <f t="shared" si="3"/>
        <v>1.22514845490862E-16</v>
      </c>
      <c r="I23" s="32">
        <f t="shared" si="4"/>
        <v>1</v>
      </c>
      <c r="J23" s="32">
        <f t="shared" si="5"/>
        <v>-2.45029690981724E-16</v>
      </c>
      <c r="L23" s="33">
        <v>90</v>
      </c>
      <c r="M23" s="34">
        <f>$B111+$B110*COS(RADIANS(L23))+$B109*SIN(RADIANS(L23))</f>
        <v>5.6406987262142493E-4</v>
      </c>
      <c r="N23" s="34">
        <f>$B137+$B136*COS(RADIANS(L23))+$B135*SIN(RADIANS(L23))</f>
        <v>2.6862788414150091E-3</v>
      </c>
      <c r="T23" s="36"/>
      <c r="U23" s="36"/>
      <c r="V23" s="36"/>
      <c r="W23" s="36"/>
      <c r="Z23" s="35"/>
      <c r="AA23" s="35" t="str">
        <f t="shared" si="6"/>
        <v/>
      </c>
    </row>
    <row r="24" spans="1:27" x14ac:dyDescent="0.25">
      <c r="A24" s="31">
        <v>190</v>
      </c>
      <c r="B24" s="32">
        <v>-2.7714400000000139E-3</v>
      </c>
      <c r="C24" s="32">
        <v>3.5267499999999674E-4</v>
      </c>
      <c r="E24" s="31">
        <f t="shared" si="0"/>
        <v>190</v>
      </c>
      <c r="F24" s="32">
        <f t="shared" si="1"/>
        <v>3.3161255787892263</v>
      </c>
      <c r="G24" s="32">
        <f t="shared" si="2"/>
        <v>-0.98480775301220802</v>
      </c>
      <c r="H24" s="32">
        <f t="shared" si="3"/>
        <v>-0.17364817766693047</v>
      </c>
      <c r="I24" s="32">
        <f t="shared" si="4"/>
        <v>0.93969262078590832</v>
      </c>
      <c r="J24" s="32">
        <f t="shared" si="5"/>
        <v>0.34202014332566893</v>
      </c>
      <c r="L24" s="33">
        <v>95</v>
      </c>
      <c r="M24" s="34">
        <f>$B111+$B110*COS(RADIANS(L24))+$B109*SIN(RADIANS(L24))</f>
        <v>3.4053566353214242E-4</v>
      </c>
      <c r="N24" s="34">
        <f>$B137+$B136*COS(RADIANS(L24))+$B135*SIN(RADIANS(L24))</f>
        <v>2.7182663201035392E-3</v>
      </c>
      <c r="T24" s="36"/>
      <c r="U24" s="36"/>
      <c r="V24" s="36"/>
      <c r="W24" s="36"/>
      <c r="Z24" s="35"/>
      <c r="AA24" s="35" t="str">
        <f t="shared" si="6"/>
        <v/>
      </c>
    </row>
    <row r="25" spans="1:27" x14ac:dyDescent="0.25">
      <c r="A25" s="31">
        <v>200</v>
      </c>
      <c r="B25" s="32">
        <v>-2.7374849999999978E-3</v>
      </c>
      <c r="C25" s="32">
        <v>-1.0518149999999837E-3</v>
      </c>
      <c r="E25" s="31">
        <f t="shared" si="0"/>
        <v>200</v>
      </c>
      <c r="F25" s="32">
        <f t="shared" si="1"/>
        <v>3.4906585039886591</v>
      </c>
      <c r="G25" s="32">
        <f t="shared" si="2"/>
        <v>-0.93969262078590843</v>
      </c>
      <c r="H25" s="32">
        <f t="shared" si="3"/>
        <v>-0.34202014332566866</v>
      </c>
      <c r="I25" s="32">
        <f t="shared" si="4"/>
        <v>0.76604444311897812</v>
      </c>
      <c r="J25" s="32">
        <f t="shared" si="5"/>
        <v>0.64278760968653914</v>
      </c>
      <c r="L25" s="33">
        <v>100</v>
      </c>
      <c r="M25" s="34">
        <f>$B111+$B110*COS(RADIANS(L25))+$B109*SIN(RADIANS(L25))</f>
        <v>1.1468474248118752E-4</v>
      </c>
      <c r="N25" s="34">
        <f>$B137+$B136*COS(RADIANS(L25))+$B135*SIN(RADIANS(L25))</f>
        <v>2.7285601864346764E-3</v>
      </c>
      <c r="T25" s="36"/>
      <c r="U25" s="36"/>
      <c r="V25" s="36"/>
      <c r="W25" s="36"/>
      <c r="Z25" s="35"/>
      <c r="AA25" s="35" t="str">
        <f t="shared" si="6"/>
        <v/>
      </c>
    </row>
    <row r="26" spans="1:27" x14ac:dyDescent="0.25">
      <c r="A26" s="31">
        <v>210</v>
      </c>
      <c r="B26" s="32">
        <v>-1.9724450000000032E-3</v>
      </c>
      <c r="C26" s="32">
        <v>-1.96685000000002E-3</v>
      </c>
      <c r="E26" s="31">
        <f t="shared" si="0"/>
        <v>210</v>
      </c>
      <c r="F26" s="32">
        <f t="shared" si="1"/>
        <v>3.6651914291880923</v>
      </c>
      <c r="G26" s="32">
        <f t="shared" si="2"/>
        <v>-0.8660254037844386</v>
      </c>
      <c r="H26" s="32">
        <f t="shared" si="3"/>
        <v>-0.50000000000000011</v>
      </c>
      <c r="I26" s="32">
        <f t="shared" si="4"/>
        <v>0.49999999999999972</v>
      </c>
      <c r="J26" s="32">
        <f t="shared" si="5"/>
        <v>0.86602540378443882</v>
      </c>
      <c r="L26" s="33">
        <v>105</v>
      </c>
      <c r="M26" s="34">
        <f>$B111+$B110*COS(RADIANS(L26))+$B109*SIN(RADIANS(L26))</f>
        <v>-1.1176402864972841E-4</v>
      </c>
      <c r="N26" s="34">
        <f>$B137+$B136*COS(RADIANS(L26))+$B135*SIN(RADIANS(L26))</f>
        <v>2.7170820978700354E-3</v>
      </c>
      <c r="T26" s="36"/>
      <c r="U26" s="36"/>
      <c r="V26" s="36"/>
      <c r="W26" s="36"/>
      <c r="Z26" s="35"/>
      <c r="AA26" s="35" t="str">
        <f t="shared" si="6"/>
        <v/>
      </c>
    </row>
    <row r="27" spans="1:27" x14ac:dyDescent="0.25">
      <c r="A27" s="31">
        <v>220</v>
      </c>
      <c r="B27" s="32">
        <v>-4.6875199999999867E-3</v>
      </c>
      <c r="C27" s="32">
        <v>-2.7156249999999715E-3</v>
      </c>
      <c r="E27" s="31">
        <f t="shared" si="0"/>
        <v>220</v>
      </c>
      <c r="F27" s="32">
        <f t="shared" si="1"/>
        <v>3.839724354387525</v>
      </c>
      <c r="G27" s="32">
        <f t="shared" si="2"/>
        <v>-0.76604444311897801</v>
      </c>
      <c r="H27" s="32">
        <f t="shared" si="3"/>
        <v>-0.64278760968653925</v>
      </c>
      <c r="I27" s="32">
        <f t="shared" si="4"/>
        <v>0.17364817766693044</v>
      </c>
      <c r="J27" s="32">
        <f t="shared" si="5"/>
        <v>0.98480775301220802</v>
      </c>
      <c r="L27" s="33">
        <v>110</v>
      </c>
      <c r="M27" s="34">
        <f>$B111+$B110*COS(RADIANS(L27))+$B109*SIN(RADIANS(L27))</f>
        <v>-3.3708723797879153E-4</v>
      </c>
      <c r="N27" s="34">
        <f>$B137+$B136*COS(RADIANS(L27))+$B135*SIN(RADIANS(L27))</f>
        <v>2.6839194095942521E-3</v>
      </c>
      <c r="T27" s="36"/>
      <c r="U27" s="36"/>
      <c r="V27" s="36"/>
      <c r="W27" s="36"/>
      <c r="Z27" s="35"/>
      <c r="AA27" s="35" t="str">
        <f t="shared" si="6"/>
        <v/>
      </c>
    </row>
    <row r="28" spans="1:27" x14ac:dyDescent="0.25">
      <c r="A28" s="31">
        <v>230</v>
      </c>
      <c r="B28" s="32">
        <v>-2.9696149999999949E-3</v>
      </c>
      <c r="C28" s="32">
        <v>-3.3187149999999721E-3</v>
      </c>
      <c r="E28" s="31">
        <f t="shared" si="0"/>
        <v>230</v>
      </c>
      <c r="F28" s="32">
        <f t="shared" si="1"/>
        <v>4.0142572795869578</v>
      </c>
      <c r="G28" s="32">
        <f t="shared" si="2"/>
        <v>-0.64278760968653947</v>
      </c>
      <c r="H28" s="32">
        <f t="shared" si="3"/>
        <v>-0.7660444431189779</v>
      </c>
      <c r="I28" s="32">
        <f t="shared" si="4"/>
        <v>-0.17364817766692986</v>
      </c>
      <c r="J28" s="32">
        <f t="shared" si="5"/>
        <v>0.98480775301220813</v>
      </c>
      <c r="L28" s="33">
        <v>115</v>
      </c>
      <c r="M28" s="34">
        <f>$B111+$B110*COS(RADIANS(L28))+$B109*SIN(RADIANS(L28))</f>
        <v>-5.5957003982913458E-4</v>
      </c>
      <c r="N28" s="34">
        <f>$B137+$B136*COS(RADIANS(L28))+$B135*SIN(RADIANS(L28))</f>
        <v>2.629324509689284E-3</v>
      </c>
      <c r="T28" s="36"/>
      <c r="U28" s="36"/>
      <c r="V28" s="36"/>
      <c r="W28" s="36"/>
      <c r="Z28" s="35"/>
      <c r="AA28" s="35" t="str">
        <f t="shared" si="6"/>
        <v/>
      </c>
    </row>
    <row r="29" spans="1:27" x14ac:dyDescent="0.25">
      <c r="A29" s="31">
        <v>240</v>
      </c>
      <c r="B29" s="32">
        <v>-2.6374850000000089E-3</v>
      </c>
      <c r="C29" s="32">
        <v>-2.1910850000000093E-3</v>
      </c>
      <c r="E29" s="31">
        <f t="shared" si="0"/>
        <v>240</v>
      </c>
      <c r="F29" s="32">
        <f t="shared" si="1"/>
        <v>4.1887902047863905</v>
      </c>
      <c r="G29" s="32">
        <f t="shared" si="2"/>
        <v>-0.50000000000000044</v>
      </c>
      <c r="H29" s="32">
        <f t="shared" si="3"/>
        <v>-0.86602540378443837</v>
      </c>
      <c r="I29" s="32">
        <f t="shared" si="4"/>
        <v>-0.49999999999999922</v>
      </c>
      <c r="J29" s="32">
        <f t="shared" si="5"/>
        <v>0.86602540378443915</v>
      </c>
      <c r="L29" s="33">
        <v>120</v>
      </c>
      <c r="M29" s="34">
        <f>$B111+$B110*COS(RADIANS(L29))+$B109*SIN(RADIANS(L29))</f>
        <v>-7.7751920573988786E-4</v>
      </c>
      <c r="N29" s="34">
        <f>$B137+$B136*COS(RADIANS(L29))+$B135*SIN(RADIANS(L29))</f>
        <v>2.5537128983087088E-3</v>
      </c>
      <c r="T29" s="36"/>
      <c r="U29" s="36"/>
      <c r="V29" s="36"/>
      <c r="W29" s="36"/>
      <c r="Z29" s="35"/>
      <c r="AA29" s="35" t="str">
        <f t="shared" si="6"/>
        <v/>
      </c>
    </row>
    <row r="30" spans="1:27" x14ac:dyDescent="0.25">
      <c r="A30" s="31">
        <v>250</v>
      </c>
      <c r="B30" s="32">
        <v>2.2843449999999932E-3</v>
      </c>
      <c r="C30" s="32">
        <v>-2.9468700000000181E-3</v>
      </c>
      <c r="E30" s="31">
        <f t="shared" si="0"/>
        <v>250</v>
      </c>
      <c r="F30" s="32">
        <f t="shared" si="1"/>
        <v>4.3633231299858242</v>
      </c>
      <c r="G30" s="32">
        <f t="shared" si="2"/>
        <v>-0.34202014332566855</v>
      </c>
      <c r="H30" s="32">
        <f t="shared" si="3"/>
        <v>-0.93969262078590843</v>
      </c>
      <c r="I30" s="32">
        <f t="shared" si="4"/>
        <v>-0.76604444311897835</v>
      </c>
      <c r="J30" s="32">
        <f t="shared" si="5"/>
        <v>0.64278760968653903</v>
      </c>
      <c r="L30" s="33">
        <v>125</v>
      </c>
      <c r="M30" s="34">
        <f>$B111+$B110*COS(RADIANS(L30))+$B109*SIN(RADIANS(L30))</f>
        <v>-9.8927601095716734E-4</v>
      </c>
      <c r="N30" s="34">
        <f>$B137+$B136*COS(RADIANS(L30))+$B135*SIN(RADIANS(L30))</f>
        <v>2.4576600254706724E-3</v>
      </c>
      <c r="T30" s="36"/>
      <c r="U30" s="36"/>
      <c r="V30" s="36"/>
      <c r="W30" s="36"/>
      <c r="Z30" s="35"/>
      <c r="AA30" s="35" t="str">
        <f t="shared" si="6"/>
        <v/>
      </c>
    </row>
    <row r="31" spans="1:27" x14ac:dyDescent="0.25">
      <c r="A31" s="31">
        <v>260</v>
      </c>
      <c r="B31" s="32">
        <v>4.0486000000000688E-4</v>
      </c>
      <c r="C31" s="32">
        <v>-1.2854250000000067E-3</v>
      </c>
      <c r="E31" s="31">
        <f t="shared" si="0"/>
        <v>260</v>
      </c>
      <c r="F31" s="32">
        <f t="shared" si="1"/>
        <v>4.5378560551852569</v>
      </c>
      <c r="G31" s="32">
        <f t="shared" si="2"/>
        <v>-0.17364817766693033</v>
      </c>
      <c r="H31" s="32">
        <f t="shared" si="3"/>
        <v>-0.98480775301220802</v>
      </c>
      <c r="I31" s="32">
        <f t="shared" si="4"/>
        <v>-0.93969262078590843</v>
      </c>
      <c r="J31" s="32">
        <f t="shared" si="5"/>
        <v>0.34202014332566871</v>
      </c>
      <c r="L31" s="33">
        <v>130</v>
      </c>
      <c r="M31" s="34">
        <f>$B111+$B110*COS(RADIANS(L31))+$B109*SIN(RADIANS(L31))</f>
        <v>-1.1932288583310119E-3</v>
      </c>
      <c r="N31" s="34">
        <f>$B137+$B136*COS(RADIANS(L31))+$B135*SIN(RADIANS(L31))</f>
        <v>2.3418969115357835E-3</v>
      </c>
      <c r="T31" s="36"/>
      <c r="U31" s="36"/>
      <c r="V31" s="36"/>
      <c r="W31" s="36"/>
      <c r="Z31" s="35"/>
      <c r="AA31" s="35" t="str">
        <f t="shared" si="6"/>
        <v/>
      </c>
    </row>
    <row r="32" spans="1:27" x14ac:dyDescent="0.25">
      <c r="A32" s="31">
        <v>270</v>
      </c>
      <c r="B32" s="32">
        <v>-6.7321000000000741E-4</v>
      </c>
      <c r="C32" s="32">
        <v>-1.8524950000000096E-3</v>
      </c>
      <c r="E32" s="31">
        <f t="shared" si="0"/>
        <v>270</v>
      </c>
      <c r="F32" s="32">
        <f t="shared" si="1"/>
        <v>4.7123889803846897</v>
      </c>
      <c r="G32" s="32">
        <f t="shared" si="2"/>
        <v>-1.83772268236293E-16</v>
      </c>
      <c r="H32" s="32">
        <f t="shared" si="3"/>
        <v>-1</v>
      </c>
      <c r="I32" s="32">
        <f t="shared" si="4"/>
        <v>-1</v>
      </c>
      <c r="J32" s="32">
        <f t="shared" si="5"/>
        <v>3.67544536472586E-16</v>
      </c>
      <c r="L32" s="33">
        <v>135</v>
      </c>
      <c r="M32" s="34">
        <f>$B111+$B110*COS(RADIANS(L32))+$B109*SIN(RADIANS(L32))</f>
        <v>-1.3878255435428118E-3</v>
      </c>
      <c r="N32" s="34">
        <f>$B137+$B136*COS(RADIANS(L32))+$B135*SIN(RADIANS(L32))</f>
        <v>2.207304583700765E-3</v>
      </c>
      <c r="T32" s="36"/>
      <c r="U32" s="36"/>
      <c r="V32" s="36"/>
      <c r="W32" s="36"/>
      <c r="Z32" s="35"/>
      <c r="AA32" s="35" t="str">
        <f t="shared" si="6"/>
        <v/>
      </c>
    </row>
    <row r="33" spans="1:27" x14ac:dyDescent="0.25">
      <c r="A33" s="31">
        <v>280</v>
      </c>
      <c r="B33" s="32">
        <v>1.3864300000000079E-3</v>
      </c>
      <c r="C33" s="32">
        <v>-2.996814999999986E-3</v>
      </c>
      <c r="E33" s="31">
        <f t="shared" si="0"/>
        <v>280</v>
      </c>
      <c r="F33" s="32">
        <f t="shared" si="1"/>
        <v>4.8869219055841224</v>
      </c>
      <c r="G33" s="32">
        <f t="shared" si="2"/>
        <v>0.17364817766692997</v>
      </c>
      <c r="H33" s="32">
        <f t="shared" si="3"/>
        <v>-0.98480775301220813</v>
      </c>
      <c r="I33" s="32">
        <f t="shared" si="4"/>
        <v>-0.93969262078590865</v>
      </c>
      <c r="J33" s="32">
        <f t="shared" si="5"/>
        <v>-0.34202014332566799</v>
      </c>
      <c r="L33" s="33">
        <v>140</v>
      </c>
      <c r="M33" s="34">
        <f>$B111+$B110*COS(RADIANS(L33))+$B109*SIN(RADIANS(L33))</f>
        <v>-1.5715850683174141E-3</v>
      </c>
      <c r="N33" s="34">
        <f>$B137+$B136*COS(RADIANS(L33))+$B135*SIN(RADIANS(L33))</f>
        <v>2.0549073708495116E-3</v>
      </c>
      <c r="T33" s="36"/>
      <c r="U33" s="36"/>
      <c r="V33" s="36"/>
      <c r="W33" s="36"/>
      <c r="Z33" s="35"/>
      <c r="AA33" s="35" t="str">
        <f t="shared" si="6"/>
        <v/>
      </c>
    </row>
    <row r="34" spans="1:27" x14ac:dyDescent="0.25">
      <c r="A34" s="31">
        <v>290</v>
      </c>
      <c r="B34" s="32">
        <v>-7.0833000000000701E-4</v>
      </c>
      <c r="C34" s="32">
        <v>-2.2939399999999943E-3</v>
      </c>
      <c r="E34" s="31">
        <f t="shared" si="0"/>
        <v>290</v>
      </c>
      <c r="F34" s="32">
        <f t="shared" si="1"/>
        <v>5.0614548307835561</v>
      </c>
      <c r="G34" s="32">
        <f t="shared" si="2"/>
        <v>0.34202014332566899</v>
      </c>
      <c r="H34" s="32">
        <f t="shared" si="3"/>
        <v>-0.93969262078590832</v>
      </c>
      <c r="I34" s="32">
        <f t="shared" si="4"/>
        <v>-0.76604444311897768</v>
      </c>
      <c r="J34" s="32">
        <f t="shared" si="5"/>
        <v>-0.64278760968653981</v>
      </c>
      <c r="L34" s="33">
        <v>145</v>
      </c>
      <c r="M34" s="34">
        <f>$B111+$B110*COS(RADIANS(L34))+$B109*SIN(RADIANS(L34))</f>
        <v>-1.7431089117142503E-3</v>
      </c>
      <c r="N34" s="34">
        <f>$B137+$B136*COS(RADIANS(L34))+$B135*SIN(RADIANS(L34))</f>
        <v>1.8858651077917729E-3</v>
      </c>
      <c r="T34" s="36"/>
      <c r="U34" s="36"/>
      <c r="V34" s="36"/>
      <c r="W34" s="36"/>
      <c r="Z34" s="35"/>
      <c r="AA34" s="35" t="str">
        <f t="shared" si="6"/>
        <v/>
      </c>
    </row>
    <row r="35" spans="1:27" x14ac:dyDescent="0.25">
      <c r="A35" s="31">
        <v>300</v>
      </c>
      <c r="B35" s="32">
        <v>1.9758900000000079E-3</v>
      </c>
      <c r="C35" s="32">
        <v>-3.2252150000000035E-3</v>
      </c>
      <c r="E35" s="31">
        <f t="shared" si="0"/>
        <v>300</v>
      </c>
      <c r="F35" s="32">
        <f t="shared" si="1"/>
        <v>5.2359877559829888</v>
      </c>
      <c r="G35" s="32">
        <f t="shared" si="2"/>
        <v>0.50000000000000011</v>
      </c>
      <c r="H35" s="32">
        <f t="shared" si="3"/>
        <v>-0.8660254037844386</v>
      </c>
      <c r="I35" s="32">
        <f t="shared" si="4"/>
        <v>-0.49999999999999983</v>
      </c>
      <c r="J35" s="32">
        <f t="shared" si="5"/>
        <v>-0.86602540378443871</v>
      </c>
      <c r="L35" s="33">
        <v>150</v>
      </c>
      <c r="M35" s="34">
        <f>$B111+$B110*COS(RADIANS(L35))+$B109*SIN(RADIANS(L35))</f>
        <v>-1.9010916737161397E-3</v>
      </c>
      <c r="N35" s="34">
        <f>$B137+$B136*COS(RADIANS(L35))+$B135*SIN(RADIANS(L35))</f>
        <v>1.7014643082199292E-3</v>
      </c>
      <c r="T35" s="36"/>
      <c r="U35" s="36"/>
      <c r="V35" s="36"/>
      <c r="W35" s="36"/>
      <c r="Z35" s="35"/>
      <c r="AA35" s="35" t="str">
        <f t="shared" si="6"/>
        <v/>
      </c>
    </row>
    <row r="36" spans="1:27" x14ac:dyDescent="0.25">
      <c r="A36" s="31">
        <v>310</v>
      </c>
      <c r="B36" s="32">
        <v>-5.0010000000003108E-5</v>
      </c>
      <c r="C36" s="32">
        <v>-1.6402650000000019E-3</v>
      </c>
      <c r="E36" s="31">
        <f t="shared" si="0"/>
        <v>310</v>
      </c>
      <c r="F36" s="32">
        <f t="shared" si="1"/>
        <v>5.4105206811824216</v>
      </c>
      <c r="G36" s="32">
        <f t="shared" si="2"/>
        <v>0.64278760968653925</v>
      </c>
      <c r="H36" s="32">
        <f t="shared" si="3"/>
        <v>-0.76604444311897812</v>
      </c>
      <c r="I36" s="32">
        <f t="shared" si="4"/>
        <v>-0.17364817766693058</v>
      </c>
      <c r="J36" s="32">
        <f t="shared" si="5"/>
        <v>-0.98480775301220802</v>
      </c>
      <c r="L36" s="33">
        <v>155</v>
      </c>
      <c r="M36" s="34">
        <f>$B111+$B110*COS(RADIANS(L36))+$B109*SIN(RADIANS(L36))</f>
        <v>-2.0443310101116497E-3</v>
      </c>
      <c r="N36" s="34">
        <f>$B137+$B136*COS(RADIANS(L36))+$B135*SIN(RADIANS(L36))</f>
        <v>1.5031083735629687E-3</v>
      </c>
      <c r="T36" s="36"/>
      <c r="U36" s="36"/>
      <c r="V36" s="36"/>
      <c r="W36" s="36"/>
      <c r="Z36" s="35"/>
      <c r="AA36" s="35" t="str">
        <f t="shared" si="6"/>
        <v/>
      </c>
    </row>
    <row r="37" spans="1:27" x14ac:dyDescent="0.25">
      <c r="A37" s="31">
        <v>320</v>
      </c>
      <c r="B37" s="32">
        <v>7.7916000000000096E-4</v>
      </c>
      <c r="C37" s="32">
        <v>-1.5781800000000124E-3</v>
      </c>
      <c r="E37" s="31">
        <f t="shared" si="0"/>
        <v>320</v>
      </c>
      <c r="F37" s="32">
        <f t="shared" si="1"/>
        <v>5.5850536063818543</v>
      </c>
      <c r="G37" s="32">
        <f t="shared" si="2"/>
        <v>0.76604444311897779</v>
      </c>
      <c r="H37" s="32">
        <f t="shared" si="3"/>
        <v>-0.64278760968653958</v>
      </c>
      <c r="I37" s="32">
        <f t="shared" si="4"/>
        <v>0.17364817766692972</v>
      </c>
      <c r="J37" s="32">
        <f t="shared" si="5"/>
        <v>-0.98480775301220813</v>
      </c>
      <c r="L37" s="33">
        <v>160</v>
      </c>
      <c r="M37" s="34">
        <f>$B111+$B110*COS(RADIANS(L37))+$B109*SIN(RADIANS(L37))</f>
        <v>-2.1717367830605344E-3</v>
      </c>
      <c r="N37" s="34">
        <f>$B137+$B136*COS(RADIANS(L37))+$B135*SIN(RADIANS(L37))</f>
        <v>1.2923069122542188E-3</v>
      </c>
      <c r="T37" s="36"/>
      <c r="U37" s="36"/>
      <c r="V37" s="36"/>
      <c r="W37" s="36"/>
      <c r="Z37" s="35"/>
      <c r="AA37" s="35" t="str">
        <f t="shared" si="6"/>
        <v/>
      </c>
    </row>
    <row r="38" spans="1:27" x14ac:dyDescent="0.25">
      <c r="A38" s="31">
        <v>330</v>
      </c>
      <c r="B38" s="32">
        <v>8.7149999999994177E-5</v>
      </c>
      <c r="C38" s="32">
        <v>-2.0496750000000008E-3</v>
      </c>
      <c r="E38" s="31">
        <f t="shared" si="0"/>
        <v>330</v>
      </c>
      <c r="F38" s="32">
        <f t="shared" si="1"/>
        <v>5.7595865315812871</v>
      </c>
      <c r="G38" s="32">
        <f t="shared" si="2"/>
        <v>0.86602540378443837</v>
      </c>
      <c r="H38" s="32">
        <f t="shared" si="3"/>
        <v>-0.50000000000000044</v>
      </c>
      <c r="I38" s="32">
        <f t="shared" si="4"/>
        <v>0.49999999999999911</v>
      </c>
      <c r="J38" s="32">
        <f t="shared" si="5"/>
        <v>-0.86602540378443915</v>
      </c>
      <c r="L38" s="33">
        <v>165</v>
      </c>
      <c r="M38" s="34">
        <f>$B111+$B110*COS(RADIANS(L38))+$B109*SIN(RADIANS(L38))</f>
        <v>-2.2823393577009435E-3</v>
      </c>
      <c r="N38" s="34">
        <f>$B137+$B136*COS(RADIANS(L38))+$B135*SIN(RADIANS(L38))</f>
        <v>1.0706642506996412E-3</v>
      </c>
      <c r="T38" s="36"/>
      <c r="U38" s="36"/>
      <c r="V38" s="36"/>
      <c r="W38" s="36"/>
      <c r="Z38" s="35"/>
      <c r="AA38" s="35" t="str">
        <f t="shared" si="6"/>
        <v/>
      </c>
    </row>
    <row r="39" spans="1:27" x14ac:dyDescent="0.25">
      <c r="A39" s="31">
        <v>340</v>
      </c>
      <c r="B39" s="32">
        <v>2.530210000000005E-3</v>
      </c>
      <c r="C39" s="32">
        <v>-4.3855000000000977E-4</v>
      </c>
      <c r="E39" s="31">
        <f t="shared" si="0"/>
        <v>340</v>
      </c>
      <c r="F39" s="32">
        <f t="shared" si="1"/>
        <v>5.9341194567807207</v>
      </c>
      <c r="G39" s="32">
        <f t="shared" si="2"/>
        <v>0.93969262078590843</v>
      </c>
      <c r="H39" s="32">
        <f t="shared" si="3"/>
        <v>-0.3420201433256686</v>
      </c>
      <c r="I39" s="32">
        <f t="shared" si="4"/>
        <v>0.76604444311897824</v>
      </c>
      <c r="J39" s="32">
        <f t="shared" si="5"/>
        <v>-0.64278760968653903</v>
      </c>
      <c r="L39" s="33">
        <v>170</v>
      </c>
      <c r="M39" s="34">
        <f>$B111+$B110*COS(RADIANS(L39))+$B109*SIN(RADIANS(L39))</f>
        <v>-2.3752969816562036E-3</v>
      </c>
      <c r="N39" s="34">
        <f>$B137+$B136*COS(RADIANS(L39))+$B135*SIN(RADIANS(L39))</f>
        <v>8.3986722338516356E-4</v>
      </c>
      <c r="T39" s="36"/>
      <c r="U39" s="36"/>
      <c r="V39" s="36"/>
      <c r="W39" s="36"/>
      <c r="Z39" s="35"/>
      <c r="AA39" s="35" t="str">
        <f t="shared" si="6"/>
        <v/>
      </c>
    </row>
    <row r="40" spans="1:27" x14ac:dyDescent="0.25">
      <c r="A40" s="31">
        <v>350</v>
      </c>
      <c r="B40" s="32">
        <v>2.449990000000013E-3</v>
      </c>
      <c r="C40" s="32">
        <v>-4.0536500000001863E-4</v>
      </c>
      <c r="E40" s="31">
        <f t="shared" si="0"/>
        <v>350</v>
      </c>
      <c r="F40" s="32">
        <f t="shared" si="1"/>
        <v>6.1086523819801535</v>
      </c>
      <c r="G40" s="32">
        <f t="shared" si="2"/>
        <v>0.98480775301220802</v>
      </c>
      <c r="H40" s="32">
        <f t="shared" si="3"/>
        <v>-0.17364817766693039</v>
      </c>
      <c r="I40" s="32">
        <f t="shared" si="4"/>
        <v>0.93969262078590832</v>
      </c>
      <c r="J40" s="32">
        <f t="shared" si="5"/>
        <v>-0.34202014332566882</v>
      </c>
      <c r="L40" s="33">
        <v>175</v>
      </c>
      <c r="M40" s="34">
        <f>$B111+$B110*COS(RADIANS(L40))+$B109*SIN(RADIANS(L40))</f>
        <v>-2.4499021912786668E-3</v>
      </c>
      <c r="N40" s="34">
        <f>$B137+$B136*COS(RADIANS(L40))+$B135*SIN(RADIANS(L40))</f>
        <v>6.0167233504770663E-4</v>
      </c>
      <c r="T40" s="36"/>
      <c r="U40" s="36"/>
      <c r="V40" s="36"/>
      <c r="W40" s="36"/>
      <c r="Z40" s="35"/>
      <c r="AA40" s="35" t="str">
        <f t="shared" si="6"/>
        <v/>
      </c>
    </row>
    <row r="41" spans="1:27" x14ac:dyDescent="0.25">
      <c r="A41" s="31"/>
      <c r="B41" s="32"/>
      <c r="C41" s="32"/>
      <c r="E41" s="31" t="str">
        <f t="shared" si="0"/>
        <v/>
      </c>
      <c r="F41" s="31" t="str">
        <f t="shared" si="1"/>
        <v/>
      </c>
      <c r="G41" s="31" t="str">
        <f t="shared" si="2"/>
        <v/>
      </c>
      <c r="H41" s="31" t="str">
        <f t="shared" si="3"/>
        <v/>
      </c>
      <c r="I41" s="31" t="str">
        <f t="shared" si="4"/>
        <v/>
      </c>
      <c r="J41" s="31" t="str">
        <f t="shared" si="5"/>
        <v/>
      </c>
      <c r="L41" s="33">
        <v>180</v>
      </c>
      <c r="M41" s="34">
        <f>$B111+$B110*COS(RADIANS(L41))+$B109*SIN(RADIANS(L41))</f>
        <v>-2.5055871958752484E-3</v>
      </c>
      <c r="N41" s="34">
        <f>$B137+$B136*COS(RADIANS(L41))+$B135*SIN(RADIANS(L41))</f>
        <v>3.5789239261352314E-4</v>
      </c>
      <c r="T41" s="36"/>
      <c r="U41" s="36"/>
      <c r="V41" s="36"/>
      <c r="W41" s="36"/>
      <c r="Z41" s="35"/>
      <c r="AA41" s="35" t="str">
        <f t="shared" si="6"/>
        <v/>
      </c>
    </row>
    <row r="42" spans="1:27" x14ac:dyDescent="0.25">
      <c r="A42" s="31"/>
      <c r="B42" s="32"/>
      <c r="C42" s="32"/>
      <c r="E42" s="31" t="str">
        <f t="shared" si="0"/>
        <v/>
      </c>
      <c r="F42" s="31" t="str">
        <f t="shared" si="1"/>
        <v/>
      </c>
      <c r="G42" s="31" t="str">
        <f t="shared" si="2"/>
        <v/>
      </c>
      <c r="H42" s="31" t="str">
        <f t="shared" si="3"/>
        <v/>
      </c>
      <c r="I42" s="31" t="str">
        <f t="shared" si="4"/>
        <v/>
      </c>
      <c r="J42" s="31" t="str">
        <f t="shared" si="5"/>
        <v/>
      </c>
      <c r="L42" s="33">
        <v>185</v>
      </c>
      <c r="M42" s="34">
        <f>$B111+$B110*COS(RADIANS(L42))+$B109*SIN(RADIANS(L42))</f>
        <v>-2.5419281989374435E-3</v>
      </c>
      <c r="N42" s="34">
        <f>$B137+$B136*COS(RADIANS(L42))+$B135*SIN(RADIANS(L42))</f>
        <v>1.1038270864289107E-4</v>
      </c>
      <c r="T42" s="36"/>
      <c r="U42" s="36"/>
      <c r="V42" s="36"/>
      <c r="W42" s="36"/>
      <c r="Z42" s="35"/>
      <c r="AA42" s="35" t="str">
        <f t="shared" si="6"/>
        <v/>
      </c>
    </row>
    <row r="43" spans="1:27" x14ac:dyDescent="0.25">
      <c r="A43" s="31"/>
      <c r="B43" s="32"/>
      <c r="C43" s="32"/>
      <c r="E43" s="31" t="str">
        <f t="shared" si="0"/>
        <v/>
      </c>
      <c r="F43" s="31" t="str">
        <f t="shared" si="1"/>
        <v/>
      </c>
      <c r="G43" s="31" t="str">
        <f t="shared" si="2"/>
        <v/>
      </c>
      <c r="H43" s="31" t="str">
        <f t="shared" si="3"/>
        <v/>
      </c>
      <c r="I43" s="31" t="str">
        <f t="shared" si="4"/>
        <v/>
      </c>
      <c r="J43" s="31" t="str">
        <f t="shared" si="5"/>
        <v/>
      </c>
      <c r="L43" s="33">
        <v>190</v>
      </c>
      <c r="M43" s="34">
        <f>$B111+$B110*COS(RADIANS(L43))+$B109*SIN(RADIANS(L43))</f>
        <v>-2.5586486234886519E-3</v>
      </c>
      <c r="N43" s="34">
        <f>$B137+$B136*COS(RADIANS(L43))+$B135*SIN(RADIANS(L43))</f>
        <v>-1.3897301871874121E-4</v>
      </c>
      <c r="T43" s="36"/>
      <c r="U43" s="36"/>
      <c r="V43" s="36"/>
      <c r="W43" s="36"/>
      <c r="Z43" s="35"/>
      <c r="AA43" s="35" t="str">
        <f t="shared" si="6"/>
        <v/>
      </c>
    </row>
    <row r="44" spans="1:27" x14ac:dyDescent="0.25">
      <c r="A44" s="31"/>
      <c r="B44" s="32"/>
      <c r="C44" s="32"/>
      <c r="E44" s="31" t="str">
        <f t="shared" si="0"/>
        <v/>
      </c>
      <c r="F44" s="31" t="str">
        <f t="shared" si="1"/>
        <v/>
      </c>
      <c r="G44" s="31" t="str">
        <f t="shared" si="2"/>
        <v/>
      </c>
      <c r="H44" s="31" t="str">
        <f t="shared" si="3"/>
        <v/>
      </c>
      <c r="I44" s="31" t="str">
        <f t="shared" si="4"/>
        <v/>
      </c>
      <c r="J44" s="31" t="str">
        <f t="shared" si="5"/>
        <v/>
      </c>
      <c r="L44" s="33">
        <v>195</v>
      </c>
      <c r="M44" s="34">
        <f>$B111+$B110*COS(RADIANS(L44))+$B109*SIN(RADIANS(L44))</f>
        <v>-2.5556212170019699E-3</v>
      </c>
      <c r="N44" s="34">
        <f>$B137+$B136*COS(RADIANS(L44))+$B135*SIN(RADIANS(L44))</f>
        <v>-3.8827704182104416E-4</v>
      </c>
      <c r="T44" s="36"/>
      <c r="U44" s="36"/>
      <c r="V44" s="36"/>
      <c r="W44" s="36"/>
      <c r="Z44" s="35"/>
      <c r="AA44" s="35" t="str">
        <f t="shared" si="6"/>
        <v/>
      </c>
    </row>
    <row r="45" spans="1:27" x14ac:dyDescent="0.25">
      <c r="A45" s="31"/>
      <c r="B45" s="32"/>
      <c r="C45" s="32"/>
      <c r="E45" s="31" t="str">
        <f t="shared" si="0"/>
        <v/>
      </c>
      <c r="F45" s="31" t="str">
        <f t="shared" si="1"/>
        <v/>
      </c>
      <c r="G45" s="31" t="str">
        <f t="shared" si="2"/>
        <v/>
      </c>
      <c r="H45" s="31" t="str">
        <f t="shared" si="3"/>
        <v/>
      </c>
      <c r="I45" s="31" t="str">
        <f t="shared" si="4"/>
        <v/>
      </c>
      <c r="J45" s="31" t="str">
        <f t="shared" si="5"/>
        <v/>
      </c>
      <c r="L45" s="33">
        <v>200</v>
      </c>
      <c r="M45" s="34">
        <f>$B111+$B110*COS(RADIANS(L45))+$B109*SIN(RADIANS(L45))</f>
        <v>-2.5328690198687591E-3</v>
      </c>
      <c r="N45" s="34">
        <f>$B137+$B136*COS(RADIANS(L45))+$B135*SIN(RADIANS(L45))</f>
        <v>-6.3563200651432555E-4</v>
      </c>
      <c r="T45" s="36"/>
      <c r="U45" s="36"/>
      <c r="V45" s="36"/>
      <c r="W45" s="36"/>
      <c r="Z45" s="35"/>
      <c r="AA45" s="35" t="str">
        <f t="shared" si="6"/>
        <v/>
      </c>
    </row>
    <row r="46" spans="1:27" x14ac:dyDescent="0.25">
      <c r="A46" s="31"/>
      <c r="B46" s="32"/>
      <c r="C46" s="32"/>
      <c r="E46" s="31" t="str">
        <f t="shared" si="0"/>
        <v/>
      </c>
      <c r="F46" s="31" t="str">
        <f t="shared" si="1"/>
        <v/>
      </c>
      <c r="G46" s="31" t="str">
        <f t="shared" si="2"/>
        <v/>
      </c>
      <c r="H46" s="31" t="str">
        <f t="shared" si="3"/>
        <v/>
      </c>
      <c r="I46" s="31" t="str">
        <f t="shared" si="4"/>
        <v/>
      </c>
      <c r="J46" s="31" t="str">
        <f t="shared" si="5"/>
        <v/>
      </c>
      <c r="L46" s="33">
        <v>205</v>
      </c>
      <c r="M46" s="34">
        <f>$B111+$B110*COS(RADIANS(L46))+$B109*SIN(RADIANS(L46))</f>
        <v>-2.4905651900473565E-3</v>
      </c>
      <c r="N46" s="34">
        <f>$B137+$B136*COS(RADIANS(L46))+$B135*SIN(RADIANS(L46))</f>
        <v>-8.7915539216025865E-4</v>
      </c>
      <c r="T46" s="36"/>
      <c r="U46" s="36"/>
      <c r="V46" s="36"/>
      <c r="W46" s="36"/>
      <c r="Z46" s="35"/>
      <c r="AA46" s="35" t="str">
        <f t="shared" si="6"/>
        <v/>
      </c>
    </row>
    <row r="47" spans="1:27" x14ac:dyDescent="0.25">
      <c r="A47" s="31"/>
      <c r="B47" s="32"/>
      <c r="C47" s="32"/>
      <c r="E47" s="31" t="str">
        <f t="shared" si="0"/>
        <v/>
      </c>
      <c r="F47" s="31" t="str">
        <f t="shared" si="1"/>
        <v/>
      </c>
      <c r="G47" s="31" t="str">
        <f t="shared" si="2"/>
        <v/>
      </c>
      <c r="H47" s="31" t="str">
        <f t="shared" si="3"/>
        <v/>
      </c>
      <c r="I47" s="31" t="str">
        <f t="shared" si="4"/>
        <v/>
      </c>
      <c r="J47" s="31" t="str">
        <f t="shared" si="5"/>
        <v/>
      </c>
      <c r="L47" s="33">
        <v>210</v>
      </c>
      <c r="M47" s="34">
        <f>$B111+$B110*COS(RADIANS(L47))+$B109*SIN(RADIANS(L47))</f>
        <v>-2.4290316852264519E-3</v>
      </c>
      <c r="N47" s="34">
        <f>$B137+$B136*COS(RADIANS(L47))+$B135*SIN(RADIANS(L47))</f>
        <v>-1.1169938387506381E-3</v>
      </c>
      <c r="T47" s="36"/>
      <c r="U47" s="36"/>
      <c r="V47" s="36"/>
      <c r="W47" s="36"/>
      <c r="Z47" s="35"/>
      <c r="AA47" s="35" t="str">
        <f t="shared" si="6"/>
        <v/>
      </c>
    </row>
    <row r="48" spans="1:27" x14ac:dyDescent="0.25">
      <c r="A48" s="31"/>
      <c r="B48" s="32"/>
      <c r="C48" s="32"/>
      <c r="E48" s="31" t="str">
        <f t="shared" si="0"/>
        <v/>
      </c>
      <c r="F48" s="31" t="str">
        <f t="shared" si="1"/>
        <v/>
      </c>
      <c r="G48" s="31" t="str">
        <f t="shared" si="2"/>
        <v/>
      </c>
      <c r="H48" s="31" t="str">
        <f t="shared" si="3"/>
        <v/>
      </c>
      <c r="I48" s="31" t="str">
        <f t="shared" si="4"/>
        <v/>
      </c>
      <c r="J48" s="31" t="str">
        <f t="shared" si="5"/>
        <v/>
      </c>
      <c r="L48" s="33">
        <v>215</v>
      </c>
      <c r="M48" s="34">
        <f>$B111+$B110*COS(RADIANS(L48))+$B109*SIN(RADIANS(L48))</f>
        <v>-2.3487368125326802E-3</v>
      </c>
      <c r="N48" s="34">
        <f>$B137+$B136*COS(RADIANS(L48))+$B135*SIN(RADIANS(L48))</f>
        <v>-1.3473372520961284E-3</v>
      </c>
      <c r="T48" s="36"/>
      <c r="U48" s="36"/>
      <c r="V48" s="36"/>
      <c r="W48" s="36"/>
      <c r="Z48" s="35"/>
      <c r="AA48" s="35" t="str">
        <f t="shared" si="6"/>
        <v/>
      </c>
    </row>
    <row r="49" spans="1:27" x14ac:dyDescent="0.25">
      <c r="A49" s="31"/>
      <c r="B49" s="32"/>
      <c r="C49" s="32"/>
      <c r="E49" s="31" t="str">
        <f t="shared" si="0"/>
        <v/>
      </c>
      <c r="F49" s="31" t="str">
        <f t="shared" si="1"/>
        <v/>
      </c>
      <c r="G49" s="31" t="str">
        <f t="shared" si="2"/>
        <v/>
      </c>
      <c r="H49" s="31" t="str">
        <f t="shared" si="3"/>
        <v/>
      </c>
      <c r="I49" s="31" t="str">
        <f t="shared" si="4"/>
        <v/>
      </c>
      <c r="J49" s="31" t="str">
        <f t="shared" si="5"/>
        <v/>
      </c>
      <c r="L49" s="33">
        <v>220</v>
      </c>
      <c r="M49" s="34">
        <f>$B111+$B110*COS(RADIANS(L49))+$B109*SIN(RADIANS(L49))</f>
        <v>-2.2502916644306097E-3</v>
      </c>
      <c r="N49" s="34">
        <f>$B137+$B136*COS(RADIANS(L49))+$B135*SIN(RADIANS(L49))</f>
        <v>-1.5684325797360162E-3</v>
      </c>
      <c r="T49" s="36"/>
      <c r="U49" s="36"/>
      <c r="V49" s="36"/>
      <c r="W49" s="36"/>
      <c r="Z49" s="35"/>
      <c r="AA49" s="35" t="str">
        <f t="shared" si="6"/>
        <v/>
      </c>
    </row>
    <row r="50" spans="1:27" x14ac:dyDescent="0.25">
      <c r="A50" s="31"/>
      <c r="B50" s="32"/>
      <c r="C50" s="32"/>
      <c r="E50" s="31" t="str">
        <f t="shared" si="0"/>
        <v/>
      </c>
      <c r="F50" s="31" t="str">
        <f t="shared" si="1"/>
        <v/>
      </c>
      <c r="G50" s="31" t="str">
        <f t="shared" si="2"/>
        <v/>
      </c>
      <c r="H50" s="31" t="str">
        <f t="shared" si="3"/>
        <v/>
      </c>
      <c r="I50" s="31" t="str">
        <f t="shared" si="4"/>
        <v/>
      </c>
      <c r="J50" s="31" t="str">
        <f t="shared" si="5"/>
        <v/>
      </c>
      <c r="L50" s="33">
        <v>225</v>
      </c>
      <c r="M50" s="34">
        <f>$B111+$B110*COS(RADIANS(L50))+$B109*SIN(RADIANS(L50))</f>
        <v>-2.1344454679401042E-3</v>
      </c>
      <c r="N50" s="34">
        <f>$B137+$B136*COS(RADIANS(L50))+$B135*SIN(RADIANS(L50))</f>
        <v>-1.7785971527259526E-3</v>
      </c>
      <c r="T50" s="36"/>
      <c r="U50" s="36"/>
      <c r="V50" s="36"/>
      <c r="W50" s="36"/>
      <c r="Z50" s="35"/>
      <c r="AA50" s="35" t="str">
        <f t="shared" si="6"/>
        <v/>
      </c>
    </row>
    <row r="51" spans="1:27" x14ac:dyDescent="0.25">
      <c r="A51" s="31"/>
      <c r="B51" s="32"/>
      <c r="C51" s="32"/>
      <c r="E51" s="31" t="str">
        <f t="shared" si="0"/>
        <v/>
      </c>
      <c r="F51" s="31" t="str">
        <f t="shared" si="1"/>
        <v/>
      </c>
      <c r="G51" s="31" t="str">
        <f t="shared" si="2"/>
        <v/>
      </c>
      <c r="H51" s="31" t="str">
        <f t="shared" si="3"/>
        <v/>
      </c>
      <c r="I51" s="31" t="str">
        <f t="shared" si="4"/>
        <v/>
      </c>
      <c r="J51" s="31" t="str">
        <f t="shared" si="5"/>
        <v/>
      </c>
      <c r="L51" s="33">
        <v>230</v>
      </c>
      <c r="M51" s="34">
        <f>$B111+$B110*COS(RADIANS(L51))+$B109*SIN(RADIANS(L51))</f>
        <v>-2.0020798825663003E-3</v>
      </c>
      <c r="N51" s="34">
        <f>$B137+$B136*COS(RADIANS(L51))+$B135*SIN(RADIANS(L51))</f>
        <v>-1.9762314917646457E-3</v>
      </c>
      <c r="T51" s="36"/>
      <c r="U51" s="36"/>
      <c r="V51" s="36"/>
      <c r="W51" s="36"/>
      <c r="Z51" s="35"/>
      <c r="AA51" s="35" t="str">
        <f t="shared" si="6"/>
        <v/>
      </c>
    </row>
    <row r="52" spans="1:27" x14ac:dyDescent="0.25">
      <c r="A52" s="31"/>
      <c r="B52" s="32"/>
      <c r="C52" s="32"/>
      <c r="E52" s="31" t="str">
        <f t="shared" si="0"/>
        <v/>
      </c>
      <c r="F52" s="31" t="str">
        <f t="shared" si="1"/>
        <v/>
      </c>
      <c r="G52" s="31" t="str">
        <f t="shared" si="2"/>
        <v/>
      </c>
      <c r="H52" s="31" t="str">
        <f t="shared" si="3"/>
        <v/>
      </c>
      <c r="I52" s="31" t="str">
        <f t="shared" si="4"/>
        <v/>
      </c>
      <c r="J52" s="31" t="str">
        <f t="shared" si="5"/>
        <v/>
      </c>
      <c r="L52" s="33">
        <v>235</v>
      </c>
      <c r="M52" s="34">
        <f>$B111+$B110*COS(RADIANS(L52))+$B109*SIN(RADIANS(L52))</f>
        <v>-1.8542022903384201E-3</v>
      </c>
      <c r="N52" s="34">
        <f>$B137+$B136*COS(RADIANS(L52))+$B135*SIN(RADIANS(L52))</f>
        <v>-2.1598314801971339E-3</v>
      </c>
      <c r="T52" s="36"/>
      <c r="U52" s="36"/>
      <c r="V52" s="36"/>
      <c r="W52" s="36"/>
      <c r="Z52" s="35"/>
      <c r="AA52" s="35" t="str">
        <f t="shared" si="6"/>
        <v/>
      </c>
    </row>
    <row r="53" spans="1:27" x14ac:dyDescent="0.25">
      <c r="A53" s="31"/>
      <c r="B53" s="32"/>
      <c r="C53" s="32"/>
      <c r="E53" s="31" t="str">
        <f t="shared" si="0"/>
        <v/>
      </c>
      <c r="F53" s="31" t="str">
        <f t="shared" si="1"/>
        <v/>
      </c>
      <c r="G53" s="31" t="str">
        <f t="shared" si="2"/>
        <v/>
      </c>
      <c r="H53" s="31" t="str">
        <f t="shared" si="3"/>
        <v/>
      </c>
      <c r="I53" s="31" t="str">
        <f t="shared" si="4"/>
        <v/>
      </c>
      <c r="J53" s="31" t="str">
        <f t="shared" si="5"/>
        <v/>
      </c>
      <c r="L53" s="33">
        <v>240</v>
      </c>
      <c r="M53" s="34">
        <f>$B111+$B110*COS(RADIANS(L53))+$B109*SIN(RADIANS(L53))</f>
        <v>-1.6919381290242486E-3</v>
      </c>
      <c r="N53" s="34">
        <f>$B137+$B136*COS(RADIANS(L53))+$B135*SIN(RADIANS(L53))</f>
        <v>-2.3279998112507427E-3</v>
      </c>
      <c r="T53" s="36"/>
      <c r="U53" s="36"/>
      <c r="V53" s="36"/>
      <c r="W53" s="36"/>
      <c r="Z53" s="35"/>
      <c r="AA53" s="35" t="str">
        <f t="shared" si="6"/>
        <v/>
      </c>
    </row>
    <row r="54" spans="1:27" x14ac:dyDescent="0.25">
      <c r="A54" s="31"/>
      <c r="B54" s="32"/>
      <c r="C54" s="32"/>
      <c r="E54" s="31" t="str">
        <f t="shared" si="0"/>
        <v/>
      </c>
      <c r="F54" s="31" t="str">
        <f t="shared" si="1"/>
        <v/>
      </c>
      <c r="G54" s="31" t="str">
        <f t="shared" si="2"/>
        <v/>
      </c>
      <c r="H54" s="31" t="str">
        <f t="shared" si="3"/>
        <v/>
      </c>
      <c r="I54" s="31" t="str">
        <f t="shared" si="4"/>
        <v/>
      </c>
      <c r="J54" s="31" t="str">
        <f t="shared" si="5"/>
        <v/>
      </c>
      <c r="L54" s="33">
        <v>245</v>
      </c>
      <c r="M54" s="34">
        <f>$B111+$B110*COS(RADIANS(L54))+$B109*SIN(RADIANS(L54))</f>
        <v>-1.5165223268691639E-3</v>
      </c>
      <c r="N54" s="34">
        <f>$B137+$B136*COS(RADIANS(L54))+$B135*SIN(RADIANS(L54))</f>
        <v>-2.4794566223833407E-3</v>
      </c>
      <c r="T54" s="36"/>
      <c r="U54" s="36"/>
      <c r="V54" s="36"/>
      <c r="W54" s="36"/>
      <c r="Z54" s="35"/>
      <c r="AA54" s="35" t="str">
        <f t="shared" si="6"/>
        <v/>
      </c>
    </row>
    <row r="55" spans="1:27" x14ac:dyDescent="0.25">
      <c r="A55" s="31"/>
      <c r="B55" s="32"/>
      <c r="C55" s="32"/>
      <c r="E55" s="31" t="str">
        <f t="shared" si="0"/>
        <v/>
      </c>
      <c r="F55" s="31" t="str">
        <f t="shared" si="1"/>
        <v/>
      </c>
      <c r="G55" s="31" t="str">
        <f t="shared" si="2"/>
        <v/>
      </c>
      <c r="H55" s="31" t="str">
        <f t="shared" si="3"/>
        <v/>
      </c>
      <c r="I55" s="31" t="str">
        <f t="shared" si="4"/>
        <v/>
      </c>
      <c r="J55" s="31" t="str">
        <f t="shared" si="5"/>
        <v/>
      </c>
      <c r="L55" s="33">
        <v>250</v>
      </c>
      <c r="M55" s="34">
        <f>$B111+$B110*COS(RADIANS(L55))+$B109*SIN(RADIANS(L55))</f>
        <v>-1.3292899040465273E-3</v>
      </c>
      <c r="N55" s="34">
        <f>$B137+$B136*COS(RADIANS(L55))+$B135*SIN(RADIANS(L55))</f>
        <v>-2.6130492358100821E-3</v>
      </c>
      <c r="T55" s="36"/>
      <c r="U55" s="36"/>
      <c r="V55" s="36"/>
      <c r="W55" s="36"/>
      <c r="Z55" s="35"/>
      <c r="AA55" s="35" t="str">
        <f t="shared" si="6"/>
        <v/>
      </c>
    </row>
    <row r="56" spans="1:27" x14ac:dyDescent="0.25">
      <c r="A56" s="31"/>
      <c r="B56" s="32"/>
      <c r="C56" s="32"/>
      <c r="E56" s="31" t="str">
        <f t="shared" si="0"/>
        <v/>
      </c>
      <c r="F56" s="31" t="str">
        <f t="shared" si="1"/>
        <v/>
      </c>
      <c r="G56" s="31" t="str">
        <f t="shared" si="2"/>
        <v/>
      </c>
      <c r="H56" s="31" t="str">
        <f t="shared" si="3"/>
        <v/>
      </c>
      <c r="I56" s="31" t="str">
        <f t="shared" si="4"/>
        <v/>
      </c>
      <c r="J56" s="31" t="str">
        <f t="shared" si="5"/>
        <v/>
      </c>
      <c r="L56" s="33">
        <v>255</v>
      </c>
      <c r="M56" s="34">
        <f>$B111+$B110*COS(RADIANS(L56))+$B109*SIN(RADIANS(L56))</f>
        <v>-1.1316658123480454E-3</v>
      </c>
      <c r="N56" s="34">
        <f>$B137+$B136*COS(RADIANS(L56))+$B135*SIN(RADIANS(L56))</f>
        <v>-2.7277609310773668E-3</v>
      </c>
      <c r="T56" s="36"/>
      <c r="U56" s="36"/>
      <c r="V56" s="36"/>
      <c r="W56" s="36"/>
      <c r="Z56" s="35"/>
      <c r="AA56" s="35" t="str">
        <f t="shared" si="6"/>
        <v/>
      </c>
    </row>
    <row r="57" spans="1:27" x14ac:dyDescent="0.25">
      <c r="A57" s="31"/>
      <c r="B57" s="32"/>
      <c r="C57" s="32"/>
      <c r="E57" s="31" t="str">
        <f t="shared" si="0"/>
        <v/>
      </c>
      <c r="F57" s="31" t="str">
        <f t="shared" si="1"/>
        <v/>
      </c>
      <c r="G57" s="31" t="str">
        <f t="shared" si="2"/>
        <v/>
      </c>
      <c r="H57" s="31" t="str">
        <f t="shared" si="3"/>
        <v/>
      </c>
      <c r="I57" s="31" t="str">
        <f t="shared" si="4"/>
        <v/>
      </c>
      <c r="J57" s="31" t="str">
        <f t="shared" si="5"/>
        <v/>
      </c>
      <c r="L57" s="33">
        <v>260</v>
      </c>
      <c r="M57" s="34">
        <f>$B111+$B110*COS(RADIANS(L57))+$B109*SIN(RADIANS(L57))</f>
        <v>-9.2515409044023242E-4</v>
      </c>
      <c r="N57" s="34">
        <f>$B137+$B136*COS(RADIANS(L57))+$B135*SIN(RADIANS(L57))</f>
        <v>-2.8227186829193947E-3</v>
      </c>
      <c r="T57" s="36"/>
      <c r="U57" s="36"/>
      <c r="V57" s="36"/>
      <c r="W57" s="36"/>
      <c r="Z57" s="35"/>
      <c r="AA57" s="35" t="str">
        <f t="shared" si="6"/>
        <v/>
      </c>
    </row>
    <row r="58" spans="1:27" x14ac:dyDescent="0.25">
      <c r="A58" s="31"/>
      <c r="B58" s="32"/>
      <c r="C58" s="32"/>
      <c r="E58" s="31" t="str">
        <f t="shared" si="0"/>
        <v/>
      </c>
      <c r="F58" s="31" t="str">
        <f t="shared" si="1"/>
        <v/>
      </c>
      <c r="G58" s="31" t="str">
        <f t="shared" si="2"/>
        <v/>
      </c>
      <c r="H58" s="31" t="str">
        <f t="shared" si="3"/>
        <v/>
      </c>
      <c r="I58" s="31" t="str">
        <f t="shared" si="4"/>
        <v/>
      </c>
      <c r="J58" s="31" t="str">
        <f t="shared" si="5"/>
        <v/>
      </c>
      <c r="L58" s="33">
        <v>265</v>
      </c>
      <c r="M58" s="34">
        <f>$B111+$B110*COS(RADIANS(L58))+$B109*SIN(RADIANS(L58))</f>
        <v>-7.1132641722199434E-4</v>
      </c>
      <c r="N58" s="34">
        <f>$B137+$B136*COS(RADIANS(L58))+$B135*SIN(RADIANS(L58))</f>
        <v>-2.8971998055075904E-3</v>
      </c>
      <c r="T58" s="36"/>
      <c r="U58" s="36"/>
      <c r="V58" s="36"/>
      <c r="W58" s="36"/>
      <c r="Z58" s="35"/>
      <c r="AA58" s="35" t="str">
        <f t="shared" si="6"/>
        <v/>
      </c>
    </row>
    <row r="59" spans="1:27" x14ac:dyDescent="0.25">
      <c r="A59" s="31"/>
      <c r="B59" s="32"/>
      <c r="C59" s="32"/>
      <c r="E59" s="31" t="str">
        <f t="shared" si="0"/>
        <v/>
      </c>
      <c r="F59" s="31" t="str">
        <f t="shared" si="1"/>
        <v/>
      </c>
      <c r="G59" s="31" t="str">
        <f t="shared" si="2"/>
        <v/>
      </c>
      <c r="H59" s="31" t="str">
        <f t="shared" si="3"/>
        <v/>
      </c>
      <c r="I59" s="31" t="str">
        <f t="shared" si="4"/>
        <v/>
      </c>
      <c r="J59" s="31" t="str">
        <f t="shared" si="5"/>
        <v/>
      </c>
      <c r="L59" s="33">
        <v>270</v>
      </c>
      <c r="M59" s="34">
        <f>$B111+$B110*COS(RADIANS(L59))+$B109*SIN(RADIANS(L59))</f>
        <v>-4.9181015039920055E-4</v>
      </c>
      <c r="N59" s="34">
        <f>$B137+$B136*COS(RADIANS(L59))+$B135*SIN(RADIANS(L59))</f>
        <v>-2.950637452526125E-3</v>
      </c>
      <c r="T59" s="36"/>
      <c r="U59" s="36"/>
      <c r="V59" s="36"/>
      <c r="W59" s="36"/>
      <c r="Z59" s="35"/>
      <c r="AA59" s="35" t="str">
        <f t="shared" si="6"/>
        <v/>
      </c>
    </row>
    <row r="60" spans="1:27" x14ac:dyDescent="0.25">
      <c r="A60" s="31"/>
      <c r="B60" s="32"/>
      <c r="C60" s="32"/>
      <c r="E60" s="31" t="str">
        <f t="shared" si="0"/>
        <v/>
      </c>
      <c r="F60" s="31" t="str">
        <f t="shared" si="1"/>
        <v/>
      </c>
      <c r="G60" s="31" t="str">
        <f t="shared" si="2"/>
        <v/>
      </c>
      <c r="H60" s="31" t="str">
        <f t="shared" si="3"/>
        <v/>
      </c>
      <c r="I60" s="31" t="str">
        <f t="shared" si="4"/>
        <v/>
      </c>
      <c r="J60" s="31" t="str">
        <f t="shared" si="5"/>
        <v/>
      </c>
      <c r="L60" s="33">
        <v>275</v>
      </c>
      <c r="M60" s="34">
        <f>$B111+$B110*COS(RADIANS(L60))+$B109*SIN(RADIANS(L60))</f>
        <v>-2.6827594130991863E-4</v>
      </c>
      <c r="N60" s="34">
        <f>$B137+$B136*COS(RADIANS(L60))+$B135*SIN(RADIANS(L60))</f>
        <v>-2.982624931214655E-3</v>
      </c>
      <c r="T60" s="36"/>
      <c r="U60" s="36"/>
      <c r="V60" s="36"/>
      <c r="W60" s="36"/>
      <c r="Z60" s="35"/>
      <c r="AA60" s="35" t="str">
        <f t="shared" si="6"/>
        <v/>
      </c>
    </row>
    <row r="61" spans="1:27" x14ac:dyDescent="0.25">
      <c r="A61" s="31"/>
      <c r="B61" s="32"/>
      <c r="C61" s="32"/>
      <c r="E61" s="31" t="str">
        <f t="shared" si="0"/>
        <v/>
      </c>
      <c r="F61" s="31" t="str">
        <f t="shared" si="1"/>
        <v/>
      </c>
      <c r="G61" s="31" t="str">
        <f t="shared" si="2"/>
        <v/>
      </c>
      <c r="H61" s="31" t="str">
        <f t="shared" si="3"/>
        <v/>
      </c>
      <c r="I61" s="31" t="str">
        <f t="shared" si="4"/>
        <v/>
      </c>
      <c r="J61" s="31" t="str">
        <f t="shared" si="5"/>
        <v/>
      </c>
      <c r="L61" s="33">
        <v>280</v>
      </c>
      <c r="M61" s="34">
        <f>$B111+$B110*COS(RADIANS(L61))+$B109*SIN(RADIANS(L61))</f>
        <v>-4.2425020258963792E-5</v>
      </c>
      <c r="N61" s="34">
        <f>$B137+$B136*COS(RADIANS(L61))+$B135*SIN(RADIANS(L61))</f>
        <v>-2.9929187975457927E-3</v>
      </c>
      <c r="T61" s="36"/>
      <c r="U61" s="36"/>
      <c r="V61" s="36"/>
      <c r="W61" s="36"/>
      <c r="Z61" s="35"/>
      <c r="AA61" s="35" t="str">
        <f t="shared" si="6"/>
        <v/>
      </c>
    </row>
    <row r="62" spans="1:27" x14ac:dyDescent="0.25">
      <c r="A62" s="31"/>
      <c r="B62" s="32"/>
      <c r="C62" s="32"/>
      <c r="E62" s="31" t="str">
        <f t="shared" si="0"/>
        <v/>
      </c>
      <c r="F62" s="31" t="str">
        <f t="shared" si="1"/>
        <v/>
      </c>
      <c r="G62" s="31" t="str">
        <f t="shared" si="2"/>
        <v/>
      </c>
      <c r="H62" s="31" t="str">
        <f t="shared" si="3"/>
        <v/>
      </c>
      <c r="I62" s="31" t="str">
        <f t="shared" si="4"/>
        <v/>
      </c>
      <c r="J62" s="31" t="str">
        <f t="shared" si="5"/>
        <v/>
      </c>
      <c r="L62" s="33">
        <v>285</v>
      </c>
      <c r="M62" s="34">
        <f>$B111+$B110*COS(RADIANS(L62))+$B109*SIN(RADIANS(L62))</f>
        <v>1.8402375087195159E-4</v>
      </c>
      <c r="N62" s="34">
        <f>$B137+$B136*COS(RADIANS(L62))+$B135*SIN(RADIANS(L62))</f>
        <v>-2.9814407089811513E-3</v>
      </c>
      <c r="T62" s="36"/>
      <c r="U62" s="36"/>
      <c r="V62" s="36"/>
      <c r="W62" s="36"/>
      <c r="Z62" s="35"/>
      <c r="AA62" s="35" t="str">
        <f t="shared" si="6"/>
        <v/>
      </c>
    </row>
    <row r="63" spans="1:27" x14ac:dyDescent="0.25">
      <c r="A63" s="31"/>
      <c r="B63" s="32"/>
      <c r="C63" s="32"/>
      <c r="E63" s="31" t="str">
        <f t="shared" si="0"/>
        <v/>
      </c>
      <c r="F63" s="31" t="str">
        <f t="shared" si="1"/>
        <v/>
      </c>
      <c r="G63" s="31" t="str">
        <f t="shared" si="2"/>
        <v/>
      </c>
      <c r="H63" s="31" t="str">
        <f t="shared" si="3"/>
        <v/>
      </c>
      <c r="I63" s="31" t="str">
        <f t="shared" si="4"/>
        <v/>
      </c>
      <c r="J63" s="31" t="str">
        <f t="shared" si="5"/>
        <v/>
      </c>
      <c r="L63" s="33">
        <v>290</v>
      </c>
      <c r="M63" s="34">
        <f>$B111+$B110*COS(RADIANS(L63))+$B109*SIN(RADIANS(L63))</f>
        <v>4.0934696020101689E-4</v>
      </c>
      <c r="N63" s="34">
        <f>$B137+$B136*COS(RADIANS(L63))+$B135*SIN(RADIANS(L63))</f>
        <v>-2.9482780207053679E-3</v>
      </c>
      <c r="T63" s="36"/>
      <c r="U63" s="36"/>
      <c r="V63" s="36"/>
      <c r="W63" s="36"/>
      <c r="Z63" s="35"/>
      <c r="AA63" s="35" t="str">
        <f t="shared" si="6"/>
        <v/>
      </c>
    </row>
    <row r="64" spans="1:27" x14ac:dyDescent="0.25">
      <c r="A64" s="31"/>
      <c r="B64" s="32"/>
      <c r="C64" s="32"/>
      <c r="E64" s="31" t="str">
        <f t="shared" si="0"/>
        <v/>
      </c>
      <c r="F64" s="31" t="str">
        <f t="shared" si="1"/>
        <v/>
      </c>
      <c r="G64" s="31" t="str">
        <f t="shared" si="2"/>
        <v/>
      </c>
      <c r="H64" s="31" t="str">
        <f t="shared" si="3"/>
        <v/>
      </c>
      <c r="I64" s="31" t="str">
        <f t="shared" si="4"/>
        <v/>
      </c>
      <c r="J64" s="31" t="str">
        <f t="shared" si="5"/>
        <v/>
      </c>
      <c r="L64" s="33">
        <v>295</v>
      </c>
      <c r="M64" s="34">
        <f>$B111+$B110*COS(RADIANS(L64))+$B109*SIN(RADIANS(L64))</f>
        <v>6.3182976205136015E-4</v>
      </c>
      <c r="N64" s="34">
        <f>$B137+$B136*COS(RADIANS(L64))+$B135*SIN(RADIANS(L64))</f>
        <v>-2.8936831208003994E-3</v>
      </c>
      <c r="T64" s="36"/>
      <c r="U64" s="36"/>
      <c r="V64" s="36"/>
      <c r="W64" s="36"/>
      <c r="Z64" s="35"/>
      <c r="AA64" s="35" t="str">
        <f t="shared" si="6"/>
        <v/>
      </c>
    </row>
    <row r="65" spans="1:27" x14ac:dyDescent="0.25">
      <c r="A65" s="31"/>
      <c r="B65" s="32"/>
      <c r="C65" s="32"/>
      <c r="E65" s="31" t="str">
        <f t="shared" si="0"/>
        <v/>
      </c>
      <c r="F65" s="31" t="str">
        <f t="shared" si="1"/>
        <v/>
      </c>
      <c r="G65" s="31" t="str">
        <f t="shared" si="2"/>
        <v/>
      </c>
      <c r="H65" s="31" t="str">
        <f t="shared" si="3"/>
        <v/>
      </c>
      <c r="I65" s="31" t="str">
        <f t="shared" si="4"/>
        <v/>
      </c>
      <c r="J65" s="31" t="str">
        <f t="shared" si="5"/>
        <v/>
      </c>
      <c r="L65" s="33">
        <v>300</v>
      </c>
      <c r="M65" s="34">
        <f>$B111+$B110*COS(RADIANS(L65))+$B109*SIN(RADIANS(L65))</f>
        <v>8.4977892796211344E-4</v>
      </c>
      <c r="N65" s="34">
        <f>$B137+$B136*COS(RADIANS(L65))+$B135*SIN(RADIANS(L65))</f>
        <v>-2.8180715094198241E-3</v>
      </c>
      <c r="T65" s="36"/>
      <c r="U65" s="36"/>
      <c r="V65" s="36"/>
      <c r="W65" s="36"/>
      <c r="Z65" s="35"/>
      <c r="AA65" s="35" t="str">
        <f t="shared" si="6"/>
        <v/>
      </c>
    </row>
    <row r="66" spans="1:27" x14ac:dyDescent="0.25">
      <c r="A66" s="31"/>
      <c r="B66" s="32"/>
      <c r="C66" s="32"/>
      <c r="E66" s="31" t="str">
        <f t="shared" si="0"/>
        <v/>
      </c>
      <c r="F66" s="31" t="str">
        <f t="shared" si="1"/>
        <v/>
      </c>
      <c r="G66" s="31" t="str">
        <f t="shared" si="2"/>
        <v/>
      </c>
      <c r="H66" s="31" t="str">
        <f t="shared" si="3"/>
        <v/>
      </c>
      <c r="I66" s="31" t="str">
        <f t="shared" si="4"/>
        <v/>
      </c>
      <c r="J66" s="31" t="str">
        <f t="shared" si="5"/>
        <v/>
      </c>
      <c r="L66" s="33">
        <v>305</v>
      </c>
      <c r="M66" s="34">
        <f>$B111+$B110*COS(RADIANS(L66))+$B109*SIN(RADIANS(L66))</f>
        <v>1.0615357331793915E-3</v>
      </c>
      <c r="N66" s="34">
        <f>$B137+$B136*COS(RADIANS(L66))+$B135*SIN(RADIANS(L66))</f>
        <v>-2.7220186365817887E-3</v>
      </c>
      <c r="T66" s="36"/>
      <c r="U66" s="36"/>
      <c r="V66" s="36"/>
      <c r="W66" s="36"/>
      <c r="Z66" s="35"/>
      <c r="AA66" s="35" t="str">
        <f t="shared" si="6"/>
        <v/>
      </c>
    </row>
    <row r="67" spans="1:27" x14ac:dyDescent="0.25">
      <c r="A67" s="31"/>
      <c r="B67" s="32"/>
      <c r="C67" s="32"/>
      <c r="E67" s="31" t="str">
        <f t="shared" si="0"/>
        <v/>
      </c>
      <c r="F67" s="31" t="str">
        <f t="shared" si="1"/>
        <v/>
      </c>
      <c r="G67" s="31" t="str">
        <f t="shared" si="2"/>
        <v/>
      </c>
      <c r="H67" s="31" t="str">
        <f t="shared" si="3"/>
        <v/>
      </c>
      <c r="I67" s="31" t="str">
        <f t="shared" si="4"/>
        <v/>
      </c>
      <c r="J67" s="31" t="str">
        <f t="shared" si="5"/>
        <v/>
      </c>
      <c r="L67" s="33">
        <v>310</v>
      </c>
      <c r="M67" s="34">
        <f>$B111+$B110*COS(RADIANS(L67))+$B109*SIN(RADIANS(L67))</f>
        <v>1.2654885805532361E-3</v>
      </c>
      <c r="N67" s="34">
        <f>$B137+$B136*COS(RADIANS(L67))+$B135*SIN(RADIANS(L67))</f>
        <v>-2.6062555226468997E-3</v>
      </c>
      <c r="T67" s="36"/>
      <c r="U67" s="36"/>
      <c r="V67" s="36"/>
      <c r="W67" s="36"/>
      <c r="Z67" s="35"/>
      <c r="AA67" s="35" t="str">
        <f t="shared" si="6"/>
        <v/>
      </c>
    </row>
    <row r="68" spans="1:27" x14ac:dyDescent="0.25">
      <c r="A68" s="31"/>
      <c r="B68" s="32"/>
      <c r="C68" s="32"/>
      <c r="E68" s="31" t="str">
        <f t="shared" si="0"/>
        <v/>
      </c>
      <c r="F68" s="31" t="str">
        <f t="shared" si="1"/>
        <v/>
      </c>
      <c r="G68" s="31" t="str">
        <f t="shared" si="2"/>
        <v/>
      </c>
      <c r="H68" s="31" t="str">
        <f t="shared" si="3"/>
        <v/>
      </c>
      <c r="I68" s="31" t="str">
        <f t="shared" si="4"/>
        <v/>
      </c>
      <c r="J68" s="31" t="str">
        <f t="shared" si="5"/>
        <v/>
      </c>
      <c r="L68" s="33">
        <v>315</v>
      </c>
      <c r="M68" s="34">
        <f>$B111+$B110*COS(RADIANS(L68))+$B109*SIN(RADIANS(L68))</f>
        <v>1.4600852657650361E-3</v>
      </c>
      <c r="N68" s="34">
        <f>$B137+$B136*COS(RADIANS(L68))+$B135*SIN(RADIANS(L68))</f>
        <v>-2.4716631948118813E-3</v>
      </c>
      <c r="T68" s="36"/>
      <c r="U68" s="36"/>
      <c r="V68" s="36"/>
      <c r="W68" s="36"/>
      <c r="Z68" s="35"/>
      <c r="AA68" s="35" t="str">
        <f t="shared" si="6"/>
        <v/>
      </c>
    </row>
    <row r="69" spans="1:27" x14ac:dyDescent="0.25">
      <c r="A69" s="31"/>
      <c r="B69" s="32"/>
      <c r="C69" s="32"/>
      <c r="E69" s="31" t="str">
        <f t="shared" ref="E69:E104" si="7">IF(A69="","",A69)</f>
        <v/>
      </c>
      <c r="F69" s="31" t="str">
        <f t="shared" ref="F69:F104" si="8">IF(E69="","",RADIANS(E69))</f>
        <v/>
      </c>
      <c r="G69" s="31" t="str">
        <f t="shared" ref="G69:G104" si="9">IF(E69="","",COS(F69))</f>
        <v/>
      </c>
      <c r="H69" s="31" t="str">
        <f t="shared" ref="H69:H104" si="10">IF(E69="","",SIN(F69))</f>
        <v/>
      </c>
      <c r="I69" s="31" t="str">
        <f t="shared" ref="I69:I104" si="11">IF(E69="","",COS(2*F69))</f>
        <v/>
      </c>
      <c r="J69" s="31" t="str">
        <f t="shared" ref="J69:J104" si="12">IF(E69="","",SIN(2*F69))</f>
        <v/>
      </c>
      <c r="L69" s="33">
        <v>320</v>
      </c>
      <c r="M69" s="34">
        <f>$B111+$B110*COS(RADIANS(L69))+$B109*SIN(RADIANS(L69))</f>
        <v>1.6438447905396381E-3</v>
      </c>
      <c r="N69" s="34">
        <f>$B137+$B136*COS(RADIANS(L69))+$B135*SIN(RADIANS(L69))</f>
        <v>-2.3192659819606274E-3</v>
      </c>
      <c r="T69" s="36"/>
      <c r="U69" s="36"/>
      <c r="V69" s="36"/>
      <c r="W69" s="36"/>
      <c r="Z69" s="35"/>
      <c r="AA69" s="35" t="str">
        <f t="shared" si="6"/>
        <v/>
      </c>
    </row>
    <row r="70" spans="1:27" x14ac:dyDescent="0.25">
      <c r="A70" s="31"/>
      <c r="B70" s="32"/>
      <c r="C70" s="32"/>
      <c r="E70" s="31" t="str">
        <f t="shared" si="7"/>
        <v/>
      </c>
      <c r="F70" s="31" t="str">
        <f t="shared" si="8"/>
        <v/>
      </c>
      <c r="G70" s="31" t="str">
        <f t="shared" si="9"/>
        <v/>
      </c>
      <c r="H70" s="31" t="str">
        <f t="shared" si="10"/>
        <v/>
      </c>
      <c r="I70" s="31" t="str">
        <f t="shared" si="11"/>
        <v/>
      </c>
      <c r="J70" s="31" t="str">
        <f t="shared" si="12"/>
        <v/>
      </c>
      <c r="L70" s="33">
        <v>325</v>
      </c>
      <c r="M70" s="34">
        <f>$B111+$B110*COS(RADIANS(L70))+$B109*SIN(RADIANS(L70))</f>
        <v>1.8153686339364738E-3</v>
      </c>
      <c r="N70" s="34">
        <f>$B137+$B136*COS(RADIANS(L70))+$B135*SIN(RADIANS(L70))</f>
        <v>-2.1502237189028901E-3</v>
      </c>
      <c r="T70" s="36"/>
      <c r="U70" s="36"/>
      <c r="V70" s="36"/>
      <c r="W70" s="36"/>
      <c r="Z70" s="35"/>
      <c r="AA70" s="35" t="str">
        <f t="shared" si="6"/>
        <v/>
      </c>
    </row>
    <row r="71" spans="1:27" x14ac:dyDescent="0.25">
      <c r="A71" s="31"/>
      <c r="B71" s="32"/>
      <c r="C71" s="32"/>
      <c r="E71" s="31" t="str">
        <f t="shared" si="7"/>
        <v/>
      </c>
      <c r="F71" s="31" t="str">
        <f t="shared" si="8"/>
        <v/>
      </c>
      <c r="G71" s="31" t="str">
        <f t="shared" si="9"/>
        <v/>
      </c>
      <c r="H71" s="31" t="str">
        <f t="shared" si="10"/>
        <v/>
      </c>
      <c r="I71" s="31" t="str">
        <f t="shared" si="11"/>
        <v/>
      </c>
      <c r="J71" s="31" t="str">
        <f t="shared" si="12"/>
        <v/>
      </c>
      <c r="L71" s="33">
        <v>330</v>
      </c>
      <c r="M71" s="34">
        <f>$B111+$B110*COS(RADIANS(L71))+$B109*SIN(RADIANS(L71))</f>
        <v>1.9733513959383632E-3</v>
      </c>
      <c r="N71" s="34">
        <f>$B137+$B136*COS(RADIANS(L71))+$B135*SIN(RADIANS(L71))</f>
        <v>-1.9658229193310461E-3</v>
      </c>
      <c r="T71" s="36"/>
      <c r="U71" s="36"/>
      <c r="V71" s="36"/>
      <c r="W71" s="36"/>
      <c r="Z71" s="35"/>
      <c r="AA71" s="35" t="str">
        <f t="shared" si="6"/>
        <v/>
      </c>
    </row>
    <row r="72" spans="1:27" x14ac:dyDescent="0.25">
      <c r="A72" s="31"/>
      <c r="B72" s="32"/>
      <c r="C72" s="32"/>
      <c r="E72" s="31" t="str">
        <f t="shared" si="7"/>
        <v/>
      </c>
      <c r="F72" s="31" t="str">
        <f t="shared" si="8"/>
        <v/>
      </c>
      <c r="G72" s="31" t="str">
        <f t="shared" si="9"/>
        <v/>
      </c>
      <c r="H72" s="31" t="str">
        <f t="shared" si="10"/>
        <v/>
      </c>
      <c r="I72" s="31" t="str">
        <f t="shared" si="11"/>
        <v/>
      </c>
      <c r="J72" s="31" t="str">
        <f t="shared" si="12"/>
        <v/>
      </c>
      <c r="L72" s="33">
        <v>335</v>
      </c>
      <c r="M72" s="34">
        <f>$B111+$B110*COS(RADIANS(L72))+$B109*SIN(RADIANS(L72))</f>
        <v>2.1165907323338748E-3</v>
      </c>
      <c r="N72" s="34">
        <f>$B137+$B136*COS(RADIANS(L72))+$B135*SIN(RADIANS(L72))</f>
        <v>-1.7674669846740837E-3</v>
      </c>
      <c r="T72" s="36"/>
      <c r="U72" s="36"/>
      <c r="V72" s="36"/>
      <c r="W72" s="36"/>
      <c r="Z72" s="35"/>
      <c r="AA72" s="35" t="str">
        <f t="shared" si="6"/>
        <v/>
      </c>
    </row>
    <row r="73" spans="1:27" x14ac:dyDescent="0.25">
      <c r="A73" s="31"/>
      <c r="B73" s="32"/>
      <c r="C73" s="32"/>
      <c r="E73" s="31" t="str">
        <f t="shared" si="7"/>
        <v/>
      </c>
      <c r="F73" s="31" t="str">
        <f t="shared" si="8"/>
        <v/>
      </c>
      <c r="G73" s="31" t="str">
        <f t="shared" si="9"/>
        <v/>
      </c>
      <c r="H73" s="31" t="str">
        <f t="shared" si="10"/>
        <v/>
      </c>
      <c r="I73" s="31" t="str">
        <f t="shared" si="11"/>
        <v/>
      </c>
      <c r="J73" s="31" t="str">
        <f t="shared" si="12"/>
        <v/>
      </c>
      <c r="L73" s="33">
        <v>340</v>
      </c>
      <c r="M73" s="34">
        <f>$B111+$B110*COS(RADIANS(L73))+$B109*SIN(RADIANS(L73))</f>
        <v>2.2439965052827595E-3</v>
      </c>
      <c r="N73" s="34">
        <f>$B137+$B136*COS(RADIANS(L73))+$B135*SIN(RADIANS(L73))</f>
        <v>-1.5566655233653338E-3</v>
      </c>
      <c r="T73" s="36"/>
      <c r="U73" s="36"/>
      <c r="V73" s="36"/>
      <c r="W73" s="36"/>
      <c r="Z73" s="35"/>
      <c r="AA73" s="35" t="str">
        <f t="shared" si="6"/>
        <v/>
      </c>
    </row>
    <row r="74" spans="1:27" x14ac:dyDescent="0.25">
      <c r="A74" s="31"/>
      <c r="B74" s="32"/>
      <c r="C74" s="32"/>
      <c r="E74" s="31" t="str">
        <f t="shared" si="7"/>
        <v/>
      </c>
      <c r="F74" s="31" t="str">
        <f t="shared" si="8"/>
        <v/>
      </c>
      <c r="G74" s="31" t="str">
        <f t="shared" si="9"/>
        <v/>
      </c>
      <c r="H74" s="31" t="str">
        <f t="shared" si="10"/>
        <v/>
      </c>
      <c r="I74" s="31" t="str">
        <f t="shared" si="11"/>
        <v/>
      </c>
      <c r="J74" s="31" t="str">
        <f t="shared" si="12"/>
        <v/>
      </c>
      <c r="L74" s="33">
        <v>345</v>
      </c>
      <c r="M74" s="34">
        <f>$B111+$B110*COS(RADIANS(L74))+$B109*SIN(RADIANS(L74))</f>
        <v>2.354599079923169E-3</v>
      </c>
      <c r="N74" s="34">
        <f>$B137+$B136*COS(RADIANS(L74))+$B135*SIN(RADIANS(L74))</f>
        <v>-1.3350228618107562E-3</v>
      </c>
      <c r="T74" s="36"/>
      <c r="U74" s="36"/>
      <c r="V74" s="36"/>
      <c r="W74" s="36"/>
      <c r="Z74" s="35"/>
      <c r="AA74" s="35" t="str">
        <f t="shared" si="6"/>
        <v/>
      </c>
    </row>
    <row r="75" spans="1:27" x14ac:dyDescent="0.25">
      <c r="A75" s="31"/>
      <c r="B75" s="32"/>
      <c r="C75" s="32"/>
      <c r="E75" s="31" t="str">
        <f t="shared" si="7"/>
        <v/>
      </c>
      <c r="F75" s="31" t="str">
        <f t="shared" si="8"/>
        <v/>
      </c>
      <c r="G75" s="31" t="str">
        <f t="shared" si="9"/>
        <v/>
      </c>
      <c r="H75" s="31" t="str">
        <f t="shared" si="10"/>
        <v/>
      </c>
      <c r="I75" s="31" t="str">
        <f t="shared" si="11"/>
        <v/>
      </c>
      <c r="J75" s="31" t="str">
        <f t="shared" si="12"/>
        <v/>
      </c>
      <c r="L75" s="33">
        <v>350</v>
      </c>
      <c r="M75" s="34">
        <f>$B111+$B110*COS(RADIANS(L75))+$B109*SIN(RADIANS(L75))</f>
        <v>2.4475567038784282E-3</v>
      </c>
      <c r="N75" s="34">
        <f>$B137+$B136*COS(RADIANS(L75))+$B135*SIN(RADIANS(L75))</f>
        <v>-1.1042258344962797E-3</v>
      </c>
      <c r="T75" s="36"/>
      <c r="U75" s="36"/>
      <c r="V75" s="36"/>
      <c r="W75" s="36"/>
      <c r="Z75" s="35"/>
      <c r="AA75" s="35" t="str">
        <f t="shared" si="6"/>
        <v/>
      </c>
    </row>
    <row r="76" spans="1:27" x14ac:dyDescent="0.25">
      <c r="A76" s="31"/>
      <c r="B76" s="32"/>
      <c r="C76" s="32"/>
      <c r="E76" s="31" t="str">
        <f t="shared" si="7"/>
        <v/>
      </c>
      <c r="F76" s="31" t="str">
        <f t="shared" si="8"/>
        <v/>
      </c>
      <c r="G76" s="31" t="str">
        <f t="shared" si="9"/>
        <v/>
      </c>
      <c r="H76" s="31" t="str">
        <f t="shared" si="10"/>
        <v/>
      </c>
      <c r="I76" s="31" t="str">
        <f t="shared" si="11"/>
        <v/>
      </c>
      <c r="J76" s="31" t="str">
        <f t="shared" si="12"/>
        <v/>
      </c>
      <c r="L76" s="33">
        <v>355</v>
      </c>
      <c r="M76" s="34">
        <f>$B111+$B110*COS(RADIANS(L76))+$B109*SIN(RADIANS(L76))</f>
        <v>2.522161913500891E-3</v>
      </c>
      <c r="N76" s="34">
        <f>$B137+$B136*COS(RADIANS(L76))+$B135*SIN(RADIANS(L76))</f>
        <v>-8.6603094615882279E-4</v>
      </c>
      <c r="T76" s="36"/>
      <c r="U76" s="36"/>
      <c r="V76" s="36"/>
      <c r="W76" s="36"/>
      <c r="Z76" s="35"/>
      <c r="AA76" s="35" t="str">
        <f t="shared" si="6"/>
        <v/>
      </c>
    </row>
    <row r="77" spans="1:27" x14ac:dyDescent="0.25">
      <c r="A77" s="31"/>
      <c r="B77" s="32"/>
      <c r="C77" s="32"/>
      <c r="E77" s="31" t="str">
        <f t="shared" si="7"/>
        <v/>
      </c>
      <c r="F77" s="31" t="str">
        <f t="shared" si="8"/>
        <v/>
      </c>
      <c r="G77" s="31" t="str">
        <f t="shared" si="9"/>
        <v/>
      </c>
      <c r="H77" s="31" t="str">
        <f t="shared" si="10"/>
        <v/>
      </c>
      <c r="I77" s="31" t="str">
        <f t="shared" si="11"/>
        <v/>
      </c>
      <c r="J77" s="31" t="str">
        <f t="shared" si="12"/>
        <v/>
      </c>
      <c r="L77" s="33">
        <v>360</v>
      </c>
      <c r="M77" s="34">
        <f>$B111+$B110*COS(RADIANS(L77))+$B109*SIN(RADIANS(L77))</f>
        <v>2.577846918097473E-3</v>
      </c>
      <c r="N77" s="34">
        <f>$B137+$B136*COS(RADIANS(L77))+$B135*SIN(RADIANS(L77))</f>
        <v>-6.2225100372463929E-4</v>
      </c>
      <c r="T77" s="36"/>
      <c r="U77" s="36"/>
      <c r="V77" s="36"/>
      <c r="W77" s="36"/>
      <c r="Z77" s="35"/>
      <c r="AA77" s="35" t="str">
        <f t="shared" si="6"/>
        <v/>
      </c>
    </row>
    <row r="78" spans="1:27" x14ac:dyDescent="0.25">
      <c r="A78" s="31"/>
      <c r="B78" s="32"/>
      <c r="C78" s="32"/>
      <c r="E78" s="31" t="str">
        <f t="shared" si="7"/>
        <v/>
      </c>
      <c r="F78" s="31" t="str">
        <f t="shared" si="8"/>
        <v/>
      </c>
      <c r="G78" s="31" t="str">
        <f t="shared" si="9"/>
        <v/>
      </c>
      <c r="H78" s="31" t="str">
        <f t="shared" si="10"/>
        <v/>
      </c>
      <c r="I78" s="31" t="str">
        <f t="shared" si="11"/>
        <v/>
      </c>
      <c r="J78" s="31" t="str">
        <f t="shared" si="12"/>
        <v/>
      </c>
      <c r="T78" s="36"/>
      <c r="U78" s="36"/>
      <c r="V78" s="36"/>
      <c r="W78" s="36"/>
      <c r="Z78" s="35"/>
      <c r="AA78" s="35" t="str">
        <f t="shared" si="6"/>
        <v/>
      </c>
    </row>
    <row r="79" spans="1:27" x14ac:dyDescent="0.25">
      <c r="A79" s="31"/>
      <c r="B79" s="32"/>
      <c r="C79" s="32"/>
      <c r="E79" s="31" t="str">
        <f t="shared" si="7"/>
        <v/>
      </c>
      <c r="F79" s="31" t="str">
        <f t="shared" si="8"/>
        <v/>
      </c>
      <c r="G79" s="31" t="str">
        <f t="shared" si="9"/>
        <v/>
      </c>
      <c r="H79" s="31" t="str">
        <f t="shared" si="10"/>
        <v/>
      </c>
      <c r="I79" s="31" t="str">
        <f t="shared" si="11"/>
        <v/>
      </c>
      <c r="J79" s="31" t="str">
        <f t="shared" si="12"/>
        <v/>
      </c>
      <c r="T79" s="36"/>
      <c r="U79" s="36"/>
      <c r="V79" s="36"/>
      <c r="W79" s="36"/>
      <c r="Z79" s="35"/>
      <c r="AA79" s="35" t="str">
        <f t="shared" si="6"/>
        <v/>
      </c>
    </row>
    <row r="80" spans="1:27" x14ac:dyDescent="0.25">
      <c r="A80" s="31"/>
      <c r="B80" s="32"/>
      <c r="C80" s="32"/>
      <c r="E80" s="31" t="str">
        <f t="shared" si="7"/>
        <v/>
      </c>
      <c r="F80" s="31" t="str">
        <f t="shared" si="8"/>
        <v/>
      </c>
      <c r="G80" s="31" t="str">
        <f t="shared" si="9"/>
        <v/>
      </c>
      <c r="H80" s="31" t="str">
        <f t="shared" si="10"/>
        <v/>
      </c>
      <c r="I80" s="31" t="str">
        <f t="shared" si="11"/>
        <v/>
      </c>
      <c r="J80" s="31" t="str">
        <f t="shared" si="12"/>
        <v/>
      </c>
      <c r="T80" s="36"/>
      <c r="U80" s="36"/>
      <c r="V80" s="36"/>
      <c r="W80" s="36"/>
      <c r="Z80" s="35"/>
      <c r="AA80" s="35" t="str">
        <f t="shared" si="6"/>
        <v/>
      </c>
    </row>
    <row r="81" spans="1:27" x14ac:dyDescent="0.25">
      <c r="A81" s="31"/>
      <c r="B81" s="32"/>
      <c r="C81" s="32"/>
      <c r="E81" s="31" t="str">
        <f t="shared" si="7"/>
        <v/>
      </c>
      <c r="F81" s="31" t="str">
        <f t="shared" si="8"/>
        <v/>
      </c>
      <c r="G81" s="31" t="str">
        <f t="shared" si="9"/>
        <v/>
      </c>
      <c r="H81" s="31" t="str">
        <f t="shared" si="10"/>
        <v/>
      </c>
      <c r="I81" s="31" t="str">
        <f t="shared" si="11"/>
        <v/>
      </c>
      <c r="J81" s="31" t="str">
        <f t="shared" si="12"/>
        <v/>
      </c>
      <c r="T81" s="36"/>
      <c r="U81" s="36"/>
      <c r="V81" s="36"/>
      <c r="W81" s="36"/>
      <c r="Z81" s="35"/>
      <c r="AA81" s="35" t="str">
        <f t="shared" ref="AA81:AA104" si="13">IF(Q81="","",Q81-S81)</f>
        <v/>
      </c>
    </row>
    <row r="82" spans="1:27" x14ac:dyDescent="0.25">
      <c r="A82" s="31"/>
      <c r="B82" s="32"/>
      <c r="C82" s="32"/>
      <c r="E82" s="31" t="str">
        <f t="shared" si="7"/>
        <v/>
      </c>
      <c r="F82" s="31" t="str">
        <f t="shared" si="8"/>
        <v/>
      </c>
      <c r="G82" s="31" t="str">
        <f t="shared" si="9"/>
        <v/>
      </c>
      <c r="H82" s="31" t="str">
        <f t="shared" si="10"/>
        <v/>
      </c>
      <c r="I82" s="31" t="str">
        <f t="shared" si="11"/>
        <v/>
      </c>
      <c r="J82" s="31" t="str">
        <f t="shared" si="12"/>
        <v/>
      </c>
      <c r="T82" s="36"/>
      <c r="U82" s="36"/>
      <c r="V82" s="36"/>
      <c r="W82" s="36"/>
      <c r="Z82" s="35"/>
      <c r="AA82" s="35" t="str">
        <f t="shared" si="13"/>
        <v/>
      </c>
    </row>
    <row r="83" spans="1:27" x14ac:dyDescent="0.25">
      <c r="A83" s="31"/>
      <c r="B83" s="32"/>
      <c r="C83" s="32"/>
      <c r="E83" s="31" t="str">
        <f t="shared" si="7"/>
        <v/>
      </c>
      <c r="F83" s="31" t="str">
        <f t="shared" si="8"/>
        <v/>
      </c>
      <c r="G83" s="31" t="str">
        <f t="shared" si="9"/>
        <v/>
      </c>
      <c r="H83" s="31" t="str">
        <f t="shared" si="10"/>
        <v/>
      </c>
      <c r="I83" s="31" t="str">
        <f t="shared" si="11"/>
        <v/>
      </c>
      <c r="J83" s="31" t="str">
        <f t="shared" si="12"/>
        <v/>
      </c>
      <c r="T83" s="36"/>
      <c r="U83" s="36"/>
      <c r="V83" s="36"/>
      <c r="W83" s="36"/>
      <c r="Z83" s="35"/>
      <c r="AA83" s="35" t="str">
        <f t="shared" si="13"/>
        <v/>
      </c>
    </row>
    <row r="84" spans="1:27" x14ac:dyDescent="0.25">
      <c r="A84" s="31"/>
      <c r="B84" s="32"/>
      <c r="C84" s="32"/>
      <c r="E84" s="31" t="str">
        <f t="shared" si="7"/>
        <v/>
      </c>
      <c r="F84" s="31" t="str">
        <f t="shared" si="8"/>
        <v/>
      </c>
      <c r="G84" s="31" t="str">
        <f t="shared" si="9"/>
        <v/>
      </c>
      <c r="H84" s="31" t="str">
        <f t="shared" si="10"/>
        <v/>
      </c>
      <c r="I84" s="31" t="str">
        <f t="shared" si="11"/>
        <v/>
      </c>
      <c r="J84" s="31" t="str">
        <f t="shared" si="12"/>
        <v/>
      </c>
      <c r="T84" s="36"/>
      <c r="U84" s="36"/>
      <c r="V84" s="36"/>
      <c r="W84" s="36"/>
      <c r="Z84" s="35"/>
      <c r="AA84" s="35" t="str">
        <f t="shared" si="13"/>
        <v/>
      </c>
    </row>
    <row r="85" spans="1:27" x14ac:dyDescent="0.25">
      <c r="A85" s="31"/>
      <c r="B85" s="32"/>
      <c r="C85" s="32"/>
      <c r="E85" s="31" t="str">
        <f t="shared" si="7"/>
        <v/>
      </c>
      <c r="F85" s="31" t="str">
        <f t="shared" si="8"/>
        <v/>
      </c>
      <c r="G85" s="31" t="str">
        <f t="shared" si="9"/>
        <v/>
      </c>
      <c r="H85" s="31" t="str">
        <f t="shared" si="10"/>
        <v/>
      </c>
      <c r="I85" s="31" t="str">
        <f t="shared" si="11"/>
        <v/>
      </c>
      <c r="J85" s="31" t="str">
        <f t="shared" si="12"/>
        <v/>
      </c>
      <c r="T85" s="36"/>
      <c r="U85" s="36"/>
      <c r="V85" s="36"/>
      <c r="W85" s="36"/>
      <c r="Z85" s="35"/>
      <c r="AA85" s="35" t="str">
        <f t="shared" si="13"/>
        <v/>
      </c>
    </row>
    <row r="86" spans="1:27" x14ac:dyDescent="0.25">
      <c r="A86" s="31"/>
      <c r="B86" s="32"/>
      <c r="C86" s="32"/>
      <c r="E86" s="31" t="str">
        <f t="shared" si="7"/>
        <v/>
      </c>
      <c r="F86" s="31" t="str">
        <f t="shared" si="8"/>
        <v/>
      </c>
      <c r="G86" s="31" t="str">
        <f t="shared" si="9"/>
        <v/>
      </c>
      <c r="H86" s="31" t="str">
        <f t="shared" si="10"/>
        <v/>
      </c>
      <c r="I86" s="31" t="str">
        <f t="shared" si="11"/>
        <v/>
      </c>
      <c r="J86" s="31" t="str">
        <f t="shared" si="12"/>
        <v/>
      </c>
      <c r="T86" s="36"/>
      <c r="U86" s="36"/>
      <c r="V86" s="36"/>
      <c r="W86" s="36"/>
      <c r="Z86" s="35"/>
      <c r="AA86" s="35" t="str">
        <f t="shared" si="13"/>
        <v/>
      </c>
    </row>
    <row r="87" spans="1:27" x14ac:dyDescent="0.25">
      <c r="A87" s="31"/>
      <c r="B87" s="32"/>
      <c r="C87" s="32"/>
      <c r="E87" s="31" t="str">
        <f t="shared" si="7"/>
        <v/>
      </c>
      <c r="F87" s="31" t="str">
        <f t="shared" si="8"/>
        <v/>
      </c>
      <c r="G87" s="31" t="str">
        <f t="shared" si="9"/>
        <v/>
      </c>
      <c r="H87" s="31" t="str">
        <f t="shared" si="10"/>
        <v/>
      </c>
      <c r="I87" s="31" t="str">
        <f t="shared" si="11"/>
        <v/>
      </c>
      <c r="J87" s="31" t="str">
        <f t="shared" si="12"/>
        <v/>
      </c>
      <c r="T87" s="36"/>
      <c r="U87" s="36"/>
      <c r="V87" s="36"/>
      <c r="W87" s="36"/>
      <c r="Z87" s="35"/>
      <c r="AA87" s="35" t="str">
        <f t="shared" si="13"/>
        <v/>
      </c>
    </row>
    <row r="88" spans="1:27" x14ac:dyDescent="0.25">
      <c r="A88" s="31"/>
      <c r="B88" s="32"/>
      <c r="C88" s="32"/>
      <c r="E88" s="31" t="str">
        <f t="shared" si="7"/>
        <v/>
      </c>
      <c r="F88" s="31" t="str">
        <f t="shared" si="8"/>
        <v/>
      </c>
      <c r="G88" s="31" t="str">
        <f t="shared" si="9"/>
        <v/>
      </c>
      <c r="H88" s="31" t="str">
        <f t="shared" si="10"/>
        <v/>
      </c>
      <c r="I88" s="31" t="str">
        <f t="shared" si="11"/>
        <v/>
      </c>
      <c r="J88" s="31" t="str">
        <f t="shared" si="12"/>
        <v/>
      </c>
      <c r="T88" s="36"/>
      <c r="U88" s="36"/>
      <c r="V88" s="36"/>
      <c r="W88" s="36"/>
      <c r="Z88" s="35"/>
      <c r="AA88" s="35" t="str">
        <f t="shared" si="13"/>
        <v/>
      </c>
    </row>
    <row r="89" spans="1:27" x14ac:dyDescent="0.25">
      <c r="A89" s="31"/>
      <c r="B89" s="32"/>
      <c r="C89" s="32"/>
      <c r="E89" s="31" t="str">
        <f t="shared" si="7"/>
        <v/>
      </c>
      <c r="F89" s="31" t="str">
        <f t="shared" si="8"/>
        <v/>
      </c>
      <c r="G89" s="31" t="str">
        <f t="shared" si="9"/>
        <v/>
      </c>
      <c r="H89" s="31" t="str">
        <f t="shared" si="10"/>
        <v/>
      </c>
      <c r="I89" s="31" t="str">
        <f t="shared" si="11"/>
        <v/>
      </c>
      <c r="J89" s="31" t="str">
        <f t="shared" si="12"/>
        <v/>
      </c>
      <c r="T89" s="36"/>
      <c r="U89" s="36"/>
      <c r="V89" s="36"/>
      <c r="W89" s="36"/>
      <c r="Z89" s="35"/>
      <c r="AA89" s="35" t="str">
        <f t="shared" si="13"/>
        <v/>
      </c>
    </row>
    <row r="90" spans="1:27" x14ac:dyDescent="0.25">
      <c r="A90" s="31"/>
      <c r="B90" s="32"/>
      <c r="C90" s="32"/>
      <c r="E90" s="31" t="str">
        <f t="shared" si="7"/>
        <v/>
      </c>
      <c r="F90" s="31" t="str">
        <f t="shared" si="8"/>
        <v/>
      </c>
      <c r="G90" s="31" t="str">
        <f t="shared" si="9"/>
        <v/>
      </c>
      <c r="H90" s="31" t="str">
        <f t="shared" si="10"/>
        <v/>
      </c>
      <c r="I90" s="31" t="str">
        <f t="shared" si="11"/>
        <v/>
      </c>
      <c r="J90" s="31" t="str">
        <f t="shared" si="12"/>
        <v/>
      </c>
      <c r="T90" s="36"/>
      <c r="U90" s="36"/>
      <c r="V90" s="36"/>
      <c r="W90" s="36"/>
      <c r="Z90" s="35"/>
      <c r="AA90" s="35" t="str">
        <f t="shared" si="13"/>
        <v/>
      </c>
    </row>
    <row r="91" spans="1:27" x14ac:dyDescent="0.25">
      <c r="A91" s="31"/>
      <c r="B91" s="32"/>
      <c r="C91" s="32"/>
      <c r="E91" s="31" t="str">
        <f t="shared" si="7"/>
        <v/>
      </c>
      <c r="F91" s="31" t="str">
        <f t="shared" si="8"/>
        <v/>
      </c>
      <c r="G91" s="31" t="str">
        <f t="shared" si="9"/>
        <v/>
      </c>
      <c r="H91" s="31" t="str">
        <f t="shared" si="10"/>
        <v/>
      </c>
      <c r="I91" s="31" t="str">
        <f t="shared" si="11"/>
        <v/>
      </c>
      <c r="J91" s="31" t="str">
        <f t="shared" si="12"/>
        <v/>
      </c>
      <c r="T91" s="36"/>
      <c r="U91" s="36"/>
      <c r="V91" s="36"/>
      <c r="W91" s="36"/>
      <c r="Z91" s="35"/>
      <c r="AA91" s="35" t="str">
        <f t="shared" si="13"/>
        <v/>
      </c>
    </row>
    <row r="92" spans="1:27" x14ac:dyDescent="0.25">
      <c r="A92" s="31"/>
      <c r="B92" s="32"/>
      <c r="C92" s="32"/>
      <c r="E92" s="31" t="str">
        <f t="shared" si="7"/>
        <v/>
      </c>
      <c r="F92" s="31" t="str">
        <f t="shared" si="8"/>
        <v/>
      </c>
      <c r="G92" s="31" t="str">
        <f t="shared" si="9"/>
        <v/>
      </c>
      <c r="H92" s="31" t="str">
        <f t="shared" si="10"/>
        <v/>
      </c>
      <c r="I92" s="31" t="str">
        <f t="shared" si="11"/>
        <v/>
      </c>
      <c r="J92" s="31" t="str">
        <f t="shared" si="12"/>
        <v/>
      </c>
      <c r="T92" s="36"/>
      <c r="U92" s="36"/>
      <c r="V92" s="36"/>
      <c r="W92" s="36"/>
      <c r="Z92" s="35"/>
      <c r="AA92" s="35" t="str">
        <f t="shared" si="13"/>
        <v/>
      </c>
    </row>
    <row r="93" spans="1:27" x14ac:dyDescent="0.25">
      <c r="A93" s="31"/>
      <c r="B93" s="32"/>
      <c r="C93" s="32"/>
      <c r="E93" s="31" t="str">
        <f t="shared" si="7"/>
        <v/>
      </c>
      <c r="F93" s="31" t="str">
        <f t="shared" si="8"/>
        <v/>
      </c>
      <c r="G93" s="31" t="str">
        <f t="shared" si="9"/>
        <v/>
      </c>
      <c r="H93" s="31" t="str">
        <f t="shared" si="10"/>
        <v/>
      </c>
      <c r="I93" s="31" t="str">
        <f t="shared" si="11"/>
        <v/>
      </c>
      <c r="J93" s="31" t="str">
        <f t="shared" si="12"/>
        <v/>
      </c>
      <c r="T93" s="36"/>
      <c r="U93" s="36"/>
      <c r="V93" s="36"/>
      <c r="W93" s="36"/>
      <c r="Z93" s="35"/>
      <c r="AA93" s="35" t="str">
        <f t="shared" si="13"/>
        <v/>
      </c>
    </row>
    <row r="94" spans="1:27" x14ac:dyDescent="0.25">
      <c r="A94" s="31"/>
      <c r="B94" s="32"/>
      <c r="C94" s="32"/>
      <c r="E94" s="31" t="str">
        <f t="shared" si="7"/>
        <v/>
      </c>
      <c r="F94" s="31" t="str">
        <f t="shared" si="8"/>
        <v/>
      </c>
      <c r="G94" s="31" t="str">
        <f t="shared" si="9"/>
        <v/>
      </c>
      <c r="H94" s="31" t="str">
        <f t="shared" si="10"/>
        <v/>
      </c>
      <c r="I94" s="31" t="str">
        <f t="shared" si="11"/>
        <v/>
      </c>
      <c r="J94" s="31" t="str">
        <f t="shared" si="12"/>
        <v/>
      </c>
      <c r="T94" s="36"/>
      <c r="U94" s="36"/>
      <c r="V94" s="36"/>
      <c r="W94" s="36"/>
      <c r="Z94" s="35"/>
      <c r="AA94" s="35" t="str">
        <f t="shared" si="13"/>
        <v/>
      </c>
    </row>
    <row r="95" spans="1:27" x14ac:dyDescent="0.25">
      <c r="A95" s="31"/>
      <c r="B95" s="32"/>
      <c r="C95" s="32"/>
      <c r="E95" s="31" t="str">
        <f t="shared" si="7"/>
        <v/>
      </c>
      <c r="F95" s="31" t="str">
        <f t="shared" si="8"/>
        <v/>
      </c>
      <c r="G95" s="31" t="str">
        <f t="shared" si="9"/>
        <v/>
      </c>
      <c r="H95" s="31" t="str">
        <f t="shared" si="10"/>
        <v/>
      </c>
      <c r="I95" s="31" t="str">
        <f t="shared" si="11"/>
        <v/>
      </c>
      <c r="J95" s="31" t="str">
        <f t="shared" si="12"/>
        <v/>
      </c>
      <c r="T95" s="36"/>
      <c r="U95" s="36"/>
      <c r="V95" s="36"/>
      <c r="W95" s="36"/>
      <c r="Z95" s="35"/>
      <c r="AA95" s="35" t="str">
        <f t="shared" si="13"/>
        <v/>
      </c>
    </row>
    <row r="96" spans="1:27" x14ac:dyDescent="0.25">
      <c r="A96" s="31"/>
      <c r="B96" s="32"/>
      <c r="C96" s="32"/>
      <c r="E96" s="31" t="str">
        <f t="shared" si="7"/>
        <v/>
      </c>
      <c r="F96" s="31" t="str">
        <f t="shared" si="8"/>
        <v/>
      </c>
      <c r="G96" s="31" t="str">
        <f t="shared" si="9"/>
        <v/>
      </c>
      <c r="H96" s="31" t="str">
        <f t="shared" si="10"/>
        <v/>
      </c>
      <c r="I96" s="31" t="str">
        <f t="shared" si="11"/>
        <v/>
      </c>
      <c r="J96" s="31" t="str">
        <f t="shared" si="12"/>
        <v/>
      </c>
      <c r="T96" s="36"/>
      <c r="U96" s="36"/>
      <c r="V96" s="36"/>
      <c r="W96" s="36"/>
      <c r="Z96" s="35"/>
      <c r="AA96" s="35" t="str">
        <f t="shared" si="13"/>
        <v/>
      </c>
    </row>
    <row r="97" spans="1:27" x14ac:dyDescent="0.25">
      <c r="A97" s="31"/>
      <c r="B97" s="32"/>
      <c r="C97" s="32"/>
      <c r="E97" s="31" t="str">
        <f t="shared" si="7"/>
        <v/>
      </c>
      <c r="F97" s="31" t="str">
        <f t="shared" si="8"/>
        <v/>
      </c>
      <c r="G97" s="31" t="str">
        <f t="shared" si="9"/>
        <v/>
      </c>
      <c r="H97" s="31" t="str">
        <f t="shared" si="10"/>
        <v/>
      </c>
      <c r="I97" s="31" t="str">
        <f t="shared" si="11"/>
        <v/>
      </c>
      <c r="J97" s="31" t="str">
        <f t="shared" si="12"/>
        <v/>
      </c>
      <c r="T97" s="36"/>
      <c r="U97" s="36"/>
      <c r="V97" s="36"/>
      <c r="W97" s="36"/>
      <c r="Z97" s="35"/>
      <c r="AA97" s="35" t="str">
        <f t="shared" si="13"/>
        <v/>
      </c>
    </row>
    <row r="98" spans="1:27" x14ac:dyDescent="0.25">
      <c r="A98" s="31"/>
      <c r="B98" s="32"/>
      <c r="C98" s="32"/>
      <c r="E98" s="31" t="str">
        <f t="shared" si="7"/>
        <v/>
      </c>
      <c r="F98" s="31" t="str">
        <f t="shared" si="8"/>
        <v/>
      </c>
      <c r="G98" s="31" t="str">
        <f t="shared" si="9"/>
        <v/>
      </c>
      <c r="H98" s="31" t="str">
        <f t="shared" si="10"/>
        <v/>
      </c>
      <c r="I98" s="31" t="str">
        <f t="shared" si="11"/>
        <v/>
      </c>
      <c r="J98" s="31" t="str">
        <f t="shared" si="12"/>
        <v/>
      </c>
      <c r="T98" s="36"/>
      <c r="U98" s="36"/>
      <c r="V98" s="36"/>
      <c r="W98" s="36"/>
      <c r="Z98" s="35"/>
      <c r="AA98" s="35" t="str">
        <f t="shared" si="13"/>
        <v/>
      </c>
    </row>
    <row r="99" spans="1:27" x14ac:dyDescent="0.25">
      <c r="A99" s="31"/>
      <c r="B99" s="32"/>
      <c r="C99" s="32"/>
      <c r="E99" s="31" t="str">
        <f t="shared" si="7"/>
        <v/>
      </c>
      <c r="F99" s="31" t="str">
        <f t="shared" si="8"/>
        <v/>
      </c>
      <c r="G99" s="31" t="str">
        <f t="shared" si="9"/>
        <v/>
      </c>
      <c r="H99" s="31" t="str">
        <f t="shared" si="10"/>
        <v/>
      </c>
      <c r="I99" s="31" t="str">
        <f t="shared" si="11"/>
        <v/>
      </c>
      <c r="J99" s="31" t="str">
        <f t="shared" si="12"/>
        <v/>
      </c>
      <c r="T99" s="36"/>
      <c r="U99" s="36"/>
      <c r="V99" s="36"/>
      <c r="W99" s="36"/>
      <c r="Z99" s="35"/>
      <c r="AA99" s="35" t="str">
        <f t="shared" si="13"/>
        <v/>
      </c>
    </row>
    <row r="100" spans="1:27" x14ac:dyDescent="0.25">
      <c r="A100" s="31"/>
      <c r="B100" s="32"/>
      <c r="C100" s="32"/>
      <c r="E100" s="31" t="str">
        <f t="shared" si="7"/>
        <v/>
      </c>
      <c r="F100" s="31" t="str">
        <f t="shared" si="8"/>
        <v/>
      </c>
      <c r="G100" s="31" t="str">
        <f t="shared" si="9"/>
        <v/>
      </c>
      <c r="H100" s="31" t="str">
        <f t="shared" si="10"/>
        <v/>
      </c>
      <c r="I100" s="31" t="str">
        <f t="shared" si="11"/>
        <v/>
      </c>
      <c r="J100" s="31" t="str">
        <f t="shared" si="12"/>
        <v/>
      </c>
      <c r="T100" s="36"/>
      <c r="U100" s="36"/>
      <c r="V100" s="36"/>
      <c r="W100" s="36"/>
      <c r="Z100" s="35"/>
      <c r="AA100" s="35" t="str">
        <f t="shared" si="13"/>
        <v/>
      </c>
    </row>
    <row r="101" spans="1:27" x14ac:dyDescent="0.25">
      <c r="A101" s="31"/>
      <c r="B101" s="32"/>
      <c r="C101" s="32"/>
      <c r="E101" s="31" t="str">
        <f t="shared" si="7"/>
        <v/>
      </c>
      <c r="F101" s="31" t="str">
        <f t="shared" si="8"/>
        <v/>
      </c>
      <c r="G101" s="31" t="str">
        <f t="shared" si="9"/>
        <v/>
      </c>
      <c r="H101" s="31" t="str">
        <f t="shared" si="10"/>
        <v/>
      </c>
      <c r="I101" s="31" t="str">
        <f t="shared" si="11"/>
        <v/>
      </c>
      <c r="J101" s="31" t="str">
        <f t="shared" si="12"/>
        <v/>
      </c>
      <c r="T101" s="36"/>
      <c r="U101" s="36"/>
      <c r="V101" s="36"/>
      <c r="W101" s="36"/>
      <c r="Z101" s="35"/>
      <c r="AA101" s="35" t="str">
        <f t="shared" si="13"/>
        <v/>
      </c>
    </row>
    <row r="102" spans="1:27" x14ac:dyDescent="0.25">
      <c r="A102" s="31"/>
      <c r="B102" s="32"/>
      <c r="C102" s="32"/>
      <c r="E102" s="31" t="str">
        <f t="shared" si="7"/>
        <v/>
      </c>
      <c r="F102" s="31" t="str">
        <f t="shared" si="8"/>
        <v/>
      </c>
      <c r="G102" s="31" t="str">
        <f t="shared" si="9"/>
        <v/>
      </c>
      <c r="H102" s="31" t="str">
        <f t="shared" si="10"/>
        <v/>
      </c>
      <c r="I102" s="31" t="str">
        <f t="shared" si="11"/>
        <v/>
      </c>
      <c r="J102" s="31" t="str">
        <f t="shared" si="12"/>
        <v/>
      </c>
      <c r="T102" s="36"/>
      <c r="U102" s="36"/>
      <c r="V102" s="36"/>
      <c r="W102" s="36"/>
      <c r="Z102" s="35"/>
      <c r="AA102" s="35" t="str">
        <f t="shared" si="13"/>
        <v/>
      </c>
    </row>
    <row r="103" spans="1:27" x14ac:dyDescent="0.25">
      <c r="A103" s="31"/>
      <c r="B103" s="32"/>
      <c r="C103" s="32"/>
      <c r="E103" s="31" t="str">
        <f t="shared" si="7"/>
        <v/>
      </c>
      <c r="F103" s="31" t="str">
        <f t="shared" si="8"/>
        <v/>
      </c>
      <c r="G103" s="31" t="str">
        <f t="shared" si="9"/>
        <v/>
      </c>
      <c r="H103" s="31" t="str">
        <f t="shared" si="10"/>
        <v/>
      </c>
      <c r="I103" s="31" t="str">
        <f t="shared" si="11"/>
        <v/>
      </c>
      <c r="J103" s="31" t="str">
        <f t="shared" si="12"/>
        <v/>
      </c>
      <c r="T103" s="36"/>
      <c r="U103" s="36"/>
      <c r="V103" s="36"/>
      <c r="W103" s="36"/>
      <c r="Z103" s="35"/>
      <c r="AA103" s="35" t="str">
        <f t="shared" si="13"/>
        <v/>
      </c>
    </row>
    <row r="104" spans="1:27" x14ac:dyDescent="0.25">
      <c r="A104" s="31"/>
      <c r="B104" s="32"/>
      <c r="C104" s="32"/>
      <c r="E104" s="31" t="str">
        <f t="shared" si="7"/>
        <v/>
      </c>
      <c r="F104" s="31" t="str">
        <f t="shared" si="8"/>
        <v/>
      </c>
      <c r="G104" s="31" t="str">
        <f t="shared" si="9"/>
        <v/>
      </c>
      <c r="H104" s="31" t="str">
        <f t="shared" si="10"/>
        <v/>
      </c>
      <c r="I104" s="31" t="str">
        <f t="shared" si="11"/>
        <v/>
      </c>
      <c r="J104" s="31" t="str">
        <f t="shared" si="12"/>
        <v/>
      </c>
      <c r="T104" s="36"/>
      <c r="U104" s="36"/>
      <c r="V104" s="36"/>
      <c r="W104" s="36"/>
      <c r="Z104" s="35"/>
      <c r="AA104" s="35" t="str">
        <f t="shared" si="13"/>
        <v/>
      </c>
    </row>
    <row r="106" spans="1:27" x14ac:dyDescent="0.25">
      <c r="P106" s="26"/>
      <c r="Q106" s="26"/>
      <c r="R106" s="26"/>
      <c r="S106" s="26"/>
      <c r="T106" s="26"/>
      <c r="U106" s="26"/>
      <c r="V106" s="26"/>
      <c r="W106" s="26"/>
    </row>
    <row r="107" spans="1:27" x14ac:dyDescent="0.25">
      <c r="A107" s="25" t="s">
        <v>82</v>
      </c>
      <c r="P107" s="26"/>
      <c r="Q107" s="26"/>
      <c r="R107" s="26"/>
      <c r="S107" s="26"/>
      <c r="T107" s="26"/>
      <c r="U107" s="26"/>
      <c r="V107" s="26"/>
      <c r="W107" s="26"/>
    </row>
    <row r="108" spans="1:27" x14ac:dyDescent="0.25">
      <c r="A108" s="37" t="s">
        <v>83</v>
      </c>
      <c r="B108" s="37" t="s">
        <v>84</v>
      </c>
      <c r="P108" s="26"/>
      <c r="Q108" s="26"/>
      <c r="R108" s="26"/>
      <c r="S108" s="26"/>
      <c r="T108" s="26"/>
      <c r="U108" s="26"/>
      <c r="V108" s="26"/>
      <c r="W108" s="26"/>
    </row>
    <row r="109" spans="1:27" x14ac:dyDescent="0.25">
      <c r="A109" s="38" t="s">
        <v>85</v>
      </c>
      <c r="B109" s="39">
        <f>INDEX(LINEST($B$5:INDEX($B$5:$B$40,$O$1),$G$5:INDEX($G$5:$H$40,$O$1,2),TRUE(),TRUE()),1,1)</f>
        <v>5.2794001151031241E-4</v>
      </c>
    </row>
    <row r="110" spans="1:27" x14ac:dyDescent="0.25">
      <c r="A110" s="38" t="s">
        <v>86</v>
      </c>
      <c r="B110" s="39">
        <f>INDEX(LINEST($B$5:INDEX($B$5:$B$104,$O$1),$G$5:INDEX($G$5:$H$104,$O$1,2),TRUE(),TRUE()),1,2)</f>
        <v>2.5417170569863607E-3</v>
      </c>
    </row>
    <row r="111" spans="1:27" x14ac:dyDescent="0.25">
      <c r="A111" s="38" t="s">
        <v>87</v>
      </c>
      <c r="B111" s="39">
        <f>INDEX(LINEST($B$5:INDEX($B$5:$B$104,$O$1),$G$5:INDEX($G$5:$H$104,$O$1,2),TRUE(),TRUE()),1,3)</f>
        <v>3.612986111111234E-5</v>
      </c>
    </row>
    <row r="113" spans="1:2" x14ac:dyDescent="0.25">
      <c r="A113" s="38" t="s">
        <v>88</v>
      </c>
      <c r="B113" s="40">
        <f>INDEX(LINEST($B$5:INDEX($B$5:$B$40,$O$1),$G$5:INDEX($G$5:$H$40,$O$1,2),TRUE(),TRUE()),3,1)</f>
        <v>0.63943075682490069</v>
      </c>
    </row>
    <row r="114" spans="1:2" x14ac:dyDescent="0.25">
      <c r="A114" s="38" t="s">
        <v>89</v>
      </c>
      <c r="B114" s="39">
        <f>INDEX(LINEST($B$5:INDEX($B$5:$B$104,$O$1),$G$5:INDEX($G$5:$H$104,$O$1,2),TRUE(),TRUE()),3,2)</f>
        <v>1.4397135076082007E-3</v>
      </c>
    </row>
    <row r="116" spans="1:2" x14ac:dyDescent="0.25">
      <c r="A116" s="41" t="s">
        <v>90</v>
      </c>
      <c r="B116" s="42">
        <f>SQRT(B110^2+B109^2)</f>
        <v>2.5959673059437623E-3</v>
      </c>
    </row>
    <row r="117" spans="1:2" x14ac:dyDescent="0.25">
      <c r="A117" s="41" t="s">
        <v>91</v>
      </c>
      <c r="B117" s="43">
        <f>MOD(DEGREES(ATAN2(B110,B109)),360)</f>
        <v>11.734055099192435</v>
      </c>
    </row>
    <row r="119" spans="1:2" x14ac:dyDescent="0.25">
      <c r="A119" s="25"/>
    </row>
    <row r="120" spans="1:2" x14ac:dyDescent="0.25">
      <c r="A120" s="25"/>
      <c r="B120" s="25"/>
    </row>
    <row r="121" spans="1:2" x14ac:dyDescent="0.25">
      <c r="B121" s="44"/>
    </row>
    <row r="122" spans="1:2" x14ac:dyDescent="0.25">
      <c r="B122" s="44"/>
    </row>
    <row r="123" spans="1:2" x14ac:dyDescent="0.25">
      <c r="B123" s="44"/>
    </row>
    <row r="124" spans="1:2" x14ac:dyDescent="0.25">
      <c r="B124" s="44"/>
    </row>
    <row r="125" spans="1:2" x14ac:dyDescent="0.25">
      <c r="B125" s="44"/>
    </row>
    <row r="127" spans="1:2" x14ac:dyDescent="0.25">
      <c r="B127" s="45"/>
    </row>
    <row r="128" spans="1:2" x14ac:dyDescent="0.25">
      <c r="B128" s="44"/>
    </row>
    <row r="130" spans="1:17" x14ac:dyDescent="0.25">
      <c r="A130" s="25"/>
      <c r="B130" s="46"/>
      <c r="P130" s="25"/>
    </row>
    <row r="131" spans="1:17" x14ac:dyDescent="0.25">
      <c r="A131" s="25"/>
      <c r="B131" s="47"/>
      <c r="P131" s="25"/>
      <c r="Q131" s="25"/>
    </row>
    <row r="132" spans="1:17" x14ac:dyDescent="0.25">
      <c r="Q132" s="44"/>
    </row>
    <row r="133" spans="1:17" x14ac:dyDescent="0.25">
      <c r="A133" s="25" t="s">
        <v>92</v>
      </c>
      <c r="Q133" s="44"/>
    </row>
    <row r="134" spans="1:17" x14ac:dyDescent="0.25">
      <c r="A134" s="37" t="s">
        <v>83</v>
      </c>
      <c r="B134" s="37" t="s">
        <v>84</v>
      </c>
      <c r="Q134" s="44"/>
    </row>
    <row r="135" spans="1:17" x14ac:dyDescent="0.25">
      <c r="A135" s="38" t="s">
        <v>85</v>
      </c>
      <c r="B135" s="39">
        <f>INDEX(LINEST($C$5:INDEX($C$5:$C$104,$O$1),$G$5:INDEX($G$5:$H$104,$O$1,2),TRUE(),TRUE()),1,1)</f>
        <v>2.818458146970567E-3</v>
      </c>
    </row>
    <row r="136" spans="1:17" x14ac:dyDescent="0.25">
      <c r="A136" s="38" t="s">
        <v>86</v>
      </c>
      <c r="B136" s="39">
        <f>INDEX(LINEST($C$5:INDEX($C$5:$C$104,$O$1),$G$5:INDEX($G$5:$H$104,$O$1,2),TRUE(),TRUE()),1,2)</f>
        <v>-4.9007169816908073E-4</v>
      </c>
      <c r="Q136" s="45"/>
    </row>
    <row r="137" spans="1:17" x14ac:dyDescent="0.25">
      <c r="A137" s="38" t="s">
        <v>87</v>
      </c>
      <c r="B137" s="39">
        <f>INDEX(LINEST($C$5:INDEX($C$5:$C$104,$O$1),$G$5:INDEX($G$5:$H$104,$O$1,2),TRUE(),TRUE()),1,3)</f>
        <v>-1.3217930555555789E-4</v>
      </c>
      <c r="Q137" s="44"/>
    </row>
    <row r="139" spans="1:17" x14ac:dyDescent="0.25">
      <c r="A139" s="38" t="s">
        <v>88</v>
      </c>
      <c r="B139" s="40">
        <f>INDEX(LINEST($C$5:INDEX($C$5:$C$104,$O$1),$G$5:INDEX($G$5:$H$104,$O$1,2),TRUE(),TRUE()),3,1)</f>
        <v>0.78796123232043647</v>
      </c>
      <c r="P139" s="25"/>
      <c r="Q139" s="46"/>
    </row>
    <row r="140" spans="1:17" x14ac:dyDescent="0.25">
      <c r="A140" s="38" t="s">
        <v>89</v>
      </c>
      <c r="B140" s="39">
        <f>INDEX(LINEST($C$5:INDEX($C$5:$C$104,$O$1),$G$5:INDEX($G$5:$H$104,$O$1,2),TRUE(),TRUE()),3,2)</f>
        <v>1.0960087693795591E-3</v>
      </c>
      <c r="P140" s="25"/>
      <c r="Q140" s="47"/>
    </row>
    <row r="142" spans="1:17" x14ac:dyDescent="0.25">
      <c r="A142" s="41" t="s">
        <v>90</v>
      </c>
      <c r="B142" s="42">
        <f>SQRT(B136^2+B135^2)</f>
        <v>2.8607475588683265E-3</v>
      </c>
      <c r="P142" s="25"/>
    </row>
    <row r="143" spans="1:17" x14ac:dyDescent="0.25">
      <c r="A143" s="41" t="s">
        <v>91</v>
      </c>
      <c r="B143" s="43">
        <f>MOD(DEGREES(ATAN2(B136,B135)),360)</f>
        <v>99.863933657430508</v>
      </c>
      <c r="P143" s="25"/>
      <c r="Q143" s="25"/>
    </row>
    <row r="144" spans="1:17" x14ac:dyDescent="0.25">
      <c r="Q144" s="44"/>
    </row>
    <row r="145" spans="1:23" x14ac:dyDescent="0.25">
      <c r="A145" s="25"/>
      <c r="Q145" s="44"/>
    </row>
    <row r="146" spans="1:23" x14ac:dyDescent="0.25">
      <c r="A146" s="25"/>
      <c r="B146" s="25"/>
      <c r="Q146" s="44"/>
    </row>
    <row r="147" spans="1:23" x14ac:dyDescent="0.25">
      <c r="B147" s="44"/>
    </row>
    <row r="148" spans="1:23" x14ac:dyDescent="0.25">
      <c r="B148" s="44"/>
      <c r="Q148" s="45"/>
    </row>
    <row r="149" spans="1:23" x14ac:dyDescent="0.25">
      <c r="B149" s="44"/>
      <c r="Q149" s="44"/>
    </row>
    <row r="150" spans="1:23" x14ac:dyDescent="0.25">
      <c r="B150" s="44"/>
    </row>
    <row r="151" spans="1:23" x14ac:dyDescent="0.25">
      <c r="B151" s="44"/>
      <c r="P151" s="25"/>
      <c r="Q151" s="46"/>
    </row>
    <row r="152" spans="1:23" x14ac:dyDescent="0.25">
      <c r="P152" s="25"/>
      <c r="Q152" s="47"/>
    </row>
    <row r="153" spans="1:23" x14ac:dyDescent="0.25">
      <c r="B153" s="45"/>
    </row>
    <row r="154" spans="1:23" x14ac:dyDescent="0.25">
      <c r="B154" s="44"/>
      <c r="P154" s="113"/>
      <c r="Q154" s="113"/>
      <c r="R154" s="113"/>
      <c r="S154" s="113"/>
      <c r="T154" s="113"/>
      <c r="U154" s="113"/>
      <c r="V154" s="113"/>
      <c r="W154" s="113"/>
    </row>
    <row r="155" spans="1:23" x14ac:dyDescent="0.25">
      <c r="P155" s="30"/>
      <c r="Q155" s="30"/>
      <c r="R155" s="30"/>
      <c r="S155" s="30"/>
      <c r="T155" s="30"/>
    </row>
    <row r="156" spans="1:23" x14ac:dyDescent="0.25">
      <c r="A156" s="48"/>
      <c r="B156" s="49"/>
      <c r="P156" s="50"/>
      <c r="Q156" s="36"/>
      <c r="R156" s="36"/>
      <c r="S156" s="51"/>
      <c r="T156" s="52"/>
    </row>
    <row r="157" spans="1:23" x14ac:dyDescent="0.25">
      <c r="A157" s="41"/>
      <c r="B157" s="43"/>
      <c r="P157" s="50"/>
      <c r="Q157" s="36"/>
      <c r="R157" s="36"/>
      <c r="S157" s="51"/>
      <c r="T157" s="52"/>
    </row>
    <row r="159" spans="1:23" x14ac:dyDescent="0.25">
      <c r="P159" s="114"/>
      <c r="Q159" s="114"/>
      <c r="R159" s="114"/>
      <c r="S159" s="114"/>
      <c r="T159" s="114"/>
      <c r="U159" s="114"/>
      <c r="V159" s="114"/>
      <c r="W159" s="114"/>
    </row>
    <row r="160" spans="1:23" x14ac:dyDescent="0.25">
      <c r="P160" s="114"/>
      <c r="Q160" s="114"/>
      <c r="R160" s="114"/>
      <c r="S160" s="114"/>
      <c r="T160" s="114"/>
      <c r="U160" s="114"/>
      <c r="V160" s="114"/>
      <c r="W160" s="114"/>
    </row>
    <row r="161" spans="16:23" x14ac:dyDescent="0.25">
      <c r="P161" s="114"/>
      <c r="Q161" s="114"/>
      <c r="R161" s="114"/>
      <c r="S161" s="114"/>
      <c r="T161" s="114"/>
      <c r="U161" s="114"/>
      <c r="V161" s="114"/>
      <c r="W161" s="114"/>
    </row>
    <row r="162" spans="16:23" x14ac:dyDescent="0.25">
      <c r="P162" s="114"/>
      <c r="Q162" s="114"/>
      <c r="R162" s="114"/>
      <c r="S162" s="114"/>
      <c r="T162" s="114"/>
      <c r="U162" s="114"/>
      <c r="V162" s="114"/>
      <c r="W162" s="114"/>
    </row>
    <row r="163" spans="16:23" x14ac:dyDescent="0.25">
      <c r="P163" s="114"/>
      <c r="Q163" s="114"/>
      <c r="R163" s="114"/>
      <c r="S163" s="114"/>
      <c r="T163" s="114"/>
      <c r="U163" s="114"/>
      <c r="V163" s="114"/>
      <c r="W163" s="114"/>
    </row>
    <row r="164" spans="16:23" x14ac:dyDescent="0.25">
      <c r="P164" s="114"/>
      <c r="Q164" s="114"/>
      <c r="R164" s="114"/>
      <c r="S164" s="114"/>
      <c r="T164" s="114"/>
      <c r="U164" s="114"/>
      <c r="V164" s="114"/>
      <c r="W164" s="114"/>
    </row>
  </sheetData>
  <mergeCells count="5">
    <mergeCell ref="A1:C1"/>
    <mergeCell ref="A2:M2"/>
    <mergeCell ref="A3:M3"/>
    <mergeCell ref="P154:W154"/>
    <mergeCell ref="P159:W16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T19-3</vt:lpstr>
      <vt:lpstr>Regrese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2026-08-04T07:04:51Z</dcterms:modified>
</cp:coreProperties>
</file>