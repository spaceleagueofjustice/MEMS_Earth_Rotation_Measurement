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4\"/>
    </mc:Choice>
  </mc:AlternateContent>
  <xr:revisionPtr revIDLastSave="0" documentId="13_ncr:1_{6F2F66AA-3BC4-465D-B85A-47C418699897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4" sheetId="1" r:id="rId2"/>
    <sheet name="Regre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O1" i="3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AA17" i="3"/>
  <c r="E18" i="3"/>
  <c r="F18" i="3"/>
  <c r="G18" i="3"/>
  <c r="H18" i="3"/>
  <c r="I18" i="3"/>
  <c r="J18" i="3"/>
  <c r="AA18" i="3"/>
  <c r="E19" i="3"/>
  <c r="H19" i="3" s="1"/>
  <c r="F19" i="3"/>
  <c r="G19" i="3" s="1"/>
  <c r="J19" i="3"/>
  <c r="AA19" i="3"/>
  <c r="E20" i="3"/>
  <c r="F20" i="3" s="1"/>
  <c r="AA20" i="3"/>
  <c r="E21" i="3"/>
  <c r="F21" i="3" s="1"/>
  <c r="AA21" i="3"/>
  <c r="E22" i="3"/>
  <c r="F22" i="3"/>
  <c r="G22" i="3"/>
  <c r="H22" i="3"/>
  <c r="I22" i="3"/>
  <c r="J22" i="3"/>
  <c r="AA22" i="3"/>
  <c r="E23" i="3"/>
  <c r="H23" i="3" s="1"/>
  <c r="F23" i="3"/>
  <c r="G23" i="3" s="1"/>
  <c r="J23" i="3"/>
  <c r="AA23" i="3"/>
  <c r="E24" i="3"/>
  <c r="F24" i="3" s="1"/>
  <c r="AA24" i="3"/>
  <c r="E25" i="3"/>
  <c r="F25" i="3" s="1"/>
  <c r="AA25" i="3"/>
  <c r="E26" i="3"/>
  <c r="F26" i="3"/>
  <c r="G26" i="3"/>
  <c r="H26" i="3"/>
  <c r="I26" i="3"/>
  <c r="J26" i="3"/>
  <c r="AA26" i="3"/>
  <c r="E27" i="3"/>
  <c r="H27" i="3" s="1"/>
  <c r="F27" i="3"/>
  <c r="G27" i="3" s="1"/>
  <c r="J27" i="3"/>
  <c r="AA27" i="3"/>
  <c r="E28" i="3"/>
  <c r="F28" i="3" s="1"/>
  <c r="AA28" i="3"/>
  <c r="E29" i="3"/>
  <c r="F29" i="3" s="1"/>
  <c r="AA29" i="3"/>
  <c r="E30" i="3"/>
  <c r="F30" i="3"/>
  <c r="G30" i="3"/>
  <c r="H30" i="3"/>
  <c r="I30" i="3"/>
  <c r="J30" i="3"/>
  <c r="AA30" i="3"/>
  <c r="E31" i="3"/>
  <c r="H31" i="3" s="1"/>
  <c r="F31" i="3"/>
  <c r="G31" i="3" s="1"/>
  <c r="J31" i="3"/>
  <c r="AA31" i="3"/>
  <c r="E32" i="3"/>
  <c r="F32" i="3" s="1"/>
  <c r="AA32" i="3"/>
  <c r="E33" i="3"/>
  <c r="F33" i="3" s="1"/>
  <c r="AA33" i="3"/>
  <c r="E34" i="3"/>
  <c r="F34" i="3"/>
  <c r="G34" i="3"/>
  <c r="H34" i="3"/>
  <c r="I34" i="3"/>
  <c r="J34" i="3"/>
  <c r="AA34" i="3"/>
  <c r="E35" i="3"/>
  <c r="H35" i="3" s="1"/>
  <c r="F35" i="3"/>
  <c r="G35" i="3" s="1"/>
  <c r="J35" i="3"/>
  <c r="AA35" i="3"/>
  <c r="E36" i="3"/>
  <c r="F36" i="3" s="1"/>
  <c r="AA36" i="3"/>
  <c r="E37" i="3"/>
  <c r="F37" i="3" s="1"/>
  <c r="AA37" i="3"/>
  <c r="E38" i="3"/>
  <c r="F38" i="3"/>
  <c r="G38" i="3"/>
  <c r="H38" i="3"/>
  <c r="I38" i="3"/>
  <c r="J38" i="3"/>
  <c r="AA38" i="3"/>
  <c r="E39" i="3"/>
  <c r="H39" i="3" s="1"/>
  <c r="F39" i="3"/>
  <c r="G39" i="3" s="1"/>
  <c r="J39" i="3"/>
  <c r="AA39" i="3"/>
  <c r="E40" i="3"/>
  <c r="F40" i="3" s="1"/>
  <c r="AA40" i="3"/>
  <c r="E41" i="3"/>
  <c r="F41" i="3" s="1"/>
  <c r="AA41" i="3"/>
  <c r="E42" i="3"/>
  <c r="F42" i="3"/>
  <c r="G42" i="3"/>
  <c r="H42" i="3"/>
  <c r="I42" i="3"/>
  <c r="J42" i="3"/>
  <c r="AA42" i="3"/>
  <c r="E43" i="3"/>
  <c r="F43" i="3" s="1"/>
  <c r="J43" i="3"/>
  <c r="AA43" i="3"/>
  <c r="E44" i="3"/>
  <c r="F44" i="3" s="1"/>
  <c r="H44" i="3"/>
  <c r="AA44" i="3"/>
  <c r="E45" i="3"/>
  <c r="F45" i="3" s="1"/>
  <c r="AA45" i="3"/>
  <c r="E46" i="3"/>
  <c r="F46" i="3"/>
  <c r="G46" i="3"/>
  <c r="H46" i="3"/>
  <c r="I46" i="3"/>
  <c r="J46" i="3"/>
  <c r="AA46" i="3"/>
  <c r="E47" i="3"/>
  <c r="F47" i="3" s="1"/>
  <c r="J47" i="3"/>
  <c r="AA47" i="3"/>
  <c r="E48" i="3"/>
  <c r="F48" i="3" s="1"/>
  <c r="H48" i="3"/>
  <c r="AA48" i="3"/>
  <c r="E49" i="3"/>
  <c r="F49" i="3" s="1"/>
  <c r="AA49" i="3"/>
  <c r="E50" i="3"/>
  <c r="F50" i="3"/>
  <c r="G50" i="3"/>
  <c r="H50" i="3"/>
  <c r="I50" i="3"/>
  <c r="J50" i="3"/>
  <c r="AA50" i="3"/>
  <c r="E51" i="3"/>
  <c r="F51" i="3" s="1"/>
  <c r="J51" i="3"/>
  <c r="AA51" i="3"/>
  <c r="E52" i="3"/>
  <c r="F52" i="3" s="1"/>
  <c r="H52" i="3"/>
  <c r="AA52" i="3"/>
  <c r="E53" i="3"/>
  <c r="F53" i="3" s="1"/>
  <c r="AA53" i="3"/>
  <c r="E54" i="3"/>
  <c r="F54" i="3"/>
  <c r="G54" i="3"/>
  <c r="H54" i="3"/>
  <c r="I54" i="3"/>
  <c r="J54" i="3"/>
  <c r="AA54" i="3"/>
  <c r="E55" i="3"/>
  <c r="F55" i="3" s="1"/>
  <c r="J55" i="3"/>
  <c r="AA55" i="3"/>
  <c r="E56" i="3"/>
  <c r="F56" i="3" s="1"/>
  <c r="H56" i="3"/>
  <c r="AA56" i="3"/>
  <c r="E57" i="3"/>
  <c r="F57" i="3" s="1"/>
  <c r="AA57" i="3"/>
  <c r="E58" i="3"/>
  <c r="F58" i="3"/>
  <c r="G58" i="3"/>
  <c r="H58" i="3"/>
  <c r="I58" i="3"/>
  <c r="J58" i="3"/>
  <c r="AA58" i="3"/>
  <c r="E59" i="3"/>
  <c r="F59" i="3" s="1"/>
  <c r="J59" i="3"/>
  <c r="AA59" i="3"/>
  <c r="E60" i="3"/>
  <c r="F60" i="3" s="1"/>
  <c r="H60" i="3"/>
  <c r="AA60" i="3"/>
  <c r="E61" i="3"/>
  <c r="F61" i="3" s="1"/>
  <c r="AA61" i="3"/>
  <c r="E62" i="3"/>
  <c r="F62" i="3"/>
  <c r="G62" i="3"/>
  <c r="H62" i="3"/>
  <c r="I62" i="3"/>
  <c r="J62" i="3"/>
  <c r="AA62" i="3"/>
  <c r="E63" i="3"/>
  <c r="F63" i="3" s="1"/>
  <c r="J63" i="3"/>
  <c r="AA63" i="3"/>
  <c r="E64" i="3"/>
  <c r="F64" i="3" s="1"/>
  <c r="H64" i="3"/>
  <c r="AA64" i="3"/>
  <c r="E65" i="3"/>
  <c r="F65" i="3" s="1"/>
  <c r="AA65" i="3"/>
  <c r="E66" i="3"/>
  <c r="F66" i="3"/>
  <c r="G66" i="3"/>
  <c r="H66" i="3"/>
  <c r="I66" i="3"/>
  <c r="J66" i="3"/>
  <c r="AA66" i="3"/>
  <c r="E67" i="3"/>
  <c r="F67" i="3" s="1"/>
  <c r="J67" i="3"/>
  <c r="AA67" i="3"/>
  <c r="E68" i="3"/>
  <c r="F68" i="3" s="1"/>
  <c r="H68" i="3"/>
  <c r="AA68" i="3"/>
  <c r="E69" i="3"/>
  <c r="F69" i="3" s="1"/>
  <c r="AA69" i="3"/>
  <c r="E70" i="3"/>
  <c r="F70" i="3"/>
  <c r="G70" i="3"/>
  <c r="H70" i="3"/>
  <c r="I70" i="3"/>
  <c r="J70" i="3"/>
  <c r="AA70" i="3"/>
  <c r="E71" i="3"/>
  <c r="F71" i="3" s="1"/>
  <c r="J71" i="3"/>
  <c r="AA71" i="3"/>
  <c r="E72" i="3"/>
  <c r="F72" i="3" s="1"/>
  <c r="H72" i="3"/>
  <c r="AA72" i="3"/>
  <c r="E73" i="3"/>
  <c r="F73" i="3" s="1"/>
  <c r="AA73" i="3"/>
  <c r="E74" i="3"/>
  <c r="F74" i="3"/>
  <c r="G74" i="3"/>
  <c r="H74" i="3"/>
  <c r="I74" i="3"/>
  <c r="J74" i="3"/>
  <c r="AA74" i="3"/>
  <c r="E75" i="3"/>
  <c r="F75" i="3" s="1"/>
  <c r="J75" i="3"/>
  <c r="AA75" i="3"/>
  <c r="E76" i="3"/>
  <c r="F76" i="3" s="1"/>
  <c r="H76" i="3"/>
  <c r="AA76" i="3"/>
  <c r="E77" i="3"/>
  <c r="F77" i="3" s="1"/>
  <c r="AA77" i="3"/>
  <c r="E78" i="3"/>
  <c r="F78" i="3"/>
  <c r="G78" i="3"/>
  <c r="H78" i="3"/>
  <c r="I78" i="3"/>
  <c r="J78" i="3"/>
  <c r="AA78" i="3"/>
  <c r="E79" i="3"/>
  <c r="F79" i="3" s="1"/>
  <c r="G79" i="3"/>
  <c r="I79" i="3"/>
  <c r="AA79" i="3"/>
  <c r="E80" i="3"/>
  <c r="G80" i="3" s="1"/>
  <c r="F80" i="3"/>
  <c r="AA80" i="3"/>
  <c r="E81" i="3"/>
  <c r="F81" i="3" s="1"/>
  <c r="J81" i="3"/>
  <c r="AA81" i="3"/>
  <c r="E82" i="3"/>
  <c r="F82" i="3" s="1"/>
  <c r="AA82" i="3"/>
  <c r="E83" i="3"/>
  <c r="F83" i="3" s="1"/>
  <c r="G83" i="3"/>
  <c r="H83" i="3"/>
  <c r="I83" i="3"/>
  <c r="J83" i="3"/>
  <c r="AA83" i="3"/>
  <c r="E84" i="3"/>
  <c r="F84" i="3" s="1"/>
  <c r="H84" i="3"/>
  <c r="AA84" i="3"/>
  <c r="E85" i="3"/>
  <c r="I85" i="3" s="1"/>
  <c r="F85" i="3"/>
  <c r="G85" i="3"/>
  <c r="H85" i="3"/>
  <c r="AA85" i="3"/>
  <c r="E86" i="3"/>
  <c r="I86" i="3" s="1"/>
  <c r="F86" i="3"/>
  <c r="G86" i="3"/>
  <c r="H86" i="3"/>
  <c r="J86" i="3"/>
  <c r="AA86" i="3"/>
  <c r="E87" i="3"/>
  <c r="F87" i="3" s="1"/>
  <c r="AA87" i="3"/>
  <c r="E88" i="3"/>
  <c r="G88" i="3" s="1"/>
  <c r="F88" i="3"/>
  <c r="H88" i="3"/>
  <c r="I88" i="3"/>
  <c r="J88" i="3"/>
  <c r="AA88" i="3"/>
  <c r="E89" i="3"/>
  <c r="F89" i="3" s="1"/>
  <c r="I89" i="3"/>
  <c r="AA89" i="3"/>
  <c r="E90" i="3"/>
  <c r="F90" i="3"/>
  <c r="G90" i="3"/>
  <c r="H90" i="3"/>
  <c r="I90" i="3"/>
  <c r="J90" i="3"/>
  <c r="AA90" i="3"/>
  <c r="E91" i="3"/>
  <c r="F91" i="3" s="1"/>
  <c r="G91" i="3"/>
  <c r="H91" i="3"/>
  <c r="I91" i="3"/>
  <c r="AA91" i="3"/>
  <c r="E92" i="3"/>
  <c r="G92" i="3" s="1"/>
  <c r="F92" i="3"/>
  <c r="AA92" i="3"/>
  <c r="E93" i="3"/>
  <c r="F93" i="3" s="1"/>
  <c r="J93" i="3"/>
  <c r="AA93" i="3"/>
  <c r="E94" i="3"/>
  <c r="F94" i="3" s="1"/>
  <c r="AA94" i="3"/>
  <c r="E95" i="3"/>
  <c r="F95" i="3" s="1"/>
  <c r="G95" i="3"/>
  <c r="H95" i="3"/>
  <c r="I95" i="3"/>
  <c r="J95" i="3"/>
  <c r="AA95" i="3"/>
  <c r="E96" i="3"/>
  <c r="F96" i="3" s="1"/>
  <c r="H96" i="3"/>
  <c r="AA96" i="3"/>
  <c r="E97" i="3"/>
  <c r="I97" i="3" s="1"/>
  <c r="F97" i="3"/>
  <c r="G97" i="3"/>
  <c r="H97" i="3"/>
  <c r="AA97" i="3"/>
  <c r="E98" i="3"/>
  <c r="I98" i="3" s="1"/>
  <c r="F98" i="3"/>
  <c r="G98" i="3"/>
  <c r="H98" i="3"/>
  <c r="J98" i="3"/>
  <c r="AA98" i="3"/>
  <c r="E99" i="3"/>
  <c r="F99" i="3" s="1"/>
  <c r="AA99" i="3"/>
  <c r="E100" i="3"/>
  <c r="F100" i="3" s="1"/>
  <c r="H100" i="3"/>
  <c r="I100" i="3"/>
  <c r="J100" i="3"/>
  <c r="AA100" i="3"/>
  <c r="E101" i="3"/>
  <c r="F101" i="3" s="1"/>
  <c r="I101" i="3"/>
  <c r="AA101" i="3"/>
  <c r="E102" i="3"/>
  <c r="F102" i="3"/>
  <c r="G102" i="3"/>
  <c r="H102" i="3"/>
  <c r="I102" i="3"/>
  <c r="J102" i="3"/>
  <c r="AA102" i="3"/>
  <c r="E103" i="3"/>
  <c r="F103" i="3" s="1"/>
  <c r="G103" i="3"/>
  <c r="H103" i="3"/>
  <c r="I103" i="3"/>
  <c r="AA103" i="3"/>
  <c r="E104" i="3"/>
  <c r="G104" i="3" s="1"/>
  <c r="F104" i="3"/>
  <c r="AA104" i="3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M94" i="1" s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M87" i="1" s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M79" i="1" s="1"/>
  <c r="L78" i="1"/>
  <c r="K78" i="1"/>
  <c r="L77" i="1"/>
  <c r="K77" i="1"/>
  <c r="AB74" i="1"/>
  <c r="AD74" i="1" s="1"/>
  <c r="AA74" i="1"/>
  <c r="Z74" i="1"/>
  <c r="Y74" i="1"/>
  <c r="V74" i="1"/>
  <c r="U74" i="1"/>
  <c r="AB73" i="1"/>
  <c r="AA73" i="1"/>
  <c r="Z73" i="1"/>
  <c r="Y73" i="1"/>
  <c r="V73" i="1"/>
  <c r="U73" i="1"/>
  <c r="AB72" i="1"/>
  <c r="AA72" i="1"/>
  <c r="Z72" i="1"/>
  <c r="Y72" i="1"/>
  <c r="AC72" i="1" s="1"/>
  <c r="V72" i="1"/>
  <c r="U72" i="1"/>
  <c r="AB71" i="1"/>
  <c r="AA71" i="1"/>
  <c r="Z71" i="1"/>
  <c r="Y71" i="1"/>
  <c r="V71" i="1"/>
  <c r="U71" i="1"/>
  <c r="AB70" i="1"/>
  <c r="AA70" i="1"/>
  <c r="Z70" i="1"/>
  <c r="Y70" i="1"/>
  <c r="V70" i="1"/>
  <c r="U70" i="1"/>
  <c r="AB69" i="1"/>
  <c r="AA69" i="1"/>
  <c r="Z69" i="1"/>
  <c r="Y69" i="1"/>
  <c r="V69" i="1"/>
  <c r="U69" i="1"/>
  <c r="AB68" i="1"/>
  <c r="AA68" i="1"/>
  <c r="Z68" i="1"/>
  <c r="Y68" i="1"/>
  <c r="V68" i="1"/>
  <c r="U68" i="1"/>
  <c r="AB67" i="1"/>
  <c r="AA67" i="1"/>
  <c r="Z67" i="1"/>
  <c r="Y67" i="1"/>
  <c r="AE67" i="1" s="1"/>
  <c r="AF67" i="1" s="1"/>
  <c r="V67" i="1"/>
  <c r="U67" i="1"/>
  <c r="AB66" i="1"/>
  <c r="AA66" i="1"/>
  <c r="Z66" i="1"/>
  <c r="Y66" i="1"/>
  <c r="V66" i="1"/>
  <c r="U66" i="1"/>
  <c r="AB65" i="1"/>
  <c r="AA65" i="1"/>
  <c r="Z65" i="1"/>
  <c r="Y65" i="1"/>
  <c r="V65" i="1"/>
  <c r="U65" i="1"/>
  <c r="AB64" i="1"/>
  <c r="AA64" i="1"/>
  <c r="Z64" i="1"/>
  <c r="Y64" i="1"/>
  <c r="V64" i="1"/>
  <c r="U64" i="1"/>
  <c r="AB63" i="1"/>
  <c r="AA63" i="1"/>
  <c r="Z63" i="1"/>
  <c r="Y63" i="1"/>
  <c r="V63" i="1"/>
  <c r="U63" i="1"/>
  <c r="AB62" i="1"/>
  <c r="AA62" i="1"/>
  <c r="Z62" i="1"/>
  <c r="Y62" i="1"/>
  <c r="V62" i="1"/>
  <c r="U62" i="1"/>
  <c r="AB61" i="1"/>
  <c r="AA61" i="1"/>
  <c r="Z61" i="1"/>
  <c r="Y61" i="1"/>
  <c r="AE61" i="1" s="1"/>
  <c r="AF61" i="1" s="1"/>
  <c r="V61" i="1"/>
  <c r="U61" i="1"/>
  <c r="AB60" i="1"/>
  <c r="AA60" i="1"/>
  <c r="Z60" i="1"/>
  <c r="Y60" i="1"/>
  <c r="V60" i="1"/>
  <c r="U60" i="1"/>
  <c r="AB59" i="1"/>
  <c r="AA59" i="1"/>
  <c r="Z59" i="1"/>
  <c r="Y59" i="1"/>
  <c r="V59" i="1"/>
  <c r="U59" i="1"/>
  <c r="AB58" i="1"/>
  <c r="AA58" i="1"/>
  <c r="Z58" i="1"/>
  <c r="Y58" i="1"/>
  <c r="V58" i="1"/>
  <c r="U58" i="1"/>
  <c r="AB57" i="1"/>
  <c r="AA57" i="1"/>
  <c r="Z57" i="1"/>
  <c r="Y57" i="1"/>
  <c r="V57" i="1"/>
  <c r="U57" i="1"/>
  <c r="AB56" i="1"/>
  <c r="AA56" i="1"/>
  <c r="Z56" i="1"/>
  <c r="Y56" i="1"/>
  <c r="V56" i="1"/>
  <c r="U56" i="1"/>
  <c r="AB55" i="1"/>
  <c r="AA55" i="1"/>
  <c r="AD55" i="1" s="1"/>
  <c r="Z55" i="1"/>
  <c r="Y55" i="1"/>
  <c r="V55" i="1"/>
  <c r="U55" i="1"/>
  <c r="AB54" i="1"/>
  <c r="AA54" i="1"/>
  <c r="Z54" i="1"/>
  <c r="Y54" i="1"/>
  <c r="V54" i="1"/>
  <c r="U54" i="1"/>
  <c r="AB53" i="1"/>
  <c r="AA53" i="1"/>
  <c r="AD53" i="1" s="1"/>
  <c r="Z53" i="1"/>
  <c r="Y53" i="1"/>
  <c r="V53" i="1"/>
  <c r="U53" i="1"/>
  <c r="AB52" i="1"/>
  <c r="AA52" i="1"/>
  <c r="Z52" i="1"/>
  <c r="Y52" i="1"/>
  <c r="V52" i="1"/>
  <c r="U52" i="1"/>
  <c r="AB51" i="1"/>
  <c r="AA51" i="1"/>
  <c r="AD51" i="1" s="1"/>
  <c r="Z51" i="1"/>
  <c r="Y51" i="1"/>
  <c r="V51" i="1"/>
  <c r="U51" i="1"/>
  <c r="AB50" i="1"/>
  <c r="AA50" i="1"/>
  <c r="Z50" i="1"/>
  <c r="Y50" i="1"/>
  <c r="V50" i="1"/>
  <c r="U50" i="1"/>
  <c r="AB49" i="1"/>
  <c r="AA49" i="1"/>
  <c r="Z49" i="1"/>
  <c r="Y49" i="1"/>
  <c r="V49" i="1"/>
  <c r="U49" i="1"/>
  <c r="AB48" i="1"/>
  <c r="AA48" i="1"/>
  <c r="Z48" i="1"/>
  <c r="Y48" i="1"/>
  <c r="V48" i="1"/>
  <c r="U48" i="1"/>
  <c r="AB47" i="1"/>
  <c r="AA47" i="1"/>
  <c r="Z47" i="1"/>
  <c r="Y47" i="1"/>
  <c r="V47" i="1"/>
  <c r="U47" i="1"/>
  <c r="AB46" i="1"/>
  <c r="AA46" i="1"/>
  <c r="Z46" i="1"/>
  <c r="Y46" i="1"/>
  <c r="V46" i="1"/>
  <c r="U46" i="1"/>
  <c r="AB45" i="1"/>
  <c r="AA45" i="1"/>
  <c r="Z45" i="1"/>
  <c r="Y45" i="1"/>
  <c r="V45" i="1"/>
  <c r="U45" i="1"/>
  <c r="AB44" i="1"/>
  <c r="AA44" i="1"/>
  <c r="Z44" i="1"/>
  <c r="Y44" i="1"/>
  <c r="V44" i="1"/>
  <c r="U44" i="1"/>
  <c r="AB43" i="1"/>
  <c r="AA43" i="1"/>
  <c r="Z43" i="1"/>
  <c r="Y43" i="1"/>
  <c r="AE43" i="1" s="1"/>
  <c r="AF43" i="1" s="1"/>
  <c r="V43" i="1"/>
  <c r="U43" i="1"/>
  <c r="AB42" i="1"/>
  <c r="AA42" i="1"/>
  <c r="Z42" i="1"/>
  <c r="Y42" i="1"/>
  <c r="V42" i="1"/>
  <c r="U42" i="1"/>
  <c r="AB41" i="1"/>
  <c r="AA41" i="1"/>
  <c r="Z41" i="1"/>
  <c r="Y41" i="1"/>
  <c r="AC41" i="1" s="1"/>
  <c r="V41" i="1"/>
  <c r="U41" i="1"/>
  <c r="AB40" i="1"/>
  <c r="AA40" i="1"/>
  <c r="Z40" i="1"/>
  <c r="Y40" i="1"/>
  <c r="V40" i="1"/>
  <c r="U40" i="1"/>
  <c r="AB39" i="1"/>
  <c r="AA39" i="1"/>
  <c r="Z39" i="1"/>
  <c r="Y39" i="1"/>
  <c r="AE39" i="1" s="1"/>
  <c r="AF39" i="1" s="1"/>
  <c r="V39" i="1"/>
  <c r="U39" i="1"/>
  <c r="AE38" i="1"/>
  <c r="AB38" i="1"/>
  <c r="AA38" i="1"/>
  <c r="Z38" i="1"/>
  <c r="Y38" i="1"/>
  <c r="V38" i="1"/>
  <c r="U38" i="1"/>
  <c r="U112" i="1" s="1"/>
  <c r="AB37" i="1"/>
  <c r="AA37" i="1"/>
  <c r="Z37" i="1"/>
  <c r="Y37" i="1"/>
  <c r="V37" i="1"/>
  <c r="U37" i="1"/>
  <c r="AB36" i="1"/>
  <c r="AA36" i="1"/>
  <c r="Z36" i="1"/>
  <c r="Y36" i="1"/>
  <c r="V36" i="1"/>
  <c r="V110" i="1" s="1"/>
  <c r="U36" i="1"/>
  <c r="AB35" i="1"/>
  <c r="AA35" i="1"/>
  <c r="Z35" i="1"/>
  <c r="Y35" i="1"/>
  <c r="V35" i="1"/>
  <c r="U35" i="1"/>
  <c r="U34" i="1"/>
  <c r="U33" i="1"/>
  <c r="U32" i="1"/>
  <c r="U31" i="1"/>
  <c r="U30" i="1"/>
  <c r="U29" i="1"/>
  <c r="U28" i="1"/>
  <c r="U27" i="1"/>
  <c r="U26" i="1"/>
  <c r="U100" i="1" s="1"/>
  <c r="U25" i="1"/>
  <c r="U24" i="1"/>
  <c r="U23" i="1"/>
  <c r="U22" i="1"/>
  <c r="U21" i="1"/>
  <c r="U20" i="1"/>
  <c r="U94" i="1" s="1"/>
  <c r="U19" i="1"/>
  <c r="U18" i="1"/>
  <c r="U17" i="1"/>
  <c r="U16" i="1"/>
  <c r="U15" i="1"/>
  <c r="U14" i="1"/>
  <c r="U13" i="1"/>
  <c r="U12" i="1"/>
  <c r="U86" i="1" s="1"/>
  <c r="U11" i="1"/>
  <c r="U10" i="1"/>
  <c r="U84" i="1" s="1"/>
  <c r="U9" i="1"/>
  <c r="U8" i="1"/>
  <c r="U7" i="1"/>
  <c r="U6" i="1"/>
  <c r="U5" i="1"/>
  <c r="U4" i="1"/>
  <c r="U3" i="1"/>
  <c r="V34" i="1"/>
  <c r="V108" i="1" s="1"/>
  <c r="V33" i="1"/>
  <c r="V32" i="1"/>
  <c r="V106" i="1" s="1"/>
  <c r="V31" i="1"/>
  <c r="V30" i="1"/>
  <c r="V29" i="1"/>
  <c r="V28" i="1"/>
  <c r="V27" i="1"/>
  <c r="V26" i="1"/>
  <c r="V25" i="1"/>
  <c r="V24" i="1"/>
  <c r="V23" i="1"/>
  <c r="V22" i="1"/>
  <c r="V96" i="1" s="1"/>
  <c r="V21" i="1"/>
  <c r="V95" i="1" s="1"/>
  <c r="V20" i="1"/>
  <c r="V19" i="1"/>
  <c r="V18" i="1"/>
  <c r="V17" i="1"/>
  <c r="V16" i="1"/>
  <c r="V15" i="1"/>
  <c r="V14" i="1"/>
  <c r="V13" i="1"/>
  <c r="V12" i="1"/>
  <c r="V11" i="1"/>
  <c r="V10" i="1"/>
  <c r="V84" i="1" s="1"/>
  <c r="V9" i="1"/>
  <c r="V8" i="1"/>
  <c r="V82" i="1" s="1"/>
  <c r="V7" i="1"/>
  <c r="V6" i="1"/>
  <c r="V80" i="1" s="1"/>
  <c r="V5" i="1"/>
  <c r="V4" i="1"/>
  <c r="V78" i="1" s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J15" i="3" l="1"/>
  <c r="I15" i="3"/>
  <c r="H15" i="3"/>
  <c r="J12" i="3"/>
  <c r="I12" i="3"/>
  <c r="H12" i="3"/>
  <c r="J9" i="3"/>
  <c r="H9" i="3"/>
  <c r="I9" i="3"/>
  <c r="J6" i="3"/>
  <c r="H6" i="3"/>
  <c r="I6" i="3"/>
  <c r="I75" i="3"/>
  <c r="I71" i="3"/>
  <c r="I67" i="3"/>
  <c r="I63" i="3"/>
  <c r="I59" i="3"/>
  <c r="I55" i="3"/>
  <c r="I51" i="3"/>
  <c r="I47" i="3"/>
  <c r="I43" i="3"/>
  <c r="I39" i="3"/>
  <c r="I35" i="3"/>
  <c r="I31" i="3"/>
  <c r="I27" i="3"/>
  <c r="I23" i="3"/>
  <c r="I19" i="3"/>
  <c r="G15" i="3"/>
  <c r="G12" i="3"/>
  <c r="G9" i="3"/>
  <c r="G6" i="3"/>
  <c r="I93" i="3"/>
  <c r="J103" i="3"/>
  <c r="G100" i="3"/>
  <c r="H93" i="3"/>
  <c r="J91" i="3"/>
  <c r="H81" i="3"/>
  <c r="J79" i="3"/>
  <c r="H75" i="3"/>
  <c r="H71" i="3"/>
  <c r="H67" i="3"/>
  <c r="H63" i="3"/>
  <c r="H59" i="3"/>
  <c r="H55" i="3"/>
  <c r="H51" i="3"/>
  <c r="H47" i="3"/>
  <c r="H43" i="3"/>
  <c r="J16" i="3"/>
  <c r="J13" i="3"/>
  <c r="J10" i="3"/>
  <c r="J7" i="3"/>
  <c r="I81" i="3"/>
  <c r="J96" i="3"/>
  <c r="G93" i="3"/>
  <c r="J84" i="3"/>
  <c r="G81" i="3"/>
  <c r="J76" i="3"/>
  <c r="G75" i="3"/>
  <c r="J72" i="3"/>
  <c r="G71" i="3"/>
  <c r="J68" i="3"/>
  <c r="G67" i="3"/>
  <c r="J64" i="3"/>
  <c r="G63" i="3"/>
  <c r="J60" i="3"/>
  <c r="G59" i="3"/>
  <c r="J56" i="3"/>
  <c r="G55" i="3"/>
  <c r="J52" i="3"/>
  <c r="G51" i="3"/>
  <c r="J48" i="3"/>
  <c r="G47" i="3"/>
  <c r="J44" i="3"/>
  <c r="G43" i="3"/>
  <c r="J40" i="3"/>
  <c r="J36" i="3"/>
  <c r="J32" i="3"/>
  <c r="J28" i="3"/>
  <c r="J24" i="3"/>
  <c r="J20" i="3"/>
  <c r="I16" i="3"/>
  <c r="I13" i="3"/>
  <c r="I10" i="3"/>
  <c r="I7" i="3"/>
  <c r="J101" i="3"/>
  <c r="I96" i="3"/>
  <c r="J89" i="3"/>
  <c r="I84" i="3"/>
  <c r="H79" i="3"/>
  <c r="I76" i="3"/>
  <c r="I72" i="3"/>
  <c r="I68" i="3"/>
  <c r="I64" i="3"/>
  <c r="I60" i="3"/>
  <c r="I56" i="3"/>
  <c r="I52" i="3"/>
  <c r="I48" i="3"/>
  <c r="I44" i="3"/>
  <c r="I40" i="3"/>
  <c r="I36" i="3"/>
  <c r="I32" i="3"/>
  <c r="I28" i="3"/>
  <c r="I24" i="3"/>
  <c r="I20" i="3"/>
  <c r="H16" i="3"/>
  <c r="H13" i="3"/>
  <c r="H10" i="3"/>
  <c r="H7" i="3"/>
  <c r="J82" i="3"/>
  <c r="H40" i="3"/>
  <c r="H36" i="3"/>
  <c r="H32" i="3"/>
  <c r="H28" i="3"/>
  <c r="H24" i="3"/>
  <c r="H20" i="3"/>
  <c r="G16" i="3"/>
  <c r="G13" i="3"/>
  <c r="G10" i="3"/>
  <c r="G7" i="3"/>
  <c r="J94" i="3"/>
  <c r="H101" i="3"/>
  <c r="J99" i="3"/>
  <c r="G96" i="3"/>
  <c r="I94" i="3"/>
  <c r="H89" i="3"/>
  <c r="J87" i="3"/>
  <c r="G84" i="3"/>
  <c r="I82" i="3"/>
  <c r="J77" i="3"/>
  <c r="G76" i="3"/>
  <c r="J73" i="3"/>
  <c r="G72" i="3"/>
  <c r="J69" i="3"/>
  <c r="G68" i="3"/>
  <c r="J65" i="3"/>
  <c r="G64" i="3"/>
  <c r="J61" i="3"/>
  <c r="G60" i="3"/>
  <c r="J57" i="3"/>
  <c r="G56" i="3"/>
  <c r="J53" i="3"/>
  <c r="G52" i="3"/>
  <c r="J49" i="3"/>
  <c r="G48" i="3"/>
  <c r="J45" i="3"/>
  <c r="G44" i="3"/>
  <c r="J41" i="3"/>
  <c r="G40" i="3"/>
  <c r="J37" i="3"/>
  <c r="G36" i="3"/>
  <c r="J33" i="3"/>
  <c r="G32" i="3"/>
  <c r="J29" i="3"/>
  <c r="G28" i="3"/>
  <c r="J25" i="3"/>
  <c r="G24" i="3"/>
  <c r="J21" i="3"/>
  <c r="G20" i="3"/>
  <c r="J17" i="3"/>
  <c r="J14" i="3"/>
  <c r="J11" i="3"/>
  <c r="J8" i="3"/>
  <c r="J5" i="3"/>
  <c r="J104" i="3"/>
  <c r="G101" i="3"/>
  <c r="I99" i="3"/>
  <c r="H94" i="3"/>
  <c r="J92" i="3"/>
  <c r="G89" i="3"/>
  <c r="I87" i="3"/>
  <c r="H82" i="3"/>
  <c r="J80" i="3"/>
  <c r="I77" i="3"/>
  <c r="I73" i="3"/>
  <c r="I69" i="3"/>
  <c r="I65" i="3"/>
  <c r="I61" i="3"/>
  <c r="I57" i="3"/>
  <c r="I53" i="3"/>
  <c r="I49" i="3"/>
  <c r="I45" i="3"/>
  <c r="I41" i="3"/>
  <c r="I37" i="3"/>
  <c r="I33" i="3"/>
  <c r="I29" i="3"/>
  <c r="I25" i="3"/>
  <c r="I21" i="3"/>
  <c r="I17" i="3"/>
  <c r="I14" i="3"/>
  <c r="I11" i="3"/>
  <c r="I8" i="3"/>
  <c r="I5" i="3"/>
  <c r="I104" i="3"/>
  <c r="H99" i="3"/>
  <c r="J97" i="3"/>
  <c r="G94" i="3"/>
  <c r="I92" i="3"/>
  <c r="H87" i="3"/>
  <c r="J85" i="3"/>
  <c r="G82" i="3"/>
  <c r="I80" i="3"/>
  <c r="H77" i="3"/>
  <c r="H73" i="3"/>
  <c r="H69" i="3"/>
  <c r="H65" i="3"/>
  <c r="H61" i="3"/>
  <c r="H57" i="3"/>
  <c r="H53" i="3"/>
  <c r="H49" i="3"/>
  <c r="H45" i="3"/>
  <c r="H41" i="3"/>
  <c r="H37" i="3"/>
  <c r="H33" i="3"/>
  <c r="H29" i="3"/>
  <c r="H25" i="3"/>
  <c r="H21" i="3"/>
  <c r="H17" i="3"/>
  <c r="H14" i="3"/>
  <c r="H11" i="3"/>
  <c r="H8" i="3"/>
  <c r="H5" i="3"/>
  <c r="H104" i="3"/>
  <c r="G99" i="3"/>
  <c r="H92" i="3"/>
  <c r="G87" i="3"/>
  <c r="H80" i="3"/>
  <c r="G77" i="3"/>
  <c r="G73" i="3"/>
  <c r="G69" i="3"/>
  <c r="G65" i="3"/>
  <c r="G61" i="3"/>
  <c r="G57" i="3"/>
  <c r="G53" i="3"/>
  <c r="G49" i="3"/>
  <c r="G45" i="3"/>
  <c r="G41" i="3"/>
  <c r="G37" i="3"/>
  <c r="G33" i="3"/>
  <c r="G29" i="3"/>
  <c r="G25" i="3"/>
  <c r="G21" i="3"/>
  <c r="G17" i="3"/>
  <c r="G14" i="3"/>
  <c r="B137" i="3" s="1"/>
  <c r="G11" i="3"/>
  <c r="G8" i="3"/>
  <c r="G5" i="3"/>
  <c r="B139" i="3" s="1"/>
  <c r="V85" i="1"/>
  <c r="V97" i="1"/>
  <c r="U89" i="1"/>
  <c r="U101" i="1"/>
  <c r="M78" i="1"/>
  <c r="V99" i="1"/>
  <c r="U103" i="1"/>
  <c r="U105" i="1"/>
  <c r="AD62" i="1"/>
  <c r="AD64" i="1"/>
  <c r="AD66" i="1"/>
  <c r="AD70" i="1"/>
  <c r="AD72" i="1"/>
  <c r="U109" i="1"/>
  <c r="U99" i="1"/>
  <c r="AD37" i="1"/>
  <c r="V112" i="1"/>
  <c r="AC36" i="1"/>
  <c r="AC110" i="1" s="1"/>
  <c r="U107" i="1"/>
  <c r="AE44" i="1"/>
  <c r="AC60" i="1"/>
  <c r="AE55" i="1"/>
  <c r="AF55" i="1" s="1"/>
  <c r="M102" i="1"/>
  <c r="V101" i="1"/>
  <c r="AE56" i="1"/>
  <c r="V103" i="1"/>
  <c r="AC66" i="1"/>
  <c r="AE68" i="1"/>
  <c r="AD50" i="1"/>
  <c r="V105" i="1"/>
  <c r="U111" i="1"/>
  <c r="V109" i="1"/>
  <c r="V111" i="1"/>
  <c r="V107" i="1"/>
  <c r="V92" i="1"/>
  <c r="U96" i="1"/>
  <c r="AD38" i="1"/>
  <c r="AD112" i="1" s="1"/>
  <c r="AE48" i="1"/>
  <c r="AF48" i="1" s="1"/>
  <c r="AC54" i="1"/>
  <c r="U104" i="1"/>
  <c r="AC67" i="1"/>
  <c r="AD73" i="1"/>
  <c r="AD111" i="1" s="1"/>
  <c r="M96" i="1"/>
  <c r="M85" i="1"/>
  <c r="AE37" i="1"/>
  <c r="AF37" i="1" s="1"/>
  <c r="U88" i="1"/>
  <c r="AD27" i="1"/>
  <c r="U98" i="1"/>
  <c r="U77" i="1"/>
  <c r="AE49" i="1"/>
  <c r="AF49" i="1" s="1"/>
  <c r="V94" i="1"/>
  <c r="V86" i="1"/>
  <c r="V98" i="1"/>
  <c r="U78" i="1"/>
  <c r="U90" i="1"/>
  <c r="U102" i="1"/>
  <c r="AC61" i="1"/>
  <c r="AD68" i="1"/>
  <c r="M82" i="1"/>
  <c r="V90" i="1"/>
  <c r="U82" i="1"/>
  <c r="AE69" i="1"/>
  <c r="AF69" i="1" s="1"/>
  <c r="M77" i="1"/>
  <c r="M83" i="1"/>
  <c r="M112" i="1"/>
  <c r="AE62" i="1"/>
  <c r="U91" i="1"/>
  <c r="M106" i="1"/>
  <c r="AD34" i="1"/>
  <c r="V88" i="1"/>
  <c r="V100" i="1"/>
  <c r="U80" i="1"/>
  <c r="U92" i="1"/>
  <c r="U110" i="1"/>
  <c r="AD39" i="1"/>
  <c r="AD41" i="1"/>
  <c r="AD43" i="1"/>
  <c r="AE51" i="1"/>
  <c r="AF51" i="1" s="1"/>
  <c r="M97" i="1"/>
  <c r="M107" i="1"/>
  <c r="U79" i="1"/>
  <c r="V89" i="1"/>
  <c r="U81" i="1"/>
  <c r="U93" i="1"/>
  <c r="AD45" i="1"/>
  <c r="AD47" i="1"/>
  <c r="AE57" i="1"/>
  <c r="AF57" i="1" s="1"/>
  <c r="M81" i="1"/>
  <c r="M98" i="1"/>
  <c r="AD8" i="1"/>
  <c r="AD82" i="1" s="1"/>
  <c r="U106" i="1"/>
  <c r="V79" i="1"/>
  <c r="V91" i="1"/>
  <c r="U83" i="1"/>
  <c r="U95" i="1"/>
  <c r="M90" i="1"/>
  <c r="V87" i="1"/>
  <c r="V104" i="1"/>
  <c r="U108" i="1"/>
  <c r="AD36" i="1"/>
  <c r="AD110" i="1" s="1"/>
  <c r="AC42" i="1"/>
  <c r="AD61" i="1"/>
  <c r="M109" i="1"/>
  <c r="V102" i="1"/>
  <c r="V81" i="1"/>
  <c r="V93" i="1"/>
  <c r="U85" i="1"/>
  <c r="U97" i="1"/>
  <c r="AD63" i="1"/>
  <c r="AD65" i="1"/>
  <c r="AD67" i="1"/>
  <c r="M99" i="1"/>
  <c r="V83" i="1"/>
  <c r="U87" i="1"/>
  <c r="AD44" i="1"/>
  <c r="AD46" i="1"/>
  <c r="AD48" i="1"/>
  <c r="AE73" i="1"/>
  <c r="AF73" i="1" s="1"/>
  <c r="M95" i="1"/>
  <c r="AC37" i="1"/>
  <c r="AD52" i="1"/>
  <c r="AD54" i="1"/>
  <c r="AD56" i="1"/>
  <c r="AD69" i="1"/>
  <c r="AD71" i="1"/>
  <c r="M111" i="1"/>
  <c r="M84" i="1"/>
  <c r="M86" i="1"/>
  <c r="M88" i="1"/>
  <c r="M92" i="1"/>
  <c r="AE36" i="1"/>
  <c r="AF36" i="1" s="1"/>
  <c r="AE28" i="1"/>
  <c r="AF28" i="1" s="1"/>
  <c r="AF44" i="1"/>
  <c r="AC49" i="1"/>
  <c r="AE60" i="1"/>
  <c r="AF60" i="1" s="1"/>
  <c r="X17" i="2"/>
  <c r="T17" i="2"/>
  <c r="AD58" i="1"/>
  <c r="AD60" i="1"/>
  <c r="AF62" i="1"/>
  <c r="M100" i="1"/>
  <c r="M104" i="1"/>
  <c r="M108" i="1"/>
  <c r="M110" i="1"/>
  <c r="M89" i="1"/>
  <c r="M91" i="1"/>
  <c r="M93" i="1"/>
  <c r="AF38" i="1"/>
  <c r="AC48" i="1"/>
  <c r="AC55" i="1"/>
  <c r="AE66" i="1"/>
  <c r="AF66" i="1" s="1"/>
  <c r="AC43" i="1"/>
  <c r="AE45" i="1"/>
  <c r="AF45" i="1" s="1"/>
  <c r="AC47" i="1"/>
  <c r="AE54" i="1"/>
  <c r="AF54" i="1" s="1"/>
  <c r="AD57" i="1"/>
  <c r="AD59" i="1"/>
  <c r="AF68" i="1"/>
  <c r="AC73" i="1"/>
  <c r="M101" i="1"/>
  <c r="M103" i="1"/>
  <c r="M105" i="1"/>
  <c r="R17" i="2"/>
  <c r="V17" i="2"/>
  <c r="AC38" i="1"/>
  <c r="AE42" i="1"/>
  <c r="AF42" i="1" s="1"/>
  <c r="AE50" i="1"/>
  <c r="AF50" i="1" s="1"/>
  <c r="AF56" i="1"/>
  <c r="AD35" i="1"/>
  <c r="AD40" i="1"/>
  <c r="AD42" i="1"/>
  <c r="AD49" i="1"/>
  <c r="AE63" i="1"/>
  <c r="AF63" i="1" s="1"/>
  <c r="AE72" i="1"/>
  <c r="AF72" i="1" s="1"/>
  <c r="M80" i="1"/>
  <c r="V77" i="1"/>
  <c r="AC53" i="1"/>
  <c r="AC59" i="1"/>
  <c r="AC65" i="1"/>
  <c r="AC71" i="1"/>
  <c r="AE35" i="1"/>
  <c r="AF35" i="1" s="1"/>
  <c r="AC40" i="1"/>
  <c r="AC46" i="1"/>
  <c r="AE47" i="1"/>
  <c r="AF47" i="1" s="1"/>
  <c r="AC52" i="1"/>
  <c r="AE53" i="1"/>
  <c r="AF53" i="1" s="1"/>
  <c r="AC58" i="1"/>
  <c r="AE59" i="1"/>
  <c r="AF59" i="1" s="1"/>
  <c r="AC64" i="1"/>
  <c r="AE65" i="1"/>
  <c r="AF65" i="1" s="1"/>
  <c r="AC70" i="1"/>
  <c r="AE71" i="1"/>
  <c r="AF71" i="1" s="1"/>
  <c r="AC35" i="1"/>
  <c r="AE41" i="1"/>
  <c r="AF41" i="1" s="1"/>
  <c r="AC39" i="1"/>
  <c r="AE40" i="1"/>
  <c r="AF40" i="1" s="1"/>
  <c r="AC45" i="1"/>
  <c r="AE46" i="1"/>
  <c r="AF46" i="1" s="1"/>
  <c r="AC51" i="1"/>
  <c r="AE52" i="1"/>
  <c r="AF52" i="1" s="1"/>
  <c r="AC57" i="1"/>
  <c r="AE58" i="1"/>
  <c r="AF58" i="1" s="1"/>
  <c r="AC63" i="1"/>
  <c r="AE64" i="1"/>
  <c r="AF64" i="1" s="1"/>
  <c r="AC69" i="1"/>
  <c r="AE70" i="1"/>
  <c r="AF70" i="1" s="1"/>
  <c r="AC44" i="1"/>
  <c r="AC50" i="1"/>
  <c r="AC56" i="1"/>
  <c r="AC62" i="1"/>
  <c r="AC68" i="1"/>
  <c r="AC74" i="1"/>
  <c r="AE74" i="1"/>
  <c r="AF74" i="1" s="1"/>
  <c r="AD33" i="1"/>
  <c r="AD4" i="1"/>
  <c r="AC34" i="1"/>
  <c r="AC108" i="1" s="1"/>
  <c r="AD28" i="1"/>
  <c r="AD19" i="1"/>
  <c r="AD93" i="1" s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88" i="1" s="1"/>
  <c r="AD23" i="1"/>
  <c r="AD26" i="1"/>
  <c r="AD100" i="1" s="1"/>
  <c r="AC24" i="1"/>
  <c r="AC98" i="1" s="1"/>
  <c r="AC27" i="1"/>
  <c r="AD3" i="1"/>
  <c r="AD77" i="1" s="1"/>
  <c r="AD6" i="1"/>
  <c r="AD80" i="1" s="1"/>
  <c r="AD9" i="1"/>
  <c r="AD12" i="1"/>
  <c r="AD15" i="1"/>
  <c r="AD89" i="1" s="1"/>
  <c r="AD21" i="1"/>
  <c r="AC18" i="1"/>
  <c r="AC92" i="1" s="1"/>
  <c r="AE30" i="1"/>
  <c r="AF30" i="1" s="1"/>
  <c r="AD30" i="1"/>
  <c r="AD104" i="1" s="1"/>
  <c r="AD25" i="1"/>
  <c r="AE22" i="1"/>
  <c r="AF22" i="1" s="1"/>
  <c r="AD31" i="1"/>
  <c r="AD20" i="1"/>
  <c r="AE3" i="1"/>
  <c r="AF3" i="1" s="1"/>
  <c r="AC6" i="1"/>
  <c r="AC12" i="1"/>
  <c r="AC15" i="1"/>
  <c r="AC21" i="1"/>
  <c r="AC95" i="1" s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C104" i="1" s="1"/>
  <c r="AE32" i="1"/>
  <c r="AF32" i="1" s="1"/>
  <c r="AC33" i="1"/>
  <c r="AC20" i="1"/>
  <c r="AC23" i="1"/>
  <c r="AC26" i="1"/>
  <c r="AC29" i="1"/>
  <c r="AC32" i="1"/>
  <c r="AC22" i="1"/>
  <c r="AC25" i="1"/>
  <c r="AC28" i="1"/>
  <c r="AC102" i="1" s="1"/>
  <c r="AC31" i="1"/>
  <c r="AD13" i="1"/>
  <c r="AD16" i="1"/>
  <c r="AD7" i="1"/>
  <c r="AD10" i="1"/>
  <c r="AD5" i="1"/>
  <c r="AC9" i="1"/>
  <c r="AD17" i="1"/>
  <c r="AD91" i="1" s="1"/>
  <c r="AC5" i="1"/>
  <c r="AC79" i="1" s="1"/>
  <c r="AC8" i="1"/>
  <c r="AC11" i="1"/>
  <c r="AC14" i="1"/>
  <c r="AC17" i="1"/>
  <c r="AC91" i="1" s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B113" i="3" l="1"/>
  <c r="B111" i="3"/>
  <c r="B140" i="3"/>
  <c r="B114" i="3"/>
  <c r="B109" i="3"/>
  <c r="B110" i="3"/>
  <c r="B135" i="3"/>
  <c r="B136" i="3"/>
  <c r="AD108" i="1"/>
  <c r="AC103" i="1"/>
  <c r="AC101" i="1"/>
  <c r="AD102" i="1"/>
  <c r="AD101" i="1"/>
  <c r="AD78" i="1"/>
  <c r="AD85" i="1"/>
  <c r="AC78" i="1"/>
  <c r="AC97" i="1"/>
  <c r="AC111" i="1"/>
  <c r="AC106" i="1"/>
  <c r="AC89" i="1"/>
  <c r="AC81" i="1"/>
  <c r="AD84" i="1"/>
  <c r="AD99" i="1"/>
  <c r="AD109" i="1"/>
  <c r="AC93" i="1"/>
  <c r="AC107" i="1"/>
  <c r="AD87" i="1"/>
  <c r="AD107" i="1"/>
  <c r="AC105" i="1"/>
  <c r="AD96" i="1"/>
  <c r="AD98" i="1"/>
  <c r="AC99" i="1"/>
  <c r="AC86" i="1"/>
  <c r="AC80" i="1"/>
  <c r="AD83" i="1"/>
  <c r="AD106" i="1"/>
  <c r="AC112" i="1"/>
  <c r="AD79" i="1"/>
  <c r="AD105" i="1"/>
  <c r="AC94" i="1"/>
  <c r="AC100" i="1"/>
  <c r="AC109" i="1"/>
  <c r="AD94" i="1"/>
  <c r="AD81" i="1"/>
  <c r="AC83" i="1"/>
  <c r="AD97" i="1"/>
  <c r="AD95" i="1"/>
  <c r="AD90" i="1"/>
  <c r="AC85" i="1"/>
  <c r="AC87" i="1"/>
  <c r="AC96" i="1"/>
  <c r="AD103" i="1"/>
  <c r="AD86" i="1"/>
  <c r="AD92" i="1"/>
  <c r="AC88" i="1"/>
  <c r="AC90" i="1"/>
  <c r="AC82" i="1"/>
  <c r="AC77" i="1"/>
  <c r="AC84" i="1"/>
  <c r="N55" i="3" l="1"/>
  <c r="N72" i="3"/>
  <c r="N24" i="3"/>
  <c r="N41" i="3"/>
  <c r="N74" i="3"/>
  <c r="N63" i="3"/>
  <c r="N68" i="3"/>
  <c r="N20" i="3"/>
  <c r="N37" i="3"/>
  <c r="N70" i="3"/>
  <c r="N22" i="3"/>
  <c r="N59" i="3"/>
  <c r="N26" i="3"/>
  <c r="N64" i="3"/>
  <c r="N7" i="3"/>
  <c r="N33" i="3"/>
  <c r="N66" i="3"/>
  <c r="N18" i="3"/>
  <c r="B142" i="3"/>
  <c r="B143" i="3"/>
  <c r="N60" i="3"/>
  <c r="N77" i="3"/>
  <c r="N29" i="3"/>
  <c r="N62" i="3"/>
  <c r="N13" i="3"/>
  <c r="N51" i="3"/>
  <c r="N56" i="3"/>
  <c r="N73" i="3"/>
  <c r="N25" i="3"/>
  <c r="N58" i="3"/>
  <c r="N15" i="3"/>
  <c r="N47" i="3"/>
  <c r="B117" i="3"/>
  <c r="B116" i="3"/>
  <c r="N52" i="3"/>
  <c r="N69" i="3"/>
  <c r="N21" i="3"/>
  <c r="N54" i="3"/>
  <c r="N12" i="3"/>
  <c r="N43" i="3"/>
  <c r="N48" i="3"/>
  <c r="N65" i="3"/>
  <c r="N17" i="3"/>
  <c r="N50" i="3"/>
  <c r="N9" i="3"/>
  <c r="N39" i="3"/>
  <c r="N44" i="3"/>
  <c r="N61" i="3"/>
  <c r="N14" i="3"/>
  <c r="N46" i="3"/>
  <c r="N6" i="3"/>
  <c r="N35" i="3"/>
  <c r="N40" i="3"/>
  <c r="N57" i="3"/>
  <c r="N11" i="3"/>
  <c r="N42" i="3"/>
  <c r="N16" i="3"/>
  <c r="N31" i="3"/>
  <c r="M35" i="3"/>
  <c r="M6" i="3"/>
  <c r="M9" i="3"/>
  <c r="M12" i="3"/>
  <c r="M15" i="3"/>
  <c r="M47" i="3"/>
  <c r="M67" i="3"/>
  <c r="M18" i="3"/>
  <c r="M22" i="3"/>
  <c r="M26" i="3"/>
  <c r="M30" i="3"/>
  <c r="M34" i="3"/>
  <c r="M38" i="3"/>
  <c r="M42" i="3"/>
  <c r="M46" i="3"/>
  <c r="M50" i="3"/>
  <c r="M54" i="3"/>
  <c r="M58" i="3"/>
  <c r="M62" i="3"/>
  <c r="M66" i="3"/>
  <c r="M70" i="3"/>
  <c r="M74" i="3"/>
  <c r="M27" i="3"/>
  <c r="M39" i="3"/>
  <c r="M43" i="3"/>
  <c r="M75" i="3"/>
  <c r="M73" i="3"/>
  <c r="M5" i="3"/>
  <c r="M8" i="3"/>
  <c r="M11" i="3"/>
  <c r="M14" i="3"/>
  <c r="M17" i="3"/>
  <c r="M21" i="3"/>
  <c r="M25" i="3"/>
  <c r="M29" i="3"/>
  <c r="M33" i="3"/>
  <c r="M37" i="3"/>
  <c r="M41" i="3"/>
  <c r="M45" i="3"/>
  <c r="M49" i="3"/>
  <c r="M53" i="3"/>
  <c r="M57" i="3"/>
  <c r="M61" i="3"/>
  <c r="M65" i="3"/>
  <c r="M69" i="3"/>
  <c r="M77" i="3"/>
  <c r="M23" i="3"/>
  <c r="M51" i="3"/>
  <c r="M71" i="3"/>
  <c r="M19" i="3"/>
  <c r="M59" i="3"/>
  <c r="M31" i="3"/>
  <c r="M20" i="3"/>
  <c r="M24" i="3"/>
  <c r="M28" i="3"/>
  <c r="M32" i="3"/>
  <c r="M36" i="3"/>
  <c r="M40" i="3"/>
  <c r="M44" i="3"/>
  <c r="M48" i="3"/>
  <c r="M52" i="3"/>
  <c r="M56" i="3"/>
  <c r="M60" i="3"/>
  <c r="M64" i="3"/>
  <c r="M68" i="3"/>
  <c r="M72" i="3"/>
  <c r="M76" i="3"/>
  <c r="M55" i="3"/>
  <c r="M63" i="3"/>
  <c r="M7" i="3"/>
  <c r="M10" i="3"/>
  <c r="M13" i="3"/>
  <c r="M16" i="3"/>
  <c r="N36" i="3"/>
  <c r="N53" i="3"/>
  <c r="N8" i="3"/>
  <c r="N38" i="3"/>
  <c r="N75" i="3"/>
  <c r="N27" i="3"/>
  <c r="N32" i="3"/>
  <c r="N49" i="3"/>
  <c r="N5" i="3"/>
  <c r="N34" i="3"/>
  <c r="N71" i="3"/>
  <c r="N23" i="3"/>
  <c r="N76" i="3"/>
  <c r="N28" i="3"/>
  <c r="N45" i="3"/>
  <c r="N10" i="3"/>
  <c r="N30" i="3"/>
  <c r="N67" i="3"/>
  <c r="N19" i="3"/>
</calcChain>
</file>

<file path=xl/sharedStrings.xml><?xml version="1.0" encoding="utf-8"?>
<sst xmlns="http://schemas.openxmlformats.org/spreadsheetml/2006/main" count="191" uniqueCount="94">
  <si>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</si>
  <si>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</si>
  <si>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</si>
  <si>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</si>
  <si>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</si>
  <si>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</si>
  <si>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</si>
  <si>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</si>
  <si>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</si>
  <si>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</si>
  <si>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</si>
  <si>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</si>
  <si>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</si>
  <si>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</si>
  <si>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</si>
  <si>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</si>
  <si>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</si>
  <si>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</si>
  <si>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</si>
  <si>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</si>
  <si>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</si>
  <si>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</si>
  <si>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</si>
  <si>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</si>
  <si>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</si>
  <si>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</si>
  <si>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</si>
  <si>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</si>
  <si>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</si>
  <si>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</si>
  <si>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</si>
  <si>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</si>
  <si>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</si>
  <si>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</si>
  <si>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</si>
  <si>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</si>
  <si>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</si>
  <si>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</si>
  <si>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</si>
  <si>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</si>
  <si>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</si>
  <si>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</si>
  <si>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</si>
  <si>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</si>
  <si>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</si>
  <si>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</si>
  <si>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</si>
  <si>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</si>
  <si>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</si>
  <si>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</si>
  <si>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</si>
  <si>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</si>
  <si>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</si>
  <si>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</si>
  <si>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</si>
  <si>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</si>
  <si>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</si>
  <si>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</si>
  <si>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</si>
  <si>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CCW</t>
  </si>
  <si>
    <t>CW</t>
  </si>
  <si>
    <t>(xC-xA)/2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</si>
  <si>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</si>
  <si>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</si>
  <si>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0 najdi sever</t>
  </si>
  <si>
    <t>- _najdi sever 3-move to azimuth-AC-watchdog.py
- HORIZONTAL slepý test 360-kontrola accel-lepší csv-azimut parametr-fixed trim settle-s navratem do A-antibacklash-CW-CCW-I2Coprava-název testu-teplota-oprava2-watchdog.py</t>
  </si>
  <si>
    <t>T19-4</t>
  </si>
  <si>
    <t>Fáze (°, 0-360)</t>
  </si>
  <si>
    <t>Amplituda (°/s)</t>
  </si>
  <si>
    <t>SE odhadu (y)</t>
  </si>
  <si>
    <t>R²</t>
  </si>
  <si>
    <t>a0 (intercept)</t>
  </si>
  <si>
    <t>a_cos</t>
  </si>
  <si>
    <t>a_sin</t>
  </si>
  <si>
    <t>Hodnota</t>
  </si>
  <si>
    <t>Koeficient</t>
  </si>
  <si>
    <t>Osa Y - 1. harmonická (cos θ, sin θ)</t>
  </si>
  <si>
    <t>Osa X - 1. harmonická (cos θ, sin θ)</t>
  </si>
  <si>
    <t>diffY proklad (1H)</t>
  </si>
  <si>
    <t>diffX proklad (1H)</t>
  </si>
  <si>
    <t>Azimut - proklad (°)</t>
  </si>
  <si>
    <t>sin 2θ</t>
  </si>
  <si>
    <t>cos 2θ</t>
  </si>
  <si>
    <t>sin θ</t>
  </si>
  <si>
    <t>cos θ</t>
  </si>
  <si>
    <t>θ (rad)</t>
  </si>
  <si>
    <t>Azimut (°)</t>
  </si>
  <si>
    <t>diffY_prumer (°/s)</t>
  </si>
  <si>
    <t>diffX_prumer (°/s)</t>
  </si>
  <si>
    <t>Modře = vstupní data k přepsání (sloupce A:C). Vlož azimut, diffx_prumer, diffy_prumer z mereni_random_summary.csv.</t>
  </si>
  <si>
    <t>Model: diff(θ) = a0 + a1·cos(θ) + a2·sin(θ)  [+ a3·cos(2θ) + a4·sin(2θ) pro 2. harmonickou]. Amplituda = √(a1²+a2²), fáze = atan2(a2,a1).</t>
  </si>
  <si>
    <t>n_data =</t>
  </si>
  <si>
    <t>Harmonická regrese pomocí LINEST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</si>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</sst>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000"/>
    <numFmt numFmtId="167" formatCode="0.0000"/>
  </numFmts>
  <fonts count="1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2"/>
      <color rgb="FFFF000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BFBFB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9" fillId="0" borderId="0" xfId="0" applyFont="1"/>
    <xf numFmtId="0" fontId="10" fillId="0" borderId="0" xfId="0" applyFont="1"/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1" fillId="0" borderId="16" xfId="0" applyNumberFormat="1" applyFont="1" applyBorder="1"/>
    <xf numFmtId="0" fontId="11" fillId="0" borderId="16" xfId="0" applyFont="1" applyBorder="1"/>
    <xf numFmtId="166" fontId="11" fillId="0" borderId="17" xfId="0" applyNumberFormat="1" applyFont="1" applyBorder="1"/>
    <xf numFmtId="0" fontId="11" fillId="0" borderId="17" xfId="0" applyFont="1" applyBorder="1"/>
    <xf numFmtId="0" fontId="11" fillId="0" borderId="0" xfId="0" applyFont="1" applyAlignment="1">
      <alignment horizontal="center" wrapText="1"/>
    </xf>
    <xf numFmtId="0" fontId="11" fillId="0" borderId="0" xfId="0" applyFont="1"/>
    <xf numFmtId="166" fontId="9" fillId="0" borderId="0" xfId="0" applyNumberFormat="1" applyFont="1"/>
    <xf numFmtId="167" fontId="9" fillId="0" borderId="0" xfId="0" applyNumberFormat="1" applyFont="1"/>
    <xf numFmtId="2" fontId="11" fillId="0" borderId="0" xfId="0" applyNumberFormat="1" applyFont="1"/>
    <xf numFmtId="166" fontId="11" fillId="0" borderId="0" xfId="0" applyNumberFormat="1" applyFont="1"/>
    <xf numFmtId="166" fontId="11" fillId="0" borderId="16" xfId="0" applyNumberFormat="1" applyFont="1" applyBorder="1"/>
    <xf numFmtId="166" fontId="9" fillId="0" borderId="16" xfId="0" applyNumberFormat="1" applyFont="1" applyBorder="1"/>
    <xf numFmtId="0" fontId="9" fillId="0" borderId="16" xfId="0" applyFont="1" applyBorder="1"/>
    <xf numFmtId="167" fontId="9" fillId="0" borderId="16" xfId="0" applyNumberFormat="1" applyFont="1" applyBorder="1"/>
    <xf numFmtId="0" fontId="11" fillId="3" borderId="16" xfId="0" applyFont="1" applyFill="1" applyBorder="1"/>
    <xf numFmtId="164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6" fontId="9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'T19-4'!$U$2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'T19-4'!$U$3:$U$38</c:f>
              <c:numCache>
                <c:formatCode>0.000000</c:formatCode>
                <c:ptCount val="36"/>
                <c:pt idx="0">
                  <c:v>7.6502999999999988E-4</c:v>
                </c:pt>
                <c:pt idx="1">
                  <c:v>3.6821400000000004E-3</c:v>
                </c:pt>
                <c:pt idx="2">
                  <c:v>3.6249399999999932E-3</c:v>
                </c:pt>
                <c:pt idx="3">
                  <c:v>4.1718299999999875E-3</c:v>
                </c:pt>
                <c:pt idx="4">
                  <c:v>1.1083000000000065E-3</c:v>
                </c:pt>
                <c:pt idx="5">
                  <c:v>2.9541200000000045E-3</c:v>
                </c:pt>
                <c:pt idx="6">
                  <c:v>1.1843800000000126E-3</c:v>
                </c:pt>
                <c:pt idx="7">
                  <c:v>-1.1714300000000011E-3</c:v>
                </c:pt>
                <c:pt idx="8">
                  <c:v>-3.1396000000000202E-4</c:v>
                </c:pt>
                <c:pt idx="9">
                  <c:v>-3.2708200000000076E-3</c:v>
                </c:pt>
                <c:pt idx="10">
                  <c:v>1.5149899999999938E-3</c:v>
                </c:pt>
                <c:pt idx="11">
                  <c:v>-1.1777599999999999E-3</c:v>
                </c:pt>
                <c:pt idx="12">
                  <c:v>-1.0575099999999837E-3</c:v>
                </c:pt>
                <c:pt idx="13">
                  <c:v>-4.8375200000000118E-3</c:v>
                </c:pt>
                <c:pt idx="14">
                  <c:v>-1.5166500000000083E-3</c:v>
                </c:pt>
                <c:pt idx="15">
                  <c:v>-2.9428900000000036E-3</c:v>
                </c:pt>
                <c:pt idx="16">
                  <c:v>-1.4812399999999948E-3</c:v>
                </c:pt>
                <c:pt idx="17">
                  <c:v>-4.0500099999999928E-3</c:v>
                </c:pt>
                <c:pt idx="18">
                  <c:v>-2.6714399999999972E-3</c:v>
                </c:pt>
                <c:pt idx="19">
                  <c:v>1.6899599999999904E-3</c:v>
                </c:pt>
                <c:pt idx="20">
                  <c:v>-6.2625099999999989E-3</c:v>
                </c:pt>
                <c:pt idx="21">
                  <c:v>-4.2300299999999957E-3</c:v>
                </c:pt>
                <c:pt idx="22">
                  <c:v>-3.6833299999999847E-3</c:v>
                </c:pt>
                <c:pt idx="23">
                  <c:v>-3.1437500000000007E-3</c:v>
                </c:pt>
                <c:pt idx="24">
                  <c:v>-6.7256000000001648E-4</c:v>
                </c:pt>
                <c:pt idx="25">
                  <c:v>6.5000000000001168E-4</c:v>
                </c:pt>
                <c:pt idx="26">
                  <c:v>-1.4299999999994872E-5</c:v>
                </c:pt>
                <c:pt idx="27">
                  <c:v>3.2814000000000454E-4</c:v>
                </c:pt>
                <c:pt idx="28">
                  <c:v>4.6783999999999715E-4</c:v>
                </c:pt>
                <c:pt idx="29">
                  <c:v>-5.7911999999998853E-4</c:v>
                </c:pt>
                <c:pt idx="30">
                  <c:v>9.3249000000000803E-4</c:v>
                </c:pt>
                <c:pt idx="31">
                  <c:v>2.164239999999984E-3</c:v>
                </c:pt>
                <c:pt idx="32">
                  <c:v>3.4750500000000073E-3</c:v>
                </c:pt>
                <c:pt idx="33">
                  <c:v>9.1384999999999383E-4</c:v>
                </c:pt>
                <c:pt idx="34">
                  <c:v>2.9357000000000133E-3</c:v>
                </c:pt>
                <c:pt idx="35">
                  <c:v>-1.4625600000000016E-3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'T19-4'!$V$3:$V$38</c:f>
              <c:numCache>
                <c:formatCode>0.000000</c:formatCode>
                <c:ptCount val="36"/>
                <c:pt idx="0">
                  <c:v>7.0500000000001117E-4</c:v>
                </c:pt>
                <c:pt idx="1">
                  <c:v>-2.1143000000000134E-3</c:v>
                </c:pt>
                <c:pt idx="2">
                  <c:v>5.4707600000000189E-3</c:v>
                </c:pt>
                <c:pt idx="3">
                  <c:v>-6.250000000040945E-6</c:v>
                </c:pt>
                <c:pt idx="4">
                  <c:v>-9.4167000000000556E-4</c:v>
                </c:pt>
                <c:pt idx="5">
                  <c:v>2.3041899999999838E-3</c:v>
                </c:pt>
                <c:pt idx="6">
                  <c:v>3.018749999999959E-3</c:v>
                </c:pt>
                <c:pt idx="7">
                  <c:v>2.4464299999999994E-3</c:v>
                </c:pt>
                <c:pt idx="8">
                  <c:v>2.4722400000000144E-3</c:v>
                </c:pt>
                <c:pt idx="9">
                  <c:v>1.7625000000000002E-3</c:v>
                </c:pt>
                <c:pt idx="10">
                  <c:v>4.2574599999999907E-3</c:v>
                </c:pt>
                <c:pt idx="11">
                  <c:v>1.947230000000022E-3</c:v>
                </c:pt>
                <c:pt idx="12">
                  <c:v>1.2001999999999846E-4</c:v>
                </c:pt>
                <c:pt idx="13">
                  <c:v>1.5250700000000172E-3</c:v>
                </c:pt>
                <c:pt idx="14">
                  <c:v>1.0291499999999787E-3</c:v>
                </c:pt>
                <c:pt idx="15">
                  <c:v>4.2964999999999809E-3</c:v>
                </c:pt>
                <c:pt idx="16">
                  <c:v>3.3126999999999462E-4</c:v>
                </c:pt>
                <c:pt idx="17">
                  <c:v>-9.9994999999997169E-4</c:v>
                </c:pt>
                <c:pt idx="18">
                  <c:v>1.3357400000000297E-3</c:v>
                </c:pt>
                <c:pt idx="19">
                  <c:v>-4.7991999999996704E-4</c:v>
                </c:pt>
                <c:pt idx="20">
                  <c:v>7.4995999999999396E-4</c:v>
                </c:pt>
                <c:pt idx="21">
                  <c:v>-4.1849999999999943E-3</c:v>
                </c:pt>
                <c:pt idx="22">
                  <c:v>-1.1333399999999827E-3</c:v>
                </c:pt>
                <c:pt idx="23">
                  <c:v>-2.3219000000000434E-3</c:v>
                </c:pt>
                <c:pt idx="24">
                  <c:v>-2.5949499999999848E-3</c:v>
                </c:pt>
                <c:pt idx="25">
                  <c:v>3.1179999999964014E-5</c:v>
                </c:pt>
                <c:pt idx="26">
                  <c:v>-8.7497000000003045E-4</c:v>
                </c:pt>
                <c:pt idx="27">
                  <c:v>-4.9906399999999906E-3</c:v>
                </c:pt>
                <c:pt idx="28">
                  <c:v>-4.6071799999999885E-3</c:v>
                </c:pt>
                <c:pt idx="29">
                  <c:v>-5.0750400000000306E-3</c:v>
                </c:pt>
                <c:pt idx="30">
                  <c:v>-3.4225499999999687E-3</c:v>
                </c:pt>
                <c:pt idx="31">
                  <c:v>-6.9282999999997763E-4</c:v>
                </c:pt>
                <c:pt idx="32">
                  <c:v>-1.3150000000000106E-3</c:v>
                </c:pt>
                <c:pt idx="33">
                  <c:v>-4.94360000000027E-4</c:v>
                </c:pt>
                <c:pt idx="34">
                  <c:v>-4.8821599999999687E-3</c:v>
                </c:pt>
                <c:pt idx="35">
                  <c:v>-1.0812399999999833E-3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'T19-4'!$U$2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'T19-4'!$U$39:$U$74</c:f>
              <c:numCache>
                <c:formatCode>0.000000</c:formatCode>
                <c:ptCount val="36"/>
                <c:pt idx="0">
                  <c:v>1.8249800000000038E-3</c:v>
                </c:pt>
                <c:pt idx="1">
                  <c:v>4.1333099999999734E-3</c:v>
                </c:pt>
                <c:pt idx="2">
                  <c:v>3.3458400000000166E-3</c:v>
                </c:pt>
                <c:pt idx="3">
                  <c:v>1.5062600000000093E-3</c:v>
                </c:pt>
                <c:pt idx="4">
                  <c:v>9.549899999999889E-4</c:v>
                </c:pt>
                <c:pt idx="5">
                  <c:v>3.0480800000000086E-3</c:v>
                </c:pt>
                <c:pt idx="6">
                  <c:v>2.3791599999999913E-3</c:v>
                </c:pt>
                <c:pt idx="7">
                  <c:v>1.0041100000000025E-3</c:v>
                </c:pt>
                <c:pt idx="8">
                  <c:v>-1.6860900000000012E-3</c:v>
                </c:pt>
                <c:pt idx="9">
                  <c:v>-6.7480000000008644E-5</c:v>
                </c:pt>
                <c:pt idx="10">
                  <c:v>1.399499999999998E-4</c:v>
                </c:pt>
                <c:pt idx="11">
                  <c:v>-2.1812599999999904E-3</c:v>
                </c:pt>
                <c:pt idx="12">
                  <c:v>-1.4041499999999929E-3</c:v>
                </c:pt>
                <c:pt idx="13">
                  <c:v>2.9849799999999982E-3</c:v>
                </c:pt>
                <c:pt idx="14">
                  <c:v>-3.7667200000000012E-3</c:v>
                </c:pt>
                <c:pt idx="15">
                  <c:v>-5.3375000000000228E-3</c:v>
                </c:pt>
                <c:pt idx="16">
                  <c:v>-2.1531399999999978E-3</c:v>
                </c:pt>
                <c:pt idx="17">
                  <c:v>-3.1948999999997785E-4</c:v>
                </c:pt>
                <c:pt idx="18">
                  <c:v>-5.112560000000016E-3</c:v>
                </c:pt>
                <c:pt idx="19">
                  <c:v>-1.9583000000000794E-4</c:v>
                </c:pt>
                <c:pt idx="20">
                  <c:v>5.8218000000001546E-4</c:v>
                </c:pt>
                <c:pt idx="21">
                  <c:v>-2.7187200000000078E-3</c:v>
                </c:pt>
                <c:pt idx="22">
                  <c:v>-2.3250199999999832E-3</c:v>
                </c:pt>
                <c:pt idx="23">
                  <c:v>-2.2194500000000117E-3</c:v>
                </c:pt>
                <c:pt idx="24">
                  <c:v>-3.4785799999999811E-3</c:v>
                </c:pt>
                <c:pt idx="25">
                  <c:v>-7.1878000000000219E-4</c:v>
                </c:pt>
                <c:pt idx="26">
                  <c:v>1.4856699999999945E-3</c:v>
                </c:pt>
                <c:pt idx="27">
                  <c:v>1.6416399999999998E-3</c:v>
                </c:pt>
                <c:pt idx="28">
                  <c:v>-1.3249700000000086E-3</c:v>
                </c:pt>
                <c:pt idx="29">
                  <c:v>4.8570000000000557E-4</c:v>
                </c:pt>
                <c:pt idx="30">
                  <c:v>1.610689999999998E-3</c:v>
                </c:pt>
                <c:pt idx="31">
                  <c:v>-4.0997999999997647E-4</c:v>
                </c:pt>
                <c:pt idx="32">
                  <c:v>2.7650200000000069E-3</c:v>
                </c:pt>
                <c:pt idx="33">
                  <c:v>4.4916800000000257E-3</c:v>
                </c:pt>
                <c:pt idx="34">
                  <c:v>1.2496000000000729E-4</c:v>
                </c:pt>
                <c:pt idx="35">
                  <c:v>1.9649700000000103E-3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'T19-4'!$V$2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'T19-4'!$V$39:$V$74</c:f>
              <c:numCache>
                <c:formatCode>0.000000</c:formatCode>
                <c:ptCount val="36"/>
                <c:pt idx="0">
                  <c:v>-3.3124800000000065E-3</c:v>
                </c:pt>
                <c:pt idx="1">
                  <c:v>4.4157999999999697E-4</c:v>
                </c:pt>
                <c:pt idx="2">
                  <c:v>2.1292700000000164E-3</c:v>
                </c:pt>
                <c:pt idx="3">
                  <c:v>1.1146000000000211E-3</c:v>
                </c:pt>
                <c:pt idx="4">
                  <c:v>1.5749599999999586E-3</c:v>
                </c:pt>
                <c:pt idx="5">
                  <c:v>1.8423299999999476E-3</c:v>
                </c:pt>
                <c:pt idx="6">
                  <c:v>2.8291400000000078E-3</c:v>
                </c:pt>
                <c:pt idx="7">
                  <c:v>4.8999999999999599E-3</c:v>
                </c:pt>
                <c:pt idx="8">
                  <c:v>3.3555600000000352E-3</c:v>
                </c:pt>
                <c:pt idx="9">
                  <c:v>4.9474999999999936E-3</c:v>
                </c:pt>
                <c:pt idx="10">
                  <c:v>1.3650000000000051E-3</c:v>
                </c:pt>
                <c:pt idx="11">
                  <c:v>1.6188300000000155E-3</c:v>
                </c:pt>
                <c:pt idx="12">
                  <c:v>1.850049999999992E-3</c:v>
                </c:pt>
                <c:pt idx="13">
                  <c:v>5.5549799999999872E-3</c:v>
                </c:pt>
                <c:pt idx="14">
                  <c:v>3.4834000000000254E-3</c:v>
                </c:pt>
                <c:pt idx="15">
                  <c:v>1.203120000000002E-3</c:v>
                </c:pt>
                <c:pt idx="16">
                  <c:v>8.312500000000056E-4</c:v>
                </c:pt>
                <c:pt idx="17">
                  <c:v>1.3606999999998814E-4</c:v>
                </c:pt>
                <c:pt idx="18">
                  <c:v>2.0936999999999761E-3</c:v>
                </c:pt>
                <c:pt idx="19">
                  <c:v>-9.3334999999999946E-4</c:v>
                </c:pt>
                <c:pt idx="20">
                  <c:v>-2.6464500000000224E-3</c:v>
                </c:pt>
                <c:pt idx="21">
                  <c:v>-1.7750300000000108E-3</c:v>
                </c:pt>
                <c:pt idx="22">
                  <c:v>1.5748999999998237E-4</c:v>
                </c:pt>
                <c:pt idx="23">
                  <c:v>-6.3900000000005619E-5</c:v>
                </c:pt>
                <c:pt idx="24">
                  <c:v>8.1425000000001635E-4</c:v>
                </c:pt>
                <c:pt idx="25">
                  <c:v>-1.8000100000000185E-3</c:v>
                </c:pt>
                <c:pt idx="26">
                  <c:v>-4.6606999999999621E-3</c:v>
                </c:pt>
                <c:pt idx="27">
                  <c:v>-2.2999600000000453E-3</c:v>
                </c:pt>
                <c:pt idx="28">
                  <c:v>-9.3577000000000243E-4</c:v>
                </c:pt>
                <c:pt idx="29">
                  <c:v>-5.0856899999999761E-3</c:v>
                </c:pt>
                <c:pt idx="30">
                  <c:v>-4.3571499999999763E-3</c:v>
                </c:pt>
                <c:pt idx="31">
                  <c:v>-2.9600000000000182E-3</c:v>
                </c:pt>
                <c:pt idx="32">
                  <c:v>-8.6995000000000822E-4</c:v>
                </c:pt>
                <c:pt idx="33">
                  <c:v>-8.7502000000000413E-4</c:v>
                </c:pt>
                <c:pt idx="34">
                  <c:v>-2.5875399999999993E-3</c:v>
                </c:pt>
                <c:pt idx="35">
                  <c:v>4.4949999999988055E-5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'T19-4'!$AC$2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'T19-4'!$AC$77:$AC$112</c:f>
              <c:numCache>
                <c:formatCode>General</c:formatCode>
                <c:ptCount val="36"/>
                <c:pt idx="0">
                  <c:v>4.0773007292184964</c:v>
                </c:pt>
                <c:pt idx="1">
                  <c:v>4.0695437585346506</c:v>
                </c:pt>
                <c:pt idx="2">
                  <c:v>3.9286166100973854</c:v>
                </c:pt>
                <c:pt idx="3">
                  <c:v>3.8758808861822427</c:v>
                </c:pt>
                <c:pt idx="4">
                  <c:v>3.7611485866720447</c:v>
                </c:pt>
                <c:pt idx="5">
                  <c:v>3.5522679487099587</c:v>
                </c:pt>
                <c:pt idx="6">
                  <c:v>3.3664844773404052</c:v>
                </c:pt>
                <c:pt idx="7">
                  <c:v>3.1931604119887949</c:v>
                </c:pt>
                <c:pt idx="8">
                  <c:v>2.9342558119181676</c:v>
                </c:pt>
                <c:pt idx="9">
                  <c:v>2.6528426085963224</c:v>
                </c:pt>
                <c:pt idx="10">
                  <c:v>2.3838262847875713</c:v>
                </c:pt>
                <c:pt idx="11">
                  <c:v>2.089238382607439</c:v>
                </c:pt>
                <c:pt idx="12">
                  <c:v>1.7829231642572432</c:v>
                </c:pt>
                <c:pt idx="13">
                  <c:v>1.4554244184390965</c:v>
                </c:pt>
                <c:pt idx="14">
                  <c:v>1.1263328231065772</c:v>
                </c:pt>
                <c:pt idx="15">
                  <c:v>0.79590297450080927</c:v>
                </c:pt>
                <c:pt idx="16">
                  <c:v>0.48529084050315607</c:v>
                </c:pt>
                <c:pt idx="17">
                  <c:v>0.25094614574096979</c:v>
                </c:pt>
                <c:pt idx="18">
                  <c:v>0.45818539645726752</c:v>
                </c:pt>
                <c:pt idx="19">
                  <c:v>0.78338186738743931</c:v>
                </c:pt>
                <c:pt idx="20">
                  <c:v>1.0587226796580029</c:v>
                </c:pt>
                <c:pt idx="21">
                  <c:v>1.406202426165502</c:v>
                </c:pt>
                <c:pt idx="22">
                  <c:v>1.7299780363943058</c:v>
                </c:pt>
                <c:pt idx="23">
                  <c:v>2.0838539879352007</c:v>
                </c:pt>
                <c:pt idx="24">
                  <c:v>2.3324508852684165</c:v>
                </c:pt>
                <c:pt idx="25">
                  <c:v>2.6260167894264024</c:v>
                </c:pt>
                <c:pt idx="26">
                  <c:v>2.9161008798671459</c:v>
                </c:pt>
                <c:pt idx="27">
                  <c:v>3.1483091940903218</c:v>
                </c:pt>
                <c:pt idx="28">
                  <c:v>3.3565541146907991</c:v>
                </c:pt>
                <c:pt idx="29">
                  <c:v>3.5908740085064146</c:v>
                </c:pt>
                <c:pt idx="30">
                  <c:v>3.740272613078778</c:v>
                </c:pt>
                <c:pt idx="31">
                  <c:v>3.9080546752800274</c:v>
                </c:pt>
                <c:pt idx="32">
                  <c:v>4.013368986346169</c:v>
                </c:pt>
                <c:pt idx="33">
                  <c:v>4.0497939849520304</c:v>
                </c:pt>
                <c:pt idx="34">
                  <c:v>4.0890724556044855</c:v>
                </c:pt>
                <c:pt idx="35">
                  <c:v>4.0882095024977758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'T19-4'!$AD$2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'T19-4'!$AD$77:$AD$112</c:f>
              <c:numCache>
                <c:formatCode>General</c:formatCode>
                <c:ptCount val="36"/>
                <c:pt idx="0">
                  <c:v>0.45377485323210653</c:v>
                </c:pt>
                <c:pt idx="1">
                  <c:v>0.76227155694810644</c:v>
                </c:pt>
                <c:pt idx="2">
                  <c:v>1.0496837374163053</c:v>
                </c:pt>
                <c:pt idx="3">
                  <c:v>1.4025777589651505</c:v>
                </c:pt>
                <c:pt idx="4">
                  <c:v>1.7705987598559094</c:v>
                </c:pt>
                <c:pt idx="5">
                  <c:v>2.027007152339011</c:v>
                </c:pt>
                <c:pt idx="6">
                  <c:v>2.3472405294257603</c:v>
                </c:pt>
                <c:pt idx="7">
                  <c:v>2.6626125393731956</c:v>
                </c:pt>
                <c:pt idx="8">
                  <c:v>2.9143689108739892</c:v>
                </c:pt>
                <c:pt idx="9">
                  <c:v>3.1437614042588282</c:v>
                </c:pt>
                <c:pt idx="10">
                  <c:v>3.3516994551786423</c:v>
                </c:pt>
                <c:pt idx="11">
                  <c:v>3.5468954111909827</c:v>
                </c:pt>
                <c:pt idx="12">
                  <c:v>3.6943846208723858</c:v>
                </c:pt>
                <c:pt idx="13">
                  <c:v>3.8887554808855294</c:v>
                </c:pt>
                <c:pt idx="14">
                  <c:v>3.9074687998192497</c:v>
                </c:pt>
                <c:pt idx="15">
                  <c:v>4.0482580173743461</c:v>
                </c:pt>
                <c:pt idx="16">
                  <c:v>4.1177793201400874</c:v>
                </c:pt>
                <c:pt idx="17">
                  <c:v>4.100274889331283</c:v>
                </c:pt>
                <c:pt idx="18">
                  <c:v>4.1087804689862555</c:v>
                </c:pt>
                <c:pt idx="19">
                  <c:v>4.0695621095700947</c:v>
                </c:pt>
                <c:pt idx="20">
                  <c:v>3.9905839655382795</c:v>
                </c:pt>
                <c:pt idx="21">
                  <c:v>3.8603675546532581</c:v>
                </c:pt>
                <c:pt idx="22">
                  <c:v>3.7556250024259077</c:v>
                </c:pt>
                <c:pt idx="23">
                  <c:v>3.6236545304041679</c:v>
                </c:pt>
                <c:pt idx="24">
                  <c:v>3.3898105840954464</c:v>
                </c:pt>
                <c:pt idx="25">
                  <c:v>3.1725157759587308</c:v>
                </c:pt>
                <c:pt idx="26">
                  <c:v>2.9355383202985497</c:v>
                </c:pt>
                <c:pt idx="27">
                  <c:v>2.6952411782647463</c:v>
                </c:pt>
                <c:pt idx="28">
                  <c:v>2.3970077727549106</c:v>
                </c:pt>
                <c:pt idx="29">
                  <c:v>2.1247214025884666</c:v>
                </c:pt>
                <c:pt idx="30">
                  <c:v>1.8131553034346128</c:v>
                </c:pt>
                <c:pt idx="31">
                  <c:v>1.4488355574358591</c:v>
                </c:pt>
                <c:pt idx="32">
                  <c:v>1.1488567541938302</c:v>
                </c:pt>
                <c:pt idx="33">
                  <c:v>0.82308147755741334</c:v>
                </c:pt>
                <c:pt idx="34">
                  <c:v>0.52436948463324773</c:v>
                </c:pt>
                <c:pt idx="35">
                  <c:v>0.34031950907542408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'T19-4'!$K$2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'T19-4'!$K$77:$K$112</c:f>
              <c:numCache>
                <c:formatCode>General</c:formatCode>
                <c:ptCount val="36"/>
                <c:pt idx="0">
                  <c:v>24.445</c:v>
                </c:pt>
                <c:pt idx="1">
                  <c:v>24.09</c:v>
                </c:pt>
                <c:pt idx="2">
                  <c:v>24.66</c:v>
                </c:pt>
                <c:pt idx="3">
                  <c:v>24.245000000000001</c:v>
                </c:pt>
                <c:pt idx="4">
                  <c:v>23.68</c:v>
                </c:pt>
                <c:pt idx="5">
                  <c:v>24.490000000000002</c:v>
                </c:pt>
                <c:pt idx="6">
                  <c:v>24.13</c:v>
                </c:pt>
                <c:pt idx="7">
                  <c:v>23.84</c:v>
                </c:pt>
                <c:pt idx="8">
                  <c:v>23.990000000000002</c:v>
                </c:pt>
                <c:pt idx="9">
                  <c:v>24.365000000000002</c:v>
                </c:pt>
                <c:pt idx="10">
                  <c:v>24.28</c:v>
                </c:pt>
                <c:pt idx="11">
                  <c:v>24.369999999999997</c:v>
                </c:pt>
                <c:pt idx="12">
                  <c:v>24.434999999999999</c:v>
                </c:pt>
                <c:pt idx="13">
                  <c:v>23.740000000000002</c:v>
                </c:pt>
                <c:pt idx="14">
                  <c:v>24.634999999999998</c:v>
                </c:pt>
                <c:pt idx="15">
                  <c:v>24.26</c:v>
                </c:pt>
                <c:pt idx="16">
                  <c:v>24.259999999999998</c:v>
                </c:pt>
                <c:pt idx="17">
                  <c:v>24.675000000000001</c:v>
                </c:pt>
                <c:pt idx="18">
                  <c:v>24.185000000000002</c:v>
                </c:pt>
                <c:pt idx="19">
                  <c:v>23.875</c:v>
                </c:pt>
                <c:pt idx="20">
                  <c:v>24.504999999999999</c:v>
                </c:pt>
                <c:pt idx="21">
                  <c:v>24.505000000000003</c:v>
                </c:pt>
                <c:pt idx="22">
                  <c:v>24.16</c:v>
                </c:pt>
                <c:pt idx="23">
                  <c:v>23.835000000000001</c:v>
                </c:pt>
                <c:pt idx="24">
                  <c:v>24.57</c:v>
                </c:pt>
                <c:pt idx="25">
                  <c:v>24.145</c:v>
                </c:pt>
                <c:pt idx="26">
                  <c:v>24.015000000000001</c:v>
                </c:pt>
                <c:pt idx="27">
                  <c:v>24.02</c:v>
                </c:pt>
                <c:pt idx="28">
                  <c:v>24.255000000000003</c:v>
                </c:pt>
                <c:pt idx="29">
                  <c:v>23.865000000000002</c:v>
                </c:pt>
                <c:pt idx="30">
                  <c:v>24.16</c:v>
                </c:pt>
                <c:pt idx="31">
                  <c:v>24.045000000000002</c:v>
                </c:pt>
                <c:pt idx="32">
                  <c:v>23.58</c:v>
                </c:pt>
                <c:pt idx="33">
                  <c:v>24.1</c:v>
                </c:pt>
                <c:pt idx="34">
                  <c:v>24.184999999999999</c:v>
                </c:pt>
                <c:pt idx="35">
                  <c:v>24.11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'T19-4'!$L$2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'T19-4'!$L$77:$L$112</c:f>
              <c:numCache>
                <c:formatCode>General</c:formatCode>
                <c:ptCount val="36"/>
                <c:pt idx="0">
                  <c:v>24.454999999999998</c:v>
                </c:pt>
                <c:pt idx="1">
                  <c:v>24.09</c:v>
                </c:pt>
                <c:pt idx="2">
                  <c:v>24.65</c:v>
                </c:pt>
                <c:pt idx="3">
                  <c:v>24.25</c:v>
                </c:pt>
                <c:pt idx="4">
                  <c:v>23.674999999999997</c:v>
                </c:pt>
                <c:pt idx="5">
                  <c:v>24.490000000000002</c:v>
                </c:pt>
                <c:pt idx="6">
                  <c:v>24.15</c:v>
                </c:pt>
                <c:pt idx="7">
                  <c:v>23.844999999999999</c:v>
                </c:pt>
                <c:pt idx="8">
                  <c:v>23.984999999999999</c:v>
                </c:pt>
                <c:pt idx="9">
                  <c:v>24.384999999999998</c:v>
                </c:pt>
                <c:pt idx="10">
                  <c:v>24.274999999999999</c:v>
                </c:pt>
                <c:pt idx="11">
                  <c:v>24.375</c:v>
                </c:pt>
                <c:pt idx="12">
                  <c:v>24.434999999999999</c:v>
                </c:pt>
                <c:pt idx="13">
                  <c:v>23.715</c:v>
                </c:pt>
                <c:pt idx="14">
                  <c:v>24.645</c:v>
                </c:pt>
                <c:pt idx="15">
                  <c:v>24.255000000000003</c:v>
                </c:pt>
                <c:pt idx="16">
                  <c:v>24.265000000000001</c:v>
                </c:pt>
                <c:pt idx="17">
                  <c:v>24.67</c:v>
                </c:pt>
                <c:pt idx="18">
                  <c:v>24.18</c:v>
                </c:pt>
                <c:pt idx="19">
                  <c:v>23.87</c:v>
                </c:pt>
                <c:pt idx="20">
                  <c:v>24.5</c:v>
                </c:pt>
                <c:pt idx="21">
                  <c:v>24.509999999999998</c:v>
                </c:pt>
                <c:pt idx="22">
                  <c:v>24.155000000000001</c:v>
                </c:pt>
                <c:pt idx="23">
                  <c:v>23.824999999999999</c:v>
                </c:pt>
                <c:pt idx="24">
                  <c:v>24.57</c:v>
                </c:pt>
                <c:pt idx="25">
                  <c:v>24.125</c:v>
                </c:pt>
                <c:pt idx="26">
                  <c:v>24.004999999999999</c:v>
                </c:pt>
                <c:pt idx="27">
                  <c:v>24.009999999999998</c:v>
                </c:pt>
                <c:pt idx="28">
                  <c:v>24.259999999999998</c:v>
                </c:pt>
                <c:pt idx="29">
                  <c:v>23.86</c:v>
                </c:pt>
                <c:pt idx="30">
                  <c:v>24.164999999999999</c:v>
                </c:pt>
                <c:pt idx="31">
                  <c:v>24.045000000000002</c:v>
                </c:pt>
                <c:pt idx="32">
                  <c:v>23.58</c:v>
                </c:pt>
                <c:pt idx="33">
                  <c:v>24.09</c:v>
                </c:pt>
                <c:pt idx="34">
                  <c:v>24.189999999999998</c:v>
                </c:pt>
                <c:pt idx="35">
                  <c:v>24.115000000000002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'T19-4'!$D$3:$D$38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3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2</c:v>
                </c:pt>
                <c:pt idx="14">
                  <c:v>6</c:v>
                </c:pt>
                <c:pt idx="15">
                  <c:v>7</c:v>
                </c:pt>
                <c:pt idx="16">
                  <c:v>4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8</c:v>
                </c:pt>
                <c:pt idx="24">
                  <c:v>10</c:v>
                </c:pt>
                <c:pt idx="25">
                  <c:v>4</c:v>
                </c:pt>
                <c:pt idx="26">
                  <c:v>7</c:v>
                </c:pt>
                <c:pt idx="27">
                  <c:v>8</c:v>
                </c:pt>
                <c:pt idx="28">
                  <c:v>7</c:v>
                </c:pt>
                <c:pt idx="29">
                  <c:v>6</c:v>
                </c:pt>
                <c:pt idx="30">
                  <c:v>10</c:v>
                </c:pt>
                <c:pt idx="31">
                  <c:v>7</c:v>
                </c:pt>
                <c:pt idx="32">
                  <c:v>5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'T19-4'!$C$3:$C$38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'T19-4'!$D$39:$D$74</c:f>
              <c:numCache>
                <c:formatCode>General</c:formatCode>
                <c:ptCount val="36"/>
                <c:pt idx="0">
                  <c:v>4</c:v>
                </c:pt>
                <c:pt idx="1">
                  <c:v>9</c:v>
                </c:pt>
                <c:pt idx="2">
                  <c:v>6</c:v>
                </c:pt>
                <c:pt idx="3">
                  <c:v>12</c:v>
                </c:pt>
                <c:pt idx="4">
                  <c:v>5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  <c:pt idx="10">
                  <c:v>5</c:v>
                </c:pt>
                <c:pt idx="11">
                  <c:v>4</c:v>
                </c:pt>
                <c:pt idx="12">
                  <c:v>12</c:v>
                </c:pt>
                <c:pt idx="13">
                  <c:v>5</c:v>
                </c:pt>
                <c:pt idx="14">
                  <c:v>3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2">
                  <c:v>10</c:v>
                </c:pt>
                <c:pt idx="23">
                  <c:v>9</c:v>
                </c:pt>
                <c:pt idx="24">
                  <c:v>7</c:v>
                </c:pt>
                <c:pt idx="25">
                  <c:v>4</c:v>
                </c:pt>
                <c:pt idx="26">
                  <c:v>7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5</c:v>
                </c:pt>
                <c:pt idx="32">
                  <c:v>10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'T19-4'!$M$2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'T19-4'!$M$77:$M$112</c:f>
              <c:numCache>
                <c:formatCode>General</c:formatCode>
                <c:ptCount val="36"/>
                <c:pt idx="0">
                  <c:v>-9.9999999999980105E-3</c:v>
                </c:pt>
                <c:pt idx="1">
                  <c:v>0</c:v>
                </c:pt>
                <c:pt idx="2">
                  <c:v>1.0000000000001563E-2</c:v>
                </c:pt>
                <c:pt idx="3">
                  <c:v>-4.9999999999990052E-3</c:v>
                </c:pt>
                <c:pt idx="4">
                  <c:v>5.000000000002558E-3</c:v>
                </c:pt>
                <c:pt idx="5">
                  <c:v>0</c:v>
                </c:pt>
                <c:pt idx="6">
                  <c:v>-1.9999999999999574E-2</c:v>
                </c:pt>
                <c:pt idx="7">
                  <c:v>-4.9999999999990052E-3</c:v>
                </c:pt>
                <c:pt idx="8">
                  <c:v>5.000000000002558E-3</c:v>
                </c:pt>
                <c:pt idx="9">
                  <c:v>-1.9999999999996021E-2</c:v>
                </c:pt>
                <c:pt idx="10">
                  <c:v>5.000000000002558E-3</c:v>
                </c:pt>
                <c:pt idx="11">
                  <c:v>-5.000000000002558E-3</c:v>
                </c:pt>
                <c:pt idx="12">
                  <c:v>0</c:v>
                </c:pt>
                <c:pt idx="13">
                  <c:v>2.5000000000002132E-2</c:v>
                </c:pt>
                <c:pt idx="14">
                  <c:v>-1.0000000000001563E-2</c:v>
                </c:pt>
                <c:pt idx="15">
                  <c:v>4.9999999999990052E-3</c:v>
                </c:pt>
                <c:pt idx="16">
                  <c:v>-5.000000000002558E-3</c:v>
                </c:pt>
                <c:pt idx="17">
                  <c:v>4.9999999999990052E-3</c:v>
                </c:pt>
                <c:pt idx="18">
                  <c:v>5.000000000002558E-3</c:v>
                </c:pt>
                <c:pt idx="19">
                  <c:v>4.9999999999990052E-3</c:v>
                </c:pt>
                <c:pt idx="20">
                  <c:v>4.9999999999990052E-3</c:v>
                </c:pt>
                <c:pt idx="21">
                  <c:v>-4.9999999999954525E-3</c:v>
                </c:pt>
                <c:pt idx="22">
                  <c:v>4.9999999999990052E-3</c:v>
                </c:pt>
                <c:pt idx="23">
                  <c:v>1.0000000000001563E-2</c:v>
                </c:pt>
                <c:pt idx="24">
                  <c:v>0</c:v>
                </c:pt>
                <c:pt idx="25">
                  <c:v>1.9999999999999574E-2</c:v>
                </c:pt>
                <c:pt idx="26">
                  <c:v>1.0000000000001563E-2</c:v>
                </c:pt>
                <c:pt idx="27">
                  <c:v>1.0000000000001563E-2</c:v>
                </c:pt>
                <c:pt idx="28">
                  <c:v>-4.9999999999954525E-3</c:v>
                </c:pt>
                <c:pt idx="29">
                  <c:v>5.000000000002558E-3</c:v>
                </c:pt>
                <c:pt idx="30">
                  <c:v>-4.9999999999990052E-3</c:v>
                </c:pt>
                <c:pt idx="31">
                  <c:v>0</c:v>
                </c:pt>
                <c:pt idx="32">
                  <c:v>0</c:v>
                </c:pt>
                <c:pt idx="33">
                  <c:v>1.0000000000001563E-2</c:v>
                </c:pt>
                <c:pt idx="34">
                  <c:v>-4.9999999999990052E-3</c:v>
                </c:pt>
                <c:pt idx="35">
                  <c:v>-5.000000000002558E-3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'T19-4'!$U$2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'T19-4'!$U$77:$U$112</c:f>
              <c:numCache>
                <c:formatCode>General</c:formatCode>
                <c:ptCount val="36"/>
                <c:pt idx="0">
                  <c:v>1.2950050000000018E-3</c:v>
                </c:pt>
                <c:pt idx="1">
                  <c:v>3.9077249999999869E-3</c:v>
                </c:pt>
                <c:pt idx="2">
                  <c:v>3.4853900000000049E-3</c:v>
                </c:pt>
                <c:pt idx="3">
                  <c:v>2.8390449999999984E-3</c:v>
                </c:pt>
                <c:pt idx="4">
                  <c:v>1.0316449999999977E-3</c:v>
                </c:pt>
                <c:pt idx="5">
                  <c:v>3.0011000000000065E-3</c:v>
                </c:pt>
                <c:pt idx="6">
                  <c:v>1.781770000000002E-3</c:v>
                </c:pt>
                <c:pt idx="7">
                  <c:v>-8.365999999999929E-5</c:v>
                </c:pt>
                <c:pt idx="8">
                  <c:v>-1.0000250000000016E-3</c:v>
                </c:pt>
                <c:pt idx="9">
                  <c:v>-1.6691500000000081E-3</c:v>
                </c:pt>
                <c:pt idx="10">
                  <c:v>8.2746999999999682E-4</c:v>
                </c:pt>
                <c:pt idx="11">
                  <c:v>-1.6795099999999952E-3</c:v>
                </c:pt>
                <c:pt idx="12">
                  <c:v>-1.2308299999999883E-3</c:v>
                </c:pt>
                <c:pt idx="13">
                  <c:v>-9.2627000000000681E-4</c:v>
                </c:pt>
                <c:pt idx="14">
                  <c:v>-2.6416850000000047E-3</c:v>
                </c:pt>
                <c:pt idx="15">
                  <c:v>-4.1401950000000132E-3</c:v>
                </c:pt>
                <c:pt idx="16">
                  <c:v>-1.8171899999999963E-3</c:v>
                </c:pt>
                <c:pt idx="17">
                  <c:v>-2.1847499999999853E-3</c:v>
                </c:pt>
                <c:pt idx="18">
                  <c:v>-3.8920000000000066E-3</c:v>
                </c:pt>
                <c:pt idx="19">
                  <c:v>7.4706499999999121E-4</c:v>
                </c:pt>
                <c:pt idx="20">
                  <c:v>-2.8401649999999917E-3</c:v>
                </c:pt>
                <c:pt idx="21">
                  <c:v>-3.4743750000000018E-3</c:v>
                </c:pt>
                <c:pt idx="22">
                  <c:v>-3.0041749999999839E-3</c:v>
                </c:pt>
                <c:pt idx="23">
                  <c:v>-2.6816000000000062E-3</c:v>
                </c:pt>
                <c:pt idx="24">
                  <c:v>-2.0755699999999988E-3</c:v>
                </c:pt>
                <c:pt idx="25">
                  <c:v>-3.4389999999995258E-5</c:v>
                </c:pt>
                <c:pt idx="26">
                  <c:v>7.3568499999999981E-4</c:v>
                </c:pt>
                <c:pt idx="27">
                  <c:v>9.8489000000000215E-4</c:v>
                </c:pt>
                <c:pt idx="28">
                  <c:v>-4.2856500000000575E-4</c:v>
                </c:pt>
                <c:pt idx="29">
                  <c:v>-4.6709999999991481E-5</c:v>
                </c:pt>
                <c:pt idx="30">
                  <c:v>1.271590000000003E-3</c:v>
                </c:pt>
                <c:pt idx="31">
                  <c:v>8.7713000000000374E-4</c:v>
                </c:pt>
                <c:pt idx="32">
                  <c:v>3.1200350000000071E-3</c:v>
                </c:pt>
                <c:pt idx="33">
                  <c:v>2.7027650000000097E-3</c:v>
                </c:pt>
                <c:pt idx="34">
                  <c:v>1.5303300000000103E-3</c:v>
                </c:pt>
                <c:pt idx="35">
                  <c:v>2.5120500000000434E-4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'T19-4'!$C$77:$C$112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'T19-4'!$V$77:$V$112</c:f>
              <c:numCache>
                <c:formatCode>General</c:formatCode>
                <c:ptCount val="36"/>
                <c:pt idx="0">
                  <c:v>-1.3037399999999977E-3</c:v>
                </c:pt>
                <c:pt idx="1">
                  <c:v>-8.3636000000000821E-4</c:v>
                </c:pt>
                <c:pt idx="2">
                  <c:v>3.8000150000000177E-3</c:v>
                </c:pt>
                <c:pt idx="3">
                  <c:v>5.5417499999999009E-4</c:v>
                </c:pt>
                <c:pt idx="4">
                  <c:v>3.1664499999997653E-4</c:v>
                </c:pt>
                <c:pt idx="5">
                  <c:v>2.0732599999999657E-3</c:v>
                </c:pt>
                <c:pt idx="6">
                  <c:v>2.9239449999999834E-3</c:v>
                </c:pt>
                <c:pt idx="7">
                  <c:v>3.6732149999999797E-3</c:v>
                </c:pt>
                <c:pt idx="8">
                  <c:v>2.9139000000000248E-3</c:v>
                </c:pt>
                <c:pt idx="9">
                  <c:v>3.3549999999999969E-3</c:v>
                </c:pt>
                <c:pt idx="10">
                  <c:v>2.8112299999999979E-3</c:v>
                </c:pt>
                <c:pt idx="11">
                  <c:v>1.7830300000000188E-3</c:v>
                </c:pt>
                <c:pt idx="12">
                  <c:v>9.8503499999999522E-4</c:v>
                </c:pt>
                <c:pt idx="13">
                  <c:v>3.5400250000000022E-3</c:v>
                </c:pt>
                <c:pt idx="14">
                  <c:v>2.256275000000002E-3</c:v>
                </c:pt>
                <c:pt idx="15">
                  <c:v>2.7498099999999914E-3</c:v>
                </c:pt>
                <c:pt idx="16">
                  <c:v>5.8126000000000011E-4</c:v>
                </c:pt>
                <c:pt idx="17">
                  <c:v>-4.3193999999999177E-4</c:v>
                </c:pt>
                <c:pt idx="18">
                  <c:v>1.7147200000000029E-3</c:v>
                </c:pt>
                <c:pt idx="19">
                  <c:v>-7.0663499999998325E-4</c:v>
                </c:pt>
                <c:pt idx="20">
                  <c:v>-9.4824500000001422E-4</c:v>
                </c:pt>
                <c:pt idx="21">
                  <c:v>-2.9800150000000025E-3</c:v>
                </c:pt>
                <c:pt idx="22">
                  <c:v>-4.8792500000000016E-4</c:v>
                </c:pt>
                <c:pt idx="23">
                  <c:v>-1.1929000000000245E-3</c:v>
                </c:pt>
                <c:pt idx="24">
                  <c:v>-8.9034999999998421E-4</c:v>
                </c:pt>
                <c:pt idx="25">
                  <c:v>-8.8441500000002726E-4</c:v>
                </c:pt>
                <c:pt idx="26">
                  <c:v>-2.7678349999999963E-3</c:v>
                </c:pt>
                <c:pt idx="27">
                  <c:v>-3.645300000000018E-3</c:v>
                </c:pt>
                <c:pt idx="28">
                  <c:v>-2.7714749999999955E-3</c:v>
                </c:pt>
                <c:pt idx="29">
                  <c:v>-5.0803650000000034E-3</c:v>
                </c:pt>
                <c:pt idx="30">
                  <c:v>-3.8898499999999725E-3</c:v>
                </c:pt>
                <c:pt idx="31">
                  <c:v>-1.8264149999999979E-3</c:v>
                </c:pt>
                <c:pt idx="32">
                  <c:v>-1.0924750000000094E-3</c:v>
                </c:pt>
                <c:pt idx="33">
                  <c:v>-6.8469000000001556E-4</c:v>
                </c:pt>
                <c:pt idx="34">
                  <c:v>-3.734849999999984E-3</c:v>
                </c:pt>
                <c:pt idx="35">
                  <c:v>-5.1814499999999764E-4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 b="1">
                <a:solidFill>
                  <a:sysClr val="windowText" lastClr="000000"/>
                </a:solidFill>
              </a:rPr>
              <a:t>Harmonická regrese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Regrese!$M$4</c:f>
              <c:strCache>
                <c:ptCount val="1"/>
                <c:pt idx="0">
                  <c:v>diffX proklad (1H)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Regrese!$M$5:$M$77</c:f>
              <c:numCache>
                <c:formatCode>0.0000000</c:formatCode>
                <c:ptCount val="73"/>
                <c:pt idx="0">
                  <c:v>2.4428265461472931E-3</c:v>
                </c:pt>
                <c:pt idx="1">
                  <c:v>2.4291201624605813E-3</c:v>
                </c:pt>
                <c:pt idx="2">
                  <c:v>2.3957722276190256E-3</c:v>
                </c:pt>
                <c:pt idx="3">
                  <c:v>2.3430365395428047E-3</c:v>
                </c:pt>
                <c:pt idx="4">
                  <c:v>2.2713144486608571E-3</c:v>
                </c:pt>
                <c:pt idx="5">
                  <c:v>2.1811518033917768E-3</c:v>
                </c:pt>
                <c:pt idx="6">
                  <c:v>2.0732347959077557E-3</c:v>
                </c:pt>
                <c:pt idx="7">
                  <c:v>1.9483847397978177E-3</c:v>
                </c:pt>
                <c:pt idx="8">
                  <c:v>1.8075518193754843E-3</c:v>
                </c:pt>
                <c:pt idx="9">
                  <c:v>1.6518078582024121E-3</c:v>
                </c:pt>
                <c:pt idx="10">
                  <c:v>1.4823381618639026E-3</c:v>
                </c:pt>
                <c:pt idx="11">
                  <c:v>1.3004324970776928E-3</c:v>
                </c:pt>
                <c:pt idx="12">
                  <c:v>1.1074752757904492E-3</c:v>
                </c:pt>
                <c:pt idx="13">
                  <c:v>9.0493501896692303E-4</c:v>
                </c:pt>
                <c:pt idx="14">
                  <c:v>6.943531802586924E-4</c:v>
                </c:pt>
                <c:pt idx="15">
                  <c:v>4.7733241461111737E-4</c:v>
                </c:pt>
                <c:pt idx="16">
                  <c:v>2.5552438109149801E-4</c:v>
                </c:pt>
                <c:pt idx="17">
                  <c:v>3.0617172766269703E-5</c:v>
                </c:pt>
                <c:pt idx="18">
                  <c:v>-1.9567753070652598E-4</c:v>
                </c:pt>
                <c:pt idx="19">
                  <c:v>-4.2163748999298433E-4</c:v>
                </c:pt>
                <c:pt idx="20">
                  <c:v>-6.4554301336458043E-4</c:v>
                </c:pt>
                <c:pt idx="21">
                  <c:v>-8.6569004459060629E-4</c:v>
                </c:pt>
                <c:pt idx="22">
                  <c:v>-1.0804031318350186E-3</c:v>
                </c:pt>
                <c:pt idx="23">
                  <c:v>-1.2880481788565814E-3</c:v>
                </c:pt>
                <c:pt idx="24">
                  <c:v>-1.4870448814679532E-3</c:v>
                </c:pt>
                <c:pt idx="25">
                  <c:v>-1.6758787546047682E-3</c:v>
                </c:pt>
                <c:pt idx="26">
                  <c:v>-1.8531126584714432E-3</c:v>
                </c:pt>
                <c:pt idx="27">
                  <c:v>-2.0173977360427968E-3</c:v>
                </c:pt>
                <c:pt idx="28">
                  <c:v>-2.1674836786804686E-3</c:v>
                </c:pt>
                <c:pt idx="29">
                  <c:v>-2.3022282417366172E-3</c:v>
                </c:pt>
                <c:pt idx="30">
                  <c:v>-2.4206059377253914E-3</c:v>
                </c:pt>
                <c:pt idx="31">
                  <c:v>-2.5217158409019114E-3</c:v>
                </c:pt>
                <c:pt idx="32">
                  <c:v>-2.6047884438511739E-3</c:v>
                </c:pt>
                <c:pt idx="33">
                  <c:v>-2.6691915139041272E-3</c:v>
                </c:pt>
                <c:pt idx="34">
                  <c:v>-2.7144349048100311E-3</c:v>
                </c:pt>
                <c:pt idx="35">
                  <c:v>-2.7401742870453846E-3</c:v>
                </c:pt>
                <c:pt idx="36">
                  <c:v>-2.7462137683695125E-3</c:v>
                </c:pt>
                <c:pt idx="37">
                  <c:v>-2.7325073846828007E-3</c:v>
                </c:pt>
                <c:pt idx="38">
                  <c:v>-2.699159449841245E-3</c:v>
                </c:pt>
                <c:pt idx="39">
                  <c:v>-2.6464237617650241E-3</c:v>
                </c:pt>
                <c:pt idx="40">
                  <c:v>-2.5747016708830765E-3</c:v>
                </c:pt>
                <c:pt idx="41">
                  <c:v>-2.4845390256139966E-3</c:v>
                </c:pt>
                <c:pt idx="42">
                  <c:v>-2.3766220181299751E-3</c:v>
                </c:pt>
                <c:pt idx="43">
                  <c:v>-2.2517719620200371E-3</c:v>
                </c:pt>
                <c:pt idx="44">
                  <c:v>-2.1109390415977036E-3</c:v>
                </c:pt>
                <c:pt idx="45">
                  <c:v>-1.9551950804246316E-3</c:v>
                </c:pt>
                <c:pt idx="46">
                  <c:v>-1.7857253840861222E-3</c:v>
                </c:pt>
                <c:pt idx="47">
                  <c:v>-1.6038197192999129E-3</c:v>
                </c:pt>
                <c:pt idx="48">
                  <c:v>-1.4108624980126694E-3</c:v>
                </c:pt>
                <c:pt idx="49">
                  <c:v>-1.2083222411891415E-3</c:v>
                </c:pt>
                <c:pt idx="50">
                  <c:v>-9.9774040248091123E-4</c:v>
                </c:pt>
                <c:pt idx="51">
                  <c:v>-7.8071963683333675E-4</c:v>
                </c:pt>
                <c:pt idx="52">
                  <c:v>-5.5891160331371728E-4</c:v>
                </c:pt>
                <c:pt idx="53">
                  <c:v>-3.3400439498848945E-4</c:v>
                </c:pt>
                <c:pt idx="54">
                  <c:v>-1.0770969151569382E-4</c:v>
                </c:pt>
                <c:pt idx="55">
                  <c:v>1.1825026777076398E-4</c:v>
                </c:pt>
                <c:pt idx="56">
                  <c:v>3.4215579114236009E-4</c:v>
                </c:pt>
                <c:pt idx="57">
                  <c:v>5.623028223683854E-4</c:v>
                </c:pt>
                <c:pt idx="58">
                  <c:v>7.7701590961279994E-4</c:v>
                </c:pt>
                <c:pt idx="59">
                  <c:v>9.8466095663436292E-4</c:v>
                </c:pt>
                <c:pt idx="60">
                  <c:v>1.1836576592457347E-3</c:v>
                </c:pt>
                <c:pt idx="61">
                  <c:v>1.3724915323825486E-3</c:v>
                </c:pt>
                <c:pt idx="62">
                  <c:v>1.5497254362492237E-3</c:v>
                </c:pt>
                <c:pt idx="63">
                  <c:v>1.714010513820577E-3</c:v>
                </c:pt>
                <c:pt idx="64">
                  <c:v>1.8640964564582488E-3</c:v>
                </c:pt>
                <c:pt idx="65">
                  <c:v>1.9988410195143969E-3</c:v>
                </c:pt>
                <c:pt idx="66">
                  <c:v>2.1172187155031712E-3</c:v>
                </c:pt>
                <c:pt idx="67">
                  <c:v>2.2183286186796924E-3</c:v>
                </c:pt>
                <c:pt idx="68">
                  <c:v>2.301401221628955E-3</c:v>
                </c:pt>
                <c:pt idx="69">
                  <c:v>2.3658042916819082E-3</c:v>
                </c:pt>
                <c:pt idx="70">
                  <c:v>2.4110476825878117E-3</c:v>
                </c:pt>
                <c:pt idx="71">
                  <c:v>2.4367870648231652E-3</c:v>
                </c:pt>
                <c:pt idx="72">
                  <c:v>2.4428265461472931E-3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F-44A1-84B6-09EB40C59828}"/>
            </c:ext>
          </c:extLst>
        </c:ser>
        <c:ser>
          <c:idx val="0"/>
          <c:order val="0"/>
          <c:tx>
            <c:strRef>
              <c:f>Regrese!$B$4</c:f>
              <c:strCache>
                <c:ptCount val="1"/>
                <c:pt idx="0">
                  <c:v>diffX_prumer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rgbClr val="FF000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Regrese!$B$5:$B$40</c:f>
              <c:numCache>
                <c:formatCode>0.000000</c:formatCode>
                <c:ptCount val="36"/>
                <c:pt idx="0">
                  <c:v>1.2950050000000018E-3</c:v>
                </c:pt>
                <c:pt idx="1">
                  <c:v>3.9077249999999869E-3</c:v>
                </c:pt>
                <c:pt idx="2">
                  <c:v>3.4853900000000049E-3</c:v>
                </c:pt>
                <c:pt idx="3">
                  <c:v>2.8390449999999984E-3</c:v>
                </c:pt>
                <c:pt idx="4">
                  <c:v>1.0316449999999977E-3</c:v>
                </c:pt>
                <c:pt idx="5">
                  <c:v>3.0011000000000065E-3</c:v>
                </c:pt>
                <c:pt idx="6">
                  <c:v>1.781770000000002E-3</c:v>
                </c:pt>
                <c:pt idx="7">
                  <c:v>-8.365999999999929E-5</c:v>
                </c:pt>
                <c:pt idx="8">
                  <c:v>-1.0000250000000016E-3</c:v>
                </c:pt>
                <c:pt idx="9">
                  <c:v>-1.6691500000000081E-3</c:v>
                </c:pt>
                <c:pt idx="10">
                  <c:v>8.2746999999999682E-4</c:v>
                </c:pt>
                <c:pt idx="11">
                  <c:v>-1.6795099999999952E-3</c:v>
                </c:pt>
                <c:pt idx="12">
                  <c:v>-1.2308299999999883E-3</c:v>
                </c:pt>
                <c:pt idx="13">
                  <c:v>-9.2627000000000681E-4</c:v>
                </c:pt>
                <c:pt idx="14">
                  <c:v>-2.6416850000000047E-3</c:v>
                </c:pt>
                <c:pt idx="15">
                  <c:v>-4.1401950000000132E-3</c:v>
                </c:pt>
                <c:pt idx="16">
                  <c:v>-1.8171899999999963E-3</c:v>
                </c:pt>
                <c:pt idx="17">
                  <c:v>-2.1847499999999853E-3</c:v>
                </c:pt>
                <c:pt idx="18">
                  <c:v>-3.8920000000000066E-3</c:v>
                </c:pt>
                <c:pt idx="19">
                  <c:v>7.4706499999999121E-4</c:v>
                </c:pt>
                <c:pt idx="20">
                  <c:v>-2.8401649999999917E-3</c:v>
                </c:pt>
                <c:pt idx="21">
                  <c:v>-3.4743750000000018E-3</c:v>
                </c:pt>
                <c:pt idx="22">
                  <c:v>-3.0041749999999839E-3</c:v>
                </c:pt>
                <c:pt idx="23">
                  <c:v>-2.6816000000000062E-3</c:v>
                </c:pt>
                <c:pt idx="24">
                  <c:v>-2.0755699999999988E-3</c:v>
                </c:pt>
                <c:pt idx="25">
                  <c:v>-3.4389999999995258E-5</c:v>
                </c:pt>
                <c:pt idx="26">
                  <c:v>7.3568499999999981E-4</c:v>
                </c:pt>
                <c:pt idx="27">
                  <c:v>9.8489000000000215E-4</c:v>
                </c:pt>
                <c:pt idx="28">
                  <c:v>-4.2856500000000575E-4</c:v>
                </c:pt>
                <c:pt idx="29">
                  <c:v>-4.6709999999991481E-5</c:v>
                </c:pt>
                <c:pt idx="30">
                  <c:v>1.271590000000003E-3</c:v>
                </c:pt>
                <c:pt idx="31">
                  <c:v>8.7713000000000374E-4</c:v>
                </c:pt>
                <c:pt idx="32">
                  <c:v>3.1200350000000071E-3</c:v>
                </c:pt>
                <c:pt idx="33">
                  <c:v>2.7027650000000097E-3</c:v>
                </c:pt>
                <c:pt idx="34">
                  <c:v>1.5303300000000103E-3</c:v>
                </c:pt>
                <c:pt idx="35">
                  <c:v>2.5120500000000434E-4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F-44A1-84B6-09EB40C59828}"/>
            </c:ext>
          </c:extLst>
        </c:ser>
        <c:ser>
          <c:idx val="2"/>
          <c:order val="2"/>
          <c:tx>
            <c:strRef>
              <c:f>Regrese!$C$4</c:f>
              <c:strCache>
                <c:ptCount val="1"/>
                <c:pt idx="0">
                  <c:v>diffY_prumer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Regrese!$C$5:$C$40</c:f>
              <c:numCache>
                <c:formatCode>0.000000</c:formatCode>
                <c:ptCount val="36"/>
                <c:pt idx="0">
                  <c:v>-1.3037399999999977E-3</c:v>
                </c:pt>
                <c:pt idx="1">
                  <c:v>-8.3636000000000821E-4</c:v>
                </c:pt>
                <c:pt idx="2">
                  <c:v>3.8000150000000177E-3</c:v>
                </c:pt>
                <c:pt idx="3">
                  <c:v>5.5417499999999009E-4</c:v>
                </c:pt>
                <c:pt idx="4">
                  <c:v>3.1664499999997653E-4</c:v>
                </c:pt>
                <c:pt idx="5">
                  <c:v>2.0732599999999657E-3</c:v>
                </c:pt>
                <c:pt idx="6">
                  <c:v>2.9239449999999834E-3</c:v>
                </c:pt>
                <c:pt idx="7">
                  <c:v>3.6732149999999797E-3</c:v>
                </c:pt>
                <c:pt idx="8">
                  <c:v>2.9139000000000248E-3</c:v>
                </c:pt>
                <c:pt idx="9">
                  <c:v>3.3549999999999969E-3</c:v>
                </c:pt>
                <c:pt idx="10">
                  <c:v>2.8112299999999979E-3</c:v>
                </c:pt>
                <c:pt idx="11">
                  <c:v>1.7830300000000188E-3</c:v>
                </c:pt>
                <c:pt idx="12">
                  <c:v>9.8503499999999522E-4</c:v>
                </c:pt>
                <c:pt idx="13">
                  <c:v>3.5400250000000022E-3</c:v>
                </c:pt>
                <c:pt idx="14">
                  <c:v>2.256275000000002E-3</c:v>
                </c:pt>
                <c:pt idx="15">
                  <c:v>2.7498099999999914E-3</c:v>
                </c:pt>
                <c:pt idx="16">
                  <c:v>5.8126000000000011E-4</c:v>
                </c:pt>
                <c:pt idx="17">
                  <c:v>-4.3193999999999177E-4</c:v>
                </c:pt>
                <c:pt idx="18">
                  <c:v>1.7147200000000029E-3</c:v>
                </c:pt>
                <c:pt idx="19">
                  <c:v>-7.0663499999998325E-4</c:v>
                </c:pt>
                <c:pt idx="20">
                  <c:v>-9.4824500000001422E-4</c:v>
                </c:pt>
                <c:pt idx="21">
                  <c:v>-2.9800150000000025E-3</c:v>
                </c:pt>
                <c:pt idx="22">
                  <c:v>-4.8792500000000016E-4</c:v>
                </c:pt>
                <c:pt idx="23">
                  <c:v>-1.1929000000000245E-3</c:v>
                </c:pt>
                <c:pt idx="24">
                  <c:v>-8.9034999999998421E-4</c:v>
                </c:pt>
                <c:pt idx="25">
                  <c:v>-8.8441500000002726E-4</c:v>
                </c:pt>
                <c:pt idx="26">
                  <c:v>-2.7678349999999963E-3</c:v>
                </c:pt>
                <c:pt idx="27">
                  <c:v>-3.645300000000018E-3</c:v>
                </c:pt>
                <c:pt idx="28">
                  <c:v>-2.7714749999999955E-3</c:v>
                </c:pt>
                <c:pt idx="29">
                  <c:v>-5.0803650000000034E-3</c:v>
                </c:pt>
                <c:pt idx="30">
                  <c:v>-3.8898499999999725E-3</c:v>
                </c:pt>
                <c:pt idx="31">
                  <c:v>-1.8264149999999979E-3</c:v>
                </c:pt>
                <c:pt idx="32">
                  <c:v>-1.0924750000000094E-3</c:v>
                </c:pt>
                <c:pt idx="33">
                  <c:v>-6.8469000000001556E-4</c:v>
                </c:pt>
                <c:pt idx="34">
                  <c:v>-3.734849999999984E-3</c:v>
                </c:pt>
                <c:pt idx="35">
                  <c:v>-5.1814499999999764E-4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4F-44A1-84B6-09EB40C59828}"/>
            </c:ext>
          </c:extLst>
        </c:ser>
        <c:ser>
          <c:idx val="3"/>
          <c:order val="3"/>
          <c:tx>
            <c:strRef>
              <c:f>Regrese!$N$4</c:f>
              <c:strCache>
                <c:ptCount val="1"/>
                <c:pt idx="0">
                  <c:v>diffY proklad (1H)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Regrese!$N$5:$N$77</c:f>
              <c:numCache>
                <c:formatCode>0.0000000</c:formatCode>
                <c:ptCount val="73"/>
                <c:pt idx="0">
                  <c:v>-4.2558807824666307E-4</c:v>
                </c:pt>
                <c:pt idx="1">
                  <c:v>-1.712337316328284E-4</c:v>
                </c:pt>
                <c:pt idx="2">
                  <c:v>8.4288003246578696E-5</c:v>
                </c:pt>
                <c:pt idx="3">
                  <c:v>3.3903245170088391E-4</c:v>
                </c:pt>
                <c:pt idx="4">
                  <c:v>5.9106085465844668E-4</c:v>
                </c:pt>
                <c:pt idx="5">
                  <c:v>8.384551237938493E-4</c:v>
                </c:pt>
                <c:pt idx="6">
                  <c:v>1.0793324393382274E-3</c:v>
                </c:pt>
                <c:pt idx="7">
                  <c:v>1.3118595794745888E-3</c:v>
                </c:pt>
                <c:pt idx="8">
                  <c:v>1.5342668722627695E-3</c:v>
                </c:pt>
                <c:pt idx="9">
                  <c:v>1.7448616639114565E-3</c:v>
                </c:pt>
                <c:pt idx="10">
                  <c:v>1.9420412008955914E-3</c:v>
                </c:pt>
                <c:pt idx="11">
                  <c:v>2.1243048278784655E-3</c:v>
                </c:pt>
                <c:pt idx="12">
                  <c:v>2.2902654086049516E-3</c:v>
                </c:pt>
                <c:pt idx="13">
                  <c:v>2.4386598828459831E-3</c:v>
                </c:pt>
                <c:pt idx="14">
                  <c:v>2.5683588790495521E-3</c:v>
                </c:pt>
                <c:pt idx="15">
                  <c:v>2.6783753095401546E-3</c:v>
                </c:pt>
                <c:pt idx="16">
                  <c:v>2.7678718828520201E-3</c:v>
                </c:pt>
                <c:pt idx="17">
                  <c:v>2.836167476022737E-3</c:v>
                </c:pt>
                <c:pt idx="18">
                  <c:v>2.8827423183502691E-3</c:v>
                </c:pt>
                <c:pt idx="19">
                  <c:v>2.9072419471618451E-3</c:v>
                </c:pt>
                <c:pt idx="20">
                  <c:v>2.909479905488929E-3</c:v>
                </c:pt>
                <c:pt idx="21">
                  <c:v>2.8894391611173353E-3</c:v>
                </c:pt>
                <c:pt idx="22">
                  <c:v>2.8472722362126645E-3</c:v>
                </c:pt>
                <c:pt idx="23">
                  <c:v>2.7833000465345261E-3</c:v>
                </c:pt>
                <c:pt idx="24">
                  <c:v>2.6980094590738344E-3</c:v>
                </c:pt>
                <c:pt idx="25">
                  <c:v>2.592049586701031E-3</c:v>
                </c:pt>
                <c:pt idx="26">
                  <c:v>2.4662268480251932E-3</c:v>
                </c:pt>
                <c:pt idx="27">
                  <c:v>2.3214988300614909E-3</c:v>
                </c:pt>
                <c:pt idx="28">
                  <c:v>2.1589670004157936E-3</c:v>
                </c:pt>
                <c:pt idx="29">
                  <c:v>1.9798683244511071E-3</c:v>
                </c:pt>
                <c:pt idx="30">
                  <c:v>1.7855658512342611E-3</c:v>
                </c:pt>
                <c:pt idx="31">
                  <c:v>1.5775383399094763E-3</c:v>
                </c:pt>
                <c:pt idx="32">
                  <c:v>1.3573690054483798E-3</c:v>
                </c:pt>
                <c:pt idx="33">
                  <c:v>1.1267334694280992E-3</c:v>
                </c:pt>
                <c:pt idx="34">
                  <c:v>8.8738700753929244E-4</c:v>
                </c:pt>
                <c:pt idx="35">
                  <c:v>6.4115119087828026E-4</c:v>
                </c:pt>
                <c:pt idx="36">
                  <c:v>3.8990002269110322E-4</c:v>
                </c:pt>
                <c:pt idx="37">
                  <c:v>1.3554567607726881E-4</c:v>
                </c:pt>
                <c:pt idx="38">
                  <c:v>-1.1997605880213936E-4</c:v>
                </c:pt>
                <c:pt idx="39">
                  <c:v>-3.7472050725644436E-4</c:v>
                </c:pt>
                <c:pt idx="40">
                  <c:v>-6.267489102140067E-4</c:v>
                </c:pt>
                <c:pt idx="41">
                  <c:v>-8.741431793494091E-4</c:v>
                </c:pt>
                <c:pt idx="42">
                  <c:v>-1.115020494893788E-3</c:v>
                </c:pt>
                <c:pt idx="43">
                  <c:v>-1.3475476350301493E-3</c:v>
                </c:pt>
                <c:pt idx="44">
                  <c:v>-1.5699549278183297E-3</c:v>
                </c:pt>
                <c:pt idx="45">
                  <c:v>-1.7805497194670168E-3</c:v>
                </c:pt>
                <c:pt idx="46">
                  <c:v>-1.9777292564511517E-3</c:v>
                </c:pt>
                <c:pt idx="47">
                  <c:v>-2.1599928834340251E-3</c:v>
                </c:pt>
                <c:pt idx="48">
                  <c:v>-2.3259534641605108E-3</c:v>
                </c:pt>
                <c:pt idx="49">
                  <c:v>-2.474347938401544E-3</c:v>
                </c:pt>
                <c:pt idx="50">
                  <c:v>-2.6040469346051125E-3</c:v>
                </c:pt>
                <c:pt idx="51">
                  <c:v>-2.714063365095715E-3</c:v>
                </c:pt>
                <c:pt idx="52">
                  <c:v>-2.8035599384075805E-3</c:v>
                </c:pt>
                <c:pt idx="53">
                  <c:v>-2.8718555315782974E-3</c:v>
                </c:pt>
                <c:pt idx="54">
                  <c:v>-2.9184303739058291E-3</c:v>
                </c:pt>
                <c:pt idx="55">
                  <c:v>-2.9429300027174056E-3</c:v>
                </c:pt>
                <c:pt idx="56">
                  <c:v>-2.9451679610444895E-3</c:v>
                </c:pt>
                <c:pt idx="57">
                  <c:v>-2.9251272166728958E-3</c:v>
                </c:pt>
                <c:pt idx="58">
                  <c:v>-2.8829602917682245E-3</c:v>
                </c:pt>
                <c:pt idx="59">
                  <c:v>-2.8189881020900861E-3</c:v>
                </c:pt>
                <c:pt idx="60">
                  <c:v>-2.7336975146293949E-3</c:v>
                </c:pt>
                <c:pt idx="61">
                  <c:v>-2.6277376422565919E-3</c:v>
                </c:pt>
                <c:pt idx="62">
                  <c:v>-2.5019149035807537E-3</c:v>
                </c:pt>
                <c:pt idx="63">
                  <c:v>-2.3571868856170513E-3</c:v>
                </c:pt>
                <c:pt idx="64">
                  <c:v>-2.1946550559713545E-3</c:v>
                </c:pt>
                <c:pt idx="65">
                  <c:v>-2.0155563800066689E-3</c:v>
                </c:pt>
                <c:pt idx="66">
                  <c:v>-1.8212539067898228E-3</c:v>
                </c:pt>
                <c:pt idx="67">
                  <c:v>-1.6132263954650359E-3</c:v>
                </c:pt>
                <c:pt idx="68">
                  <c:v>-1.3930570610039392E-3</c:v>
                </c:pt>
                <c:pt idx="69">
                  <c:v>-1.1624215249836588E-3</c:v>
                </c:pt>
                <c:pt idx="70">
                  <c:v>-9.2307506309485289E-4</c:v>
                </c:pt>
                <c:pt idx="71">
                  <c:v>-6.7683924643384082E-4</c:v>
                </c:pt>
                <c:pt idx="72">
                  <c:v>-4.2558807824666378E-4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4F-44A1-84B6-09EB40C5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91919"/>
        <c:axId val="420391407"/>
      </c:scatterChart>
      <c:valAx>
        <c:axId val="715691919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20391407"/>
        <c:crosses val="autoZero"/>
        <c:crossBetween val="midCat"/>
      </c:valAx>
      <c:valAx>
        <c:axId val="4203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569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533656</xdr:colOff>
      <xdr:row>9</xdr:row>
      <xdr:rowOff>36240</xdr:rowOff>
    </xdr:from>
    <xdr:to>
      <xdr:col>39</xdr:col>
      <xdr:colOff>554182</xdr:colOff>
      <xdr:row>41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94757-C2E4-4BEC-BA60-6DFE6D152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Normal="100" workbookViewId="0">
      <selection activeCell="AI4" sqref="AI4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71" t="s">
        <v>29</v>
      </c>
      <c r="B1" s="71"/>
      <c r="C1" s="71" t="s">
        <v>66</v>
      </c>
      <c r="D1" s="71"/>
      <c r="E1" s="71" t="s">
        <v>62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AC1" s="90" t="s">
        <v>52</v>
      </c>
      <c r="AD1" s="91"/>
      <c r="AE1" s="91"/>
      <c r="AF1" s="91"/>
      <c r="AG1" s="92"/>
    </row>
    <row r="2" spans="1:33" ht="15.75" customHeight="1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AC2" s="93"/>
      <c r="AD2" s="94"/>
      <c r="AE2" s="94"/>
      <c r="AF2" s="94"/>
      <c r="AG2" s="95"/>
    </row>
    <row r="4" spans="1:33" x14ac:dyDescent="0.25">
      <c r="A4" s="63" t="s">
        <v>30</v>
      </c>
      <c r="B4" s="63"/>
      <c r="C4" s="63"/>
      <c r="D4" s="63"/>
      <c r="E4" s="63"/>
      <c r="F4" s="63"/>
      <c r="G4" s="66" t="s">
        <v>93</v>
      </c>
      <c r="H4" s="67"/>
      <c r="I4" s="2" t="s">
        <v>18</v>
      </c>
      <c r="K4" s="72" t="s">
        <v>45</v>
      </c>
      <c r="L4" s="72"/>
      <c r="M4" s="72"/>
      <c r="N4" s="72"/>
      <c r="O4" s="72"/>
      <c r="P4" s="72"/>
      <c r="R4" s="72" t="s">
        <v>46</v>
      </c>
      <c r="S4" s="72"/>
      <c r="T4" s="72"/>
      <c r="U4" s="72"/>
      <c r="V4" s="72"/>
      <c r="W4" s="72"/>
      <c r="X4" s="72"/>
      <c r="Y4" s="72"/>
      <c r="AC4" s="80"/>
      <c r="AD4" s="53"/>
      <c r="AE4" s="83" t="s">
        <v>93</v>
      </c>
      <c r="AF4" s="53"/>
      <c r="AG4" s="80"/>
    </row>
    <row r="5" spans="1:33" ht="15.75" customHeight="1" x14ac:dyDescent="0.25">
      <c r="A5" s="58" t="s">
        <v>31</v>
      </c>
      <c r="B5" s="59"/>
      <c r="C5" s="59"/>
      <c r="D5" s="59"/>
      <c r="E5" s="59"/>
      <c r="F5" s="60"/>
      <c r="G5" s="66" t="s">
        <v>64</v>
      </c>
      <c r="H5" s="67"/>
      <c r="I5" s="2" t="s">
        <v>18</v>
      </c>
      <c r="K5" s="102" t="s">
        <v>63</v>
      </c>
      <c r="L5" s="103"/>
      <c r="M5" s="103"/>
      <c r="N5" s="103"/>
      <c r="O5" s="103"/>
      <c r="P5" s="104"/>
      <c r="R5" s="68" t="s">
        <v>65</v>
      </c>
      <c r="S5" s="68"/>
      <c r="T5" s="68"/>
      <c r="U5" s="68"/>
      <c r="V5" s="68"/>
      <c r="W5" s="68"/>
      <c r="X5" s="68"/>
      <c r="Y5" s="68"/>
      <c r="AC5" s="80"/>
      <c r="AD5" s="53"/>
      <c r="AE5" s="83"/>
      <c r="AF5" s="53"/>
      <c r="AG5" s="80"/>
    </row>
    <row r="6" spans="1:33" x14ac:dyDescent="0.25">
      <c r="A6" s="63" t="s">
        <v>32</v>
      </c>
      <c r="B6" s="63"/>
      <c r="C6" s="63"/>
      <c r="D6" s="63"/>
      <c r="E6" s="63"/>
      <c r="F6" s="63"/>
      <c r="G6" s="70">
        <v>0</v>
      </c>
      <c r="H6" s="70"/>
      <c r="I6" s="2" t="s">
        <v>24</v>
      </c>
      <c r="K6" s="105"/>
      <c r="L6" s="106"/>
      <c r="M6" s="106"/>
      <c r="N6" s="106"/>
      <c r="O6" s="106"/>
      <c r="P6" s="107"/>
      <c r="R6" s="68"/>
      <c r="S6" s="68"/>
      <c r="T6" s="68"/>
      <c r="U6" s="68"/>
      <c r="V6" s="68"/>
      <c r="W6" s="68"/>
      <c r="X6" s="68"/>
      <c r="Y6" s="68"/>
      <c r="AC6" s="80"/>
      <c r="AD6" s="53"/>
      <c r="AE6" s="83"/>
      <c r="AF6" s="53"/>
      <c r="AG6" s="80"/>
    </row>
    <row r="7" spans="1:33" ht="15.75" customHeight="1" x14ac:dyDescent="0.25">
      <c r="A7" s="58" t="s">
        <v>51</v>
      </c>
      <c r="B7" s="59"/>
      <c r="C7" s="59"/>
      <c r="D7" s="59"/>
      <c r="E7" s="59"/>
      <c r="F7" s="60"/>
      <c r="G7" s="66" t="s">
        <v>58</v>
      </c>
      <c r="H7" s="67"/>
      <c r="I7" s="2"/>
      <c r="K7" s="105"/>
      <c r="L7" s="106"/>
      <c r="M7" s="106"/>
      <c r="N7" s="106"/>
      <c r="O7" s="106"/>
      <c r="P7" s="107"/>
      <c r="R7" s="68"/>
      <c r="S7" s="68"/>
      <c r="T7" s="68"/>
      <c r="U7" s="68"/>
      <c r="V7" s="68"/>
      <c r="W7" s="68"/>
      <c r="X7" s="68"/>
      <c r="Y7" s="68"/>
      <c r="AC7" s="53"/>
      <c r="AD7" s="53"/>
      <c r="AE7" s="53"/>
      <c r="AF7" s="53"/>
      <c r="AG7" s="53"/>
    </row>
    <row r="8" spans="1:33" x14ac:dyDescent="0.25">
      <c r="A8" s="63" t="s">
        <v>15</v>
      </c>
      <c r="B8" s="63"/>
      <c r="C8" s="63"/>
      <c r="D8" s="63"/>
      <c r="E8" s="63"/>
      <c r="F8" s="63"/>
      <c r="G8" s="69">
        <f>360/((23*60*60)+(56*60)+4.09)</f>
        <v>4.1780746480349299E-3</v>
      </c>
      <c r="H8" s="69"/>
      <c r="I8" s="2" t="s">
        <v>16</v>
      </c>
      <c r="K8" s="105"/>
      <c r="L8" s="106"/>
      <c r="M8" s="106"/>
      <c r="N8" s="106"/>
      <c r="O8" s="106"/>
      <c r="P8" s="107"/>
      <c r="R8" s="68"/>
      <c r="S8" s="68"/>
      <c r="T8" s="68"/>
      <c r="U8" s="68"/>
      <c r="V8" s="68"/>
      <c r="W8" s="68"/>
      <c r="X8" s="68"/>
      <c r="Y8" s="68"/>
      <c r="AC8" s="53"/>
      <c r="AD8" s="53"/>
      <c r="AE8" s="53"/>
      <c r="AF8" s="53"/>
      <c r="AG8" s="53"/>
    </row>
    <row r="9" spans="1:33" x14ac:dyDescent="0.25">
      <c r="A9" s="63" t="s">
        <v>17</v>
      </c>
      <c r="B9" s="63"/>
      <c r="C9" s="63"/>
      <c r="D9" s="63"/>
      <c r="E9" s="63"/>
      <c r="F9" s="63"/>
      <c r="G9" s="70">
        <v>49</v>
      </c>
      <c r="H9" s="70"/>
      <c r="I9" s="2" t="s">
        <v>18</v>
      </c>
      <c r="K9" s="105"/>
      <c r="L9" s="106"/>
      <c r="M9" s="106"/>
      <c r="N9" s="106"/>
      <c r="O9" s="106"/>
      <c r="P9" s="107"/>
      <c r="R9" s="68"/>
      <c r="S9" s="68"/>
      <c r="T9" s="68"/>
      <c r="U9" s="68"/>
      <c r="V9" s="68"/>
      <c r="W9" s="68"/>
      <c r="X9" s="68"/>
      <c r="Y9" s="68"/>
      <c r="AC9" s="53"/>
      <c r="AD9" s="54"/>
      <c r="AE9" s="54"/>
      <c r="AF9" s="54"/>
      <c r="AG9" s="53"/>
    </row>
    <row r="10" spans="1:33" ht="15.75" customHeight="1" x14ac:dyDescent="0.25">
      <c r="A10" s="73" t="s">
        <v>19</v>
      </c>
      <c r="B10" s="74"/>
      <c r="C10" s="74"/>
      <c r="D10" s="74"/>
      <c r="E10" s="74"/>
      <c r="F10" s="75"/>
      <c r="G10" s="76">
        <f>(COS(RADIANS(G9))*G8)</f>
        <v>2.7410635966396515E-3</v>
      </c>
      <c r="H10" s="77"/>
      <c r="I10" s="3" t="s">
        <v>16</v>
      </c>
      <c r="K10" s="105"/>
      <c r="L10" s="106"/>
      <c r="M10" s="106"/>
      <c r="N10" s="106"/>
      <c r="O10" s="106"/>
      <c r="P10" s="107"/>
      <c r="R10" s="13"/>
      <c r="S10" s="13"/>
      <c r="T10" s="13"/>
      <c r="U10" s="13"/>
      <c r="V10" s="13"/>
      <c r="W10" s="13"/>
      <c r="X10" s="13"/>
      <c r="Y10" s="13"/>
      <c r="AC10" s="84" t="s">
        <v>48</v>
      </c>
      <c r="AD10" s="85"/>
      <c r="AE10" s="86" t="s">
        <v>50</v>
      </c>
      <c r="AF10" s="85"/>
      <c r="AG10" s="96" t="s">
        <v>48</v>
      </c>
    </row>
    <row r="11" spans="1:33" ht="15.75" customHeight="1" x14ac:dyDescent="0.25">
      <c r="A11" s="63" t="s">
        <v>33</v>
      </c>
      <c r="B11" s="63"/>
      <c r="C11" s="63"/>
      <c r="D11" s="63"/>
      <c r="E11" s="63"/>
      <c r="F11" s="63"/>
      <c r="G11" s="70">
        <v>10</v>
      </c>
      <c r="H11" s="70"/>
      <c r="I11" s="2" t="s">
        <v>18</v>
      </c>
      <c r="K11" s="105"/>
      <c r="L11" s="106"/>
      <c r="M11" s="106"/>
      <c r="N11" s="106"/>
      <c r="O11" s="106"/>
      <c r="P11" s="107"/>
      <c r="R11" s="13"/>
      <c r="S11" s="13"/>
      <c r="T11" s="13"/>
      <c r="U11" s="13"/>
      <c r="V11" s="13"/>
      <c r="W11" s="13"/>
      <c r="X11" s="13"/>
      <c r="Y11" s="13"/>
      <c r="AC11" s="84"/>
      <c r="AD11" s="85"/>
      <c r="AE11" s="86"/>
      <c r="AF11" s="85"/>
      <c r="AG11" s="96"/>
    </row>
    <row r="12" spans="1:33" ht="15.75" customHeight="1" x14ac:dyDescent="0.25">
      <c r="A12" s="58" t="s">
        <v>34</v>
      </c>
      <c r="B12" s="59"/>
      <c r="C12" s="59"/>
      <c r="D12" s="59"/>
      <c r="E12" s="59"/>
      <c r="F12" s="60"/>
      <c r="G12" s="66">
        <f>360/G11</f>
        <v>36</v>
      </c>
      <c r="H12" s="67"/>
      <c r="I12" s="2"/>
      <c r="K12" s="105"/>
      <c r="L12" s="106"/>
      <c r="M12" s="106"/>
      <c r="N12" s="106"/>
      <c r="O12" s="106"/>
      <c r="P12" s="107"/>
      <c r="R12" s="8"/>
      <c r="S12" s="8"/>
      <c r="T12" s="8"/>
      <c r="U12" s="8"/>
      <c r="V12" s="8"/>
      <c r="W12" s="8"/>
      <c r="X12" s="8"/>
      <c r="Y12" s="8"/>
      <c r="AC12" s="84"/>
      <c r="AD12" s="85"/>
      <c r="AE12" s="86"/>
      <c r="AF12" s="85"/>
      <c r="AG12" s="96"/>
    </row>
    <row r="13" spans="1:33" ht="15.75" customHeight="1" x14ac:dyDescent="0.25">
      <c r="A13" s="63" t="s">
        <v>20</v>
      </c>
      <c r="B13" s="63"/>
      <c r="C13" s="63"/>
      <c r="D13" s="63"/>
      <c r="E13" s="63"/>
      <c r="F13" s="63"/>
      <c r="G13" s="70" t="s">
        <v>47</v>
      </c>
      <c r="H13" s="70"/>
      <c r="I13" s="2"/>
      <c r="K13" s="105"/>
      <c r="L13" s="106"/>
      <c r="M13" s="106"/>
      <c r="N13" s="106"/>
      <c r="O13" s="106"/>
      <c r="P13" s="107"/>
      <c r="R13" s="62" t="s">
        <v>25</v>
      </c>
      <c r="S13" s="62"/>
      <c r="T13" s="62" t="s">
        <v>26</v>
      </c>
      <c r="U13" s="62"/>
      <c r="V13" s="62" t="s">
        <v>27</v>
      </c>
      <c r="W13" s="62"/>
      <c r="X13" s="62" t="s">
        <v>28</v>
      </c>
      <c r="Y13" s="62"/>
      <c r="AC13" s="101" t="s">
        <v>48</v>
      </c>
      <c r="AD13" s="87"/>
      <c r="AE13" s="87" t="s">
        <v>49</v>
      </c>
      <c r="AF13" s="87"/>
      <c r="AG13" s="97" t="s">
        <v>48</v>
      </c>
    </row>
    <row r="14" spans="1:33" ht="15.75" customHeight="1" x14ac:dyDescent="0.25">
      <c r="A14" s="58" t="s">
        <v>21</v>
      </c>
      <c r="B14" s="59"/>
      <c r="C14" s="59"/>
      <c r="D14" s="59"/>
      <c r="E14" s="59"/>
      <c r="F14" s="60"/>
      <c r="G14" s="66">
        <v>480</v>
      </c>
      <c r="H14" s="67"/>
      <c r="I14" s="2"/>
      <c r="K14" s="105"/>
      <c r="L14" s="106"/>
      <c r="M14" s="106"/>
      <c r="N14" s="106"/>
      <c r="O14" s="106"/>
      <c r="P14" s="107"/>
      <c r="R14" s="62"/>
      <c r="S14" s="62"/>
      <c r="T14" s="62"/>
      <c r="U14" s="62"/>
      <c r="V14" s="62"/>
      <c r="W14" s="62"/>
      <c r="X14" s="62"/>
      <c r="Y14" s="62"/>
      <c r="AC14" s="101"/>
      <c r="AD14" s="88"/>
      <c r="AE14" s="88"/>
      <c r="AF14" s="88"/>
      <c r="AG14" s="97"/>
    </row>
    <row r="15" spans="1:33" ht="15.75" customHeight="1" x14ac:dyDescent="0.25">
      <c r="A15" s="58" t="s">
        <v>22</v>
      </c>
      <c r="B15" s="59"/>
      <c r="C15" s="59"/>
      <c r="D15" s="59"/>
      <c r="E15" s="59"/>
      <c r="F15" s="60"/>
      <c r="G15" s="66">
        <v>200</v>
      </c>
      <c r="H15" s="67"/>
      <c r="I15" s="2"/>
      <c r="K15" s="105"/>
      <c r="L15" s="106"/>
      <c r="M15" s="106"/>
      <c r="N15" s="106"/>
      <c r="O15" s="106"/>
      <c r="P15" s="107"/>
      <c r="R15" s="62"/>
      <c r="S15" s="62"/>
      <c r="T15" s="62"/>
      <c r="U15" s="62"/>
      <c r="V15" s="62"/>
      <c r="W15" s="62"/>
      <c r="X15" s="62"/>
      <c r="Y15" s="62"/>
      <c r="AC15" s="101"/>
      <c r="AD15" s="89"/>
      <c r="AE15" s="89"/>
      <c r="AF15" s="89"/>
      <c r="AG15" s="97"/>
    </row>
    <row r="16" spans="1:33" ht="15.75" customHeight="1" x14ac:dyDescent="0.25">
      <c r="A16" s="58" t="s">
        <v>23</v>
      </c>
      <c r="B16" s="59"/>
      <c r="C16" s="59"/>
      <c r="D16" s="59"/>
      <c r="E16" s="59"/>
      <c r="F16" s="60"/>
      <c r="G16" s="66">
        <v>50</v>
      </c>
      <c r="H16" s="67"/>
      <c r="I16" s="2"/>
      <c r="K16" s="105"/>
      <c r="L16" s="106"/>
      <c r="M16" s="106"/>
      <c r="N16" s="106"/>
      <c r="O16" s="106"/>
      <c r="P16" s="107"/>
      <c r="R16" s="62"/>
      <c r="S16" s="62"/>
      <c r="T16" s="62"/>
      <c r="U16" s="62"/>
      <c r="V16" s="62"/>
      <c r="W16" s="62"/>
      <c r="X16" s="62"/>
      <c r="Y16" s="62"/>
      <c r="AC16" s="101" t="s">
        <v>48</v>
      </c>
      <c r="AD16" s="98"/>
      <c r="AE16" s="87" t="s">
        <v>48</v>
      </c>
      <c r="AF16" s="87"/>
      <c r="AG16" s="97" t="s">
        <v>48</v>
      </c>
    </row>
    <row r="17" spans="1:33" ht="15.75" customHeight="1" x14ac:dyDescent="0.25">
      <c r="A17" s="55" t="s">
        <v>36</v>
      </c>
      <c r="B17" s="56"/>
      <c r="C17" s="56"/>
      <c r="D17" s="56"/>
      <c r="E17" s="56"/>
      <c r="F17" s="57"/>
      <c r="G17" s="64">
        <v>400</v>
      </c>
      <c r="H17" s="65"/>
      <c r="I17" s="4" t="s">
        <v>18</v>
      </c>
      <c r="K17" s="105"/>
      <c r="L17" s="106"/>
      <c r="M17" s="106"/>
      <c r="N17" s="106"/>
      <c r="O17" s="106"/>
      <c r="P17" s="107"/>
      <c r="R17" s="61">
        <f>MIN('T19-4'!U3:U74)</f>
        <v>-6.2625099999999989E-3</v>
      </c>
      <c r="S17" s="61"/>
      <c r="T17" s="61">
        <f>MIN('T19-4'!V3:V74)</f>
        <v>-5.0856899999999761E-3</v>
      </c>
      <c r="U17" s="61"/>
      <c r="V17" s="61">
        <f>MAX('T19-4'!U3:U74)</f>
        <v>4.4916800000000257E-3</v>
      </c>
      <c r="W17" s="61"/>
      <c r="X17" s="61">
        <f>MAX('T19-4'!V3:V74)</f>
        <v>5.5549799999999872E-3</v>
      </c>
      <c r="Y17" s="61"/>
      <c r="AC17" s="101"/>
      <c r="AD17" s="99"/>
      <c r="AE17" s="88"/>
      <c r="AF17" s="88"/>
      <c r="AG17" s="97"/>
    </row>
    <row r="18" spans="1:33" ht="15.75" customHeight="1" x14ac:dyDescent="0.25">
      <c r="A18" s="55" t="s">
        <v>35</v>
      </c>
      <c r="B18" s="56"/>
      <c r="C18" s="56"/>
      <c r="D18" s="56"/>
      <c r="E18" s="56"/>
      <c r="F18" s="57"/>
      <c r="G18" s="64">
        <f>G14*G15*2</f>
        <v>192000</v>
      </c>
      <c r="H18" s="65"/>
      <c r="I18" s="2"/>
      <c r="K18" s="108"/>
      <c r="L18" s="109"/>
      <c r="M18" s="109"/>
      <c r="N18" s="109"/>
      <c r="O18" s="109"/>
      <c r="P18" s="110"/>
      <c r="R18" s="61"/>
      <c r="S18" s="61"/>
      <c r="T18" s="61"/>
      <c r="U18" s="61"/>
      <c r="V18" s="61"/>
      <c r="W18" s="61"/>
      <c r="X18" s="61"/>
      <c r="Y18" s="61"/>
      <c r="AC18" s="101"/>
      <c r="AD18" s="100"/>
      <c r="AE18" s="89"/>
      <c r="AF18" s="89"/>
      <c r="AG18" s="97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78" t="s">
        <v>48</v>
      </c>
      <c r="AD19" s="81" t="s">
        <v>48</v>
      </c>
      <c r="AE19" s="81" t="s">
        <v>48</v>
      </c>
      <c r="AF19" s="81" t="s">
        <v>48</v>
      </c>
      <c r="AG19" s="79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78"/>
      <c r="AD20" s="82"/>
      <c r="AE20" s="82"/>
      <c r="AF20" s="82"/>
      <c r="AG20" s="79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78"/>
      <c r="AD21" s="82"/>
      <c r="AE21" s="82"/>
      <c r="AF21" s="82"/>
      <c r="AG21" s="79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10:F10"/>
    <mergeCell ref="G10:H10"/>
    <mergeCell ref="G9:H9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AC7:AC9"/>
    <mergeCell ref="AD7:AD9"/>
    <mergeCell ref="AE7:AE9"/>
    <mergeCell ref="AF7:AF9"/>
    <mergeCell ref="AG7:A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72" zoomScale="85" zoomScaleNormal="85" workbookViewId="0">
      <selection activeCell="U77" sqref="U77:V11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61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59</v>
      </c>
      <c r="C3" s="14">
        <v>0</v>
      </c>
      <c r="D3" s="14">
        <v>5</v>
      </c>
      <c r="E3" s="15">
        <v>-0.44891996000000001</v>
      </c>
      <c r="F3" s="15">
        <v>-0.44738990000000001</v>
      </c>
      <c r="G3" s="15">
        <v>-1.53005E-3</v>
      </c>
      <c r="H3" s="15">
        <v>0.53713</v>
      </c>
      <c r="I3" s="15">
        <v>0.53571999999999997</v>
      </c>
      <c r="J3" s="15">
        <v>1.41001E-3</v>
      </c>
      <c r="K3" s="18">
        <v>25.31</v>
      </c>
      <c r="L3" s="18">
        <v>25.32</v>
      </c>
      <c r="M3" s="18">
        <v>-0.01</v>
      </c>
      <c r="N3" s="15">
        <v>6.9502439999999999E-2</v>
      </c>
      <c r="O3" s="15">
        <v>3.9145500000000001E-3</v>
      </c>
      <c r="P3" s="15">
        <v>6.5587880000000001E-2</v>
      </c>
      <c r="Q3" s="15">
        <v>4.3501E-3</v>
      </c>
      <c r="R3" s="15">
        <v>5.18799E-3</v>
      </c>
      <c r="S3" s="15">
        <v>-8.3788999999999999E-4</v>
      </c>
      <c r="T3" s="14"/>
      <c r="U3" s="15">
        <f>(F3-E3)/2</f>
        <v>7.6502999999999988E-4</v>
      </c>
      <c r="V3" s="15">
        <f>(H3-I3)/2</f>
        <v>7.0500000000001117E-4</v>
      </c>
      <c r="W3" s="15"/>
      <c r="X3" s="15"/>
      <c r="Y3" s="16">
        <f t="shared" ref="Y3:Y34" si="0">N3</f>
        <v>6.9502439999999999E-2</v>
      </c>
      <c r="Z3" s="16">
        <f t="shared" ref="Z3:Z34" si="1">Q3</f>
        <v>4.3501E-3</v>
      </c>
      <c r="AA3" s="16">
        <f t="shared" ref="AA3:AA34" si="2">O3</f>
        <v>3.9145500000000001E-3</v>
      </c>
      <c r="AB3" s="16">
        <f t="shared" ref="AB3:AB34" si="3">R3</f>
        <v>5.18799E-3</v>
      </c>
      <c r="AC3" s="17">
        <f>IF(Y3="","",DEGREES(ASIN(SQRT(Y3^2+Z3^2))))</f>
        <v>3.9932207652326741</v>
      </c>
      <c r="AD3" s="17">
        <f>IF(AA3="","",DEGREES(ASIN(SQRT(AA3^2+AB3^2))))</f>
        <v>0.37237644821704186</v>
      </c>
      <c r="AE3" s="17">
        <f>IF(Y3="","",MOD(DEGREES(ATAN2(Y3,Z3)),360))</f>
        <v>3.5814235050130518</v>
      </c>
      <c r="AF3" s="17">
        <f t="shared" ref="AF3:AF34" si="4">IF(Y3="","",MOD(F3+AE3,360))</f>
        <v>3.1340336050130517</v>
      </c>
    </row>
    <row r="4" spans="1:32" x14ac:dyDescent="0.25">
      <c r="A4" s="14">
        <v>2</v>
      </c>
      <c r="B4" s="14" t="s">
        <v>59</v>
      </c>
      <c r="C4" s="14">
        <v>10</v>
      </c>
      <c r="D4" s="14">
        <v>7</v>
      </c>
      <c r="E4" s="15">
        <v>-0.46565704000000002</v>
      </c>
      <c r="F4" s="15">
        <v>-0.45829276000000002</v>
      </c>
      <c r="G4" s="15">
        <v>-7.36427E-3</v>
      </c>
      <c r="H4" s="15">
        <v>0.61866423999999998</v>
      </c>
      <c r="I4" s="15">
        <v>0.62289284</v>
      </c>
      <c r="J4" s="15">
        <v>-4.22859E-3</v>
      </c>
      <c r="K4" s="18">
        <v>23.71</v>
      </c>
      <c r="L4" s="18">
        <v>23.71</v>
      </c>
      <c r="M4" s="18">
        <v>0</v>
      </c>
      <c r="N4" s="15">
        <v>7.1206400000000003E-2</v>
      </c>
      <c r="O4" s="15">
        <v>6.6308599999999997E-3</v>
      </c>
      <c r="P4" s="15">
        <v>6.4575540000000001E-2</v>
      </c>
      <c r="Q4" s="15">
        <v>-7.5579E-4</v>
      </c>
      <c r="R4" s="15">
        <v>1.2068570000000001E-2</v>
      </c>
      <c r="S4" s="15">
        <v>-1.282436E-2</v>
      </c>
      <c r="T4" s="14"/>
      <c r="U4" s="15">
        <f t="shared" ref="U4:U34" si="5">(F4-E4)/2</f>
        <v>3.6821400000000004E-3</v>
      </c>
      <c r="V4" s="15">
        <f t="shared" ref="V4:V34" si="6">(H4-I4)/2</f>
        <v>-2.1143000000000134E-3</v>
      </c>
      <c r="W4" s="15"/>
      <c r="X4" s="15"/>
      <c r="Y4" s="16">
        <f t="shared" si="0"/>
        <v>7.1206400000000003E-2</v>
      </c>
      <c r="Z4" s="16">
        <f t="shared" si="1"/>
        <v>-7.5579E-4</v>
      </c>
      <c r="AA4" s="16">
        <f t="shared" si="2"/>
        <v>6.6308599999999997E-3</v>
      </c>
      <c r="AB4" s="16">
        <f t="shared" si="3"/>
        <v>1.2068570000000001E-2</v>
      </c>
      <c r="AC4" s="17">
        <f t="shared" ref="AC4:AC18" si="7">IF(Y4="","",DEGREES(ASIN(SQRT(Y4^2+Z4^2))))</f>
        <v>4.0835121687495342</v>
      </c>
      <c r="AD4" s="17">
        <f t="shared" ref="AD4:AD18" si="8">IF(AA4="","",DEGREES(ASIN(SQRT(AA4^2+AB4^2))))</f>
        <v>0.78899985790254368</v>
      </c>
      <c r="AE4" s="17">
        <f t="shared" ref="AE4:AE18" si="9">IF(Y4="","",MOD(DEGREES(ATAN2(Y4,Z4)),360))</f>
        <v>359.391881191366</v>
      </c>
      <c r="AF4" s="17">
        <f t="shared" si="4"/>
        <v>358.93358843136599</v>
      </c>
    </row>
    <row r="5" spans="1:32" x14ac:dyDescent="0.25">
      <c r="A5" s="14">
        <v>3</v>
      </c>
      <c r="B5" s="14" t="s">
        <v>59</v>
      </c>
      <c r="C5" s="14">
        <v>20</v>
      </c>
      <c r="D5" s="14">
        <v>6</v>
      </c>
      <c r="E5" s="15">
        <v>-0.45398319999999998</v>
      </c>
      <c r="F5" s="15">
        <v>-0.44673331999999999</v>
      </c>
      <c r="G5" s="15">
        <v>-7.2498900000000002E-3</v>
      </c>
      <c r="H5" s="15">
        <v>0.55946667999999999</v>
      </c>
      <c r="I5" s="15">
        <v>0.54852515999999996</v>
      </c>
      <c r="J5" s="15">
        <v>1.094151E-2</v>
      </c>
      <c r="K5" s="18">
        <v>24.98</v>
      </c>
      <c r="L5" s="18">
        <v>24.97</v>
      </c>
      <c r="M5" s="18">
        <v>0.01</v>
      </c>
      <c r="N5" s="15">
        <v>6.7641610000000005E-2</v>
      </c>
      <c r="O5" s="15">
        <v>6.0892699999999999E-3</v>
      </c>
      <c r="P5" s="15">
        <v>6.1552339999999997E-2</v>
      </c>
      <c r="Q5" s="15">
        <v>-7.0279899999999996E-3</v>
      </c>
      <c r="R5" s="15">
        <v>1.6766360000000001E-2</v>
      </c>
      <c r="S5" s="15">
        <v>-2.3794349999999999E-2</v>
      </c>
      <c r="T5" s="14"/>
      <c r="U5" s="15">
        <f t="shared" si="5"/>
        <v>3.6249399999999932E-3</v>
      </c>
      <c r="V5" s="15">
        <f t="shared" si="6"/>
        <v>5.4707600000000189E-3</v>
      </c>
      <c r="W5" s="15"/>
      <c r="X5" s="15"/>
      <c r="Y5" s="16">
        <f t="shared" si="0"/>
        <v>6.7641610000000005E-2</v>
      </c>
      <c r="Z5" s="16">
        <f t="shared" si="1"/>
        <v>-7.0279899999999996E-3</v>
      </c>
      <c r="AA5" s="16">
        <f t="shared" si="2"/>
        <v>6.0892699999999999E-3</v>
      </c>
      <c r="AB5" s="16">
        <f t="shared" si="3"/>
        <v>1.6766360000000001E-2</v>
      </c>
      <c r="AC5" s="17">
        <f t="shared" si="7"/>
        <v>3.8994512528676477</v>
      </c>
      <c r="AD5" s="17">
        <f t="shared" si="8"/>
        <v>1.0220895661330163</v>
      </c>
      <c r="AE5" s="17">
        <f t="shared" si="9"/>
        <v>354.06822983648885</v>
      </c>
      <c r="AF5" s="17">
        <f t="shared" si="4"/>
        <v>353.62149651648883</v>
      </c>
    </row>
    <row r="6" spans="1:32" x14ac:dyDescent="0.25">
      <c r="A6" s="14">
        <v>4</v>
      </c>
      <c r="B6" s="14" t="s">
        <v>59</v>
      </c>
      <c r="C6" s="14">
        <v>30</v>
      </c>
      <c r="D6" s="14">
        <v>8</v>
      </c>
      <c r="E6" s="15">
        <v>-0.46023735999999998</v>
      </c>
      <c r="F6" s="15">
        <v>-0.45189370000000001</v>
      </c>
      <c r="G6" s="15">
        <v>-8.3436699999999992E-3</v>
      </c>
      <c r="H6" s="15">
        <v>0.58181249999999995</v>
      </c>
      <c r="I6" s="15">
        <v>0.58182500000000004</v>
      </c>
      <c r="J6" s="15">
        <v>-1.252E-5</v>
      </c>
      <c r="K6" s="18">
        <v>24.44</v>
      </c>
      <c r="L6" s="18">
        <v>24.46</v>
      </c>
      <c r="M6" s="18">
        <v>-0.02</v>
      </c>
      <c r="N6" s="15">
        <v>6.6482840000000001E-2</v>
      </c>
      <c r="O6" s="15">
        <v>9.7113000000000008E-3</v>
      </c>
      <c r="P6" s="15">
        <v>5.6771540000000002E-2</v>
      </c>
      <c r="Q6" s="15">
        <v>-1.236084E-2</v>
      </c>
      <c r="R6" s="15">
        <v>2.2214970000000001E-2</v>
      </c>
      <c r="S6" s="15">
        <v>-3.4575799999999997E-2</v>
      </c>
      <c r="T6" s="14"/>
      <c r="U6" s="15">
        <f t="shared" si="5"/>
        <v>4.1718299999999875E-3</v>
      </c>
      <c r="V6" s="15">
        <f t="shared" si="6"/>
        <v>-6.250000000040945E-6</v>
      </c>
      <c r="W6" s="15"/>
      <c r="X6" s="15"/>
      <c r="Y6" s="16">
        <f t="shared" si="0"/>
        <v>6.6482840000000001E-2</v>
      </c>
      <c r="Z6" s="16">
        <f t="shared" si="1"/>
        <v>-1.236084E-2</v>
      </c>
      <c r="AA6" s="16">
        <f t="shared" si="2"/>
        <v>9.7113000000000008E-3</v>
      </c>
      <c r="AB6" s="16">
        <f t="shared" si="3"/>
        <v>2.2214970000000001E-2</v>
      </c>
      <c r="AC6" s="17">
        <f t="shared" si="7"/>
        <v>3.8774240811531699</v>
      </c>
      <c r="AD6" s="17">
        <f t="shared" si="8"/>
        <v>1.389265466154082</v>
      </c>
      <c r="AE6" s="17">
        <f t="shared" si="9"/>
        <v>349.46753063070332</v>
      </c>
      <c r="AF6" s="17">
        <f t="shared" si="4"/>
        <v>349.01563693070329</v>
      </c>
    </row>
    <row r="7" spans="1:32" x14ac:dyDescent="0.25">
      <c r="A7" s="14">
        <v>5</v>
      </c>
      <c r="B7" s="14" t="s">
        <v>59</v>
      </c>
      <c r="C7" s="14">
        <v>40</v>
      </c>
      <c r="D7" s="14">
        <v>3</v>
      </c>
      <c r="E7" s="15">
        <v>-0.46284984000000001</v>
      </c>
      <c r="F7" s="15">
        <v>-0.46063324</v>
      </c>
      <c r="G7" s="15">
        <v>-2.2166099999999999E-3</v>
      </c>
      <c r="H7" s="15">
        <v>0.63019996</v>
      </c>
      <c r="I7" s="15">
        <v>0.63208330000000001</v>
      </c>
      <c r="J7" s="15">
        <v>-1.8833299999999999E-3</v>
      </c>
      <c r="K7" s="18">
        <v>23.52</v>
      </c>
      <c r="L7" s="18">
        <v>23.52</v>
      </c>
      <c r="M7" s="18">
        <v>0</v>
      </c>
      <c r="N7" s="15">
        <v>6.3225100000000006E-2</v>
      </c>
      <c r="O7" s="15">
        <v>1.3832189999999999E-2</v>
      </c>
      <c r="P7" s="15">
        <v>4.9392900000000003E-2</v>
      </c>
      <c r="Q7" s="15">
        <v>-1.6350099999999999E-2</v>
      </c>
      <c r="R7" s="15">
        <v>2.7964679999999999E-2</v>
      </c>
      <c r="S7" s="15">
        <v>-4.4314779999999998E-2</v>
      </c>
      <c r="T7" s="14"/>
      <c r="U7" s="15">
        <f t="shared" si="5"/>
        <v>1.1083000000000065E-3</v>
      </c>
      <c r="V7" s="15">
        <f t="shared" si="6"/>
        <v>-9.4167000000000556E-4</v>
      </c>
      <c r="W7" s="15"/>
      <c r="X7" s="15"/>
      <c r="Y7" s="16">
        <f t="shared" si="0"/>
        <v>6.3225100000000006E-2</v>
      </c>
      <c r="Z7" s="16">
        <f t="shared" si="1"/>
        <v>-1.6350099999999999E-2</v>
      </c>
      <c r="AA7" s="16">
        <f t="shared" si="2"/>
        <v>1.3832189999999999E-2</v>
      </c>
      <c r="AB7" s="16">
        <f t="shared" si="3"/>
        <v>2.7964679999999999E-2</v>
      </c>
      <c r="AC7" s="17">
        <f t="shared" si="7"/>
        <v>3.7443638117511115</v>
      </c>
      <c r="AD7" s="17">
        <f t="shared" si="8"/>
        <v>1.787838371847795</v>
      </c>
      <c r="AE7" s="17">
        <f t="shared" si="9"/>
        <v>345.500868635654</v>
      </c>
      <c r="AF7" s="17">
        <f t="shared" si="4"/>
        <v>345.04023539565401</v>
      </c>
    </row>
    <row r="8" spans="1:32" x14ac:dyDescent="0.25">
      <c r="A8" s="14">
        <v>6</v>
      </c>
      <c r="B8" s="14" t="s">
        <v>59</v>
      </c>
      <c r="C8" s="14">
        <v>50</v>
      </c>
      <c r="D8" s="14">
        <v>6</v>
      </c>
      <c r="E8" s="15">
        <v>-0.4643832</v>
      </c>
      <c r="F8" s="15">
        <v>-0.45847495999999999</v>
      </c>
      <c r="G8" s="15">
        <v>-5.9082500000000003E-3</v>
      </c>
      <c r="H8" s="15">
        <v>0.57755847999999999</v>
      </c>
      <c r="I8" s="15">
        <v>0.57295010000000002</v>
      </c>
      <c r="J8" s="15">
        <v>4.6083299999999999E-3</v>
      </c>
      <c r="K8" s="18">
        <v>24.6</v>
      </c>
      <c r="L8" s="18">
        <v>24.6</v>
      </c>
      <c r="M8" s="18">
        <v>0</v>
      </c>
      <c r="N8" s="15">
        <v>5.8602290000000001E-2</v>
      </c>
      <c r="O8" s="15">
        <v>1.6922199999999998E-2</v>
      </c>
      <c r="P8" s="15">
        <v>4.1680090000000003E-2</v>
      </c>
      <c r="Q8" s="15">
        <v>-2.0830479999999998E-2</v>
      </c>
      <c r="R8" s="15">
        <v>3.1069340000000001E-2</v>
      </c>
      <c r="S8" s="15">
        <v>-5.1899819999999999E-2</v>
      </c>
      <c r="T8" s="14"/>
      <c r="U8" s="15">
        <f t="shared" si="5"/>
        <v>2.9541200000000045E-3</v>
      </c>
      <c r="V8" s="15">
        <f t="shared" si="6"/>
        <v>2.3041899999999838E-3</v>
      </c>
      <c r="W8" s="15"/>
      <c r="X8" s="15"/>
      <c r="Y8" s="16">
        <f t="shared" si="0"/>
        <v>5.8602290000000001E-2</v>
      </c>
      <c r="Z8" s="16">
        <f t="shared" si="1"/>
        <v>-2.0830479999999998E-2</v>
      </c>
      <c r="AA8" s="16">
        <f t="shared" si="2"/>
        <v>1.6922199999999998E-2</v>
      </c>
      <c r="AB8" s="16">
        <f t="shared" si="3"/>
        <v>3.1069340000000001E-2</v>
      </c>
      <c r="AC8" s="17">
        <f t="shared" si="7"/>
        <v>3.565775161515357</v>
      </c>
      <c r="AD8" s="17">
        <f t="shared" si="8"/>
        <v>2.02748328155104</v>
      </c>
      <c r="AE8" s="17">
        <f t="shared" si="9"/>
        <v>340.43198651834865</v>
      </c>
      <c r="AF8" s="17">
        <f t="shared" si="4"/>
        <v>339.97351155834866</v>
      </c>
    </row>
    <row r="9" spans="1:32" x14ac:dyDescent="0.25">
      <c r="A9" s="14">
        <v>7</v>
      </c>
      <c r="B9" s="14" t="s">
        <v>59</v>
      </c>
      <c r="C9" s="14">
        <v>60</v>
      </c>
      <c r="D9" s="14">
        <v>8</v>
      </c>
      <c r="E9" s="15">
        <v>-0.45331860000000002</v>
      </c>
      <c r="F9" s="15">
        <v>-0.45094983999999999</v>
      </c>
      <c r="G9" s="15">
        <v>-2.3687500000000002E-3</v>
      </c>
      <c r="H9" s="15">
        <v>0.57004999999999995</v>
      </c>
      <c r="I9" s="15">
        <v>0.56401250000000003</v>
      </c>
      <c r="J9" s="15">
        <v>6.0374699999999996E-3</v>
      </c>
      <c r="K9" s="18">
        <v>24.72</v>
      </c>
      <c r="L9" s="18">
        <v>24.75</v>
      </c>
      <c r="M9" s="18">
        <v>-0.03</v>
      </c>
      <c r="N9" s="15">
        <v>5.3095709999999997E-2</v>
      </c>
      <c r="O9" s="15">
        <v>2.071564E-2</v>
      </c>
      <c r="P9" s="15">
        <v>3.2380069999999997E-2</v>
      </c>
      <c r="Q9" s="15">
        <v>-2.400971E-2</v>
      </c>
      <c r="R9" s="15">
        <v>3.4221799999999997E-2</v>
      </c>
      <c r="S9" s="15">
        <v>-5.823151E-2</v>
      </c>
      <c r="T9" s="14"/>
      <c r="U9" s="15">
        <f t="shared" si="5"/>
        <v>1.1843800000000126E-3</v>
      </c>
      <c r="V9" s="15">
        <f t="shared" si="6"/>
        <v>3.018749999999959E-3</v>
      </c>
      <c r="W9" s="15"/>
      <c r="X9" s="15"/>
      <c r="Y9" s="16">
        <f t="shared" si="0"/>
        <v>5.3095709999999997E-2</v>
      </c>
      <c r="Z9" s="16">
        <f t="shared" si="1"/>
        <v>-2.400971E-2</v>
      </c>
      <c r="AA9" s="16">
        <f t="shared" si="2"/>
        <v>2.071564E-2</v>
      </c>
      <c r="AB9" s="16">
        <f t="shared" si="3"/>
        <v>3.4221799999999997E-2</v>
      </c>
      <c r="AC9" s="17">
        <f t="shared" si="7"/>
        <v>3.3406294213820646</v>
      </c>
      <c r="AD9" s="17">
        <f t="shared" si="8"/>
        <v>2.2926358199419123</v>
      </c>
      <c r="AE9" s="17">
        <f t="shared" si="9"/>
        <v>335.66766950781499</v>
      </c>
      <c r="AF9" s="17">
        <f t="shared" si="4"/>
        <v>335.21671966781497</v>
      </c>
    </row>
    <row r="10" spans="1:32" x14ac:dyDescent="0.25">
      <c r="A10" s="14">
        <v>8</v>
      </c>
      <c r="B10" s="14" t="s">
        <v>59</v>
      </c>
      <c r="C10" s="14">
        <v>70</v>
      </c>
      <c r="D10" s="14">
        <v>7</v>
      </c>
      <c r="E10" s="15">
        <v>-0.46040703999999999</v>
      </c>
      <c r="F10" s="15">
        <v>-0.46274989999999999</v>
      </c>
      <c r="G10" s="15">
        <v>2.3428500000000001E-3</v>
      </c>
      <c r="H10" s="15">
        <v>0.61965716000000004</v>
      </c>
      <c r="I10" s="15">
        <v>0.61476430000000004</v>
      </c>
      <c r="J10" s="15">
        <v>4.8928900000000004E-3</v>
      </c>
      <c r="K10" s="18">
        <v>23.72</v>
      </c>
      <c r="L10" s="18">
        <v>23.71</v>
      </c>
      <c r="M10" s="18">
        <v>0.01</v>
      </c>
      <c r="N10" s="15">
        <v>4.9791090000000003E-2</v>
      </c>
      <c r="O10" s="15">
        <v>2.8328329999999999E-2</v>
      </c>
      <c r="P10" s="15">
        <v>2.1462749999999999E-2</v>
      </c>
      <c r="Q10" s="15">
        <v>-2.6034109999999999E-2</v>
      </c>
      <c r="R10" s="15">
        <v>3.709229E-2</v>
      </c>
      <c r="S10" s="15">
        <v>-6.3126390000000004E-2</v>
      </c>
      <c r="T10" s="14"/>
      <c r="U10" s="15">
        <f t="shared" si="5"/>
        <v>-1.1714300000000011E-3</v>
      </c>
      <c r="V10" s="15">
        <f t="shared" si="6"/>
        <v>2.4464299999999994E-3</v>
      </c>
      <c r="W10" s="15"/>
      <c r="X10" s="15"/>
      <c r="Y10" s="16">
        <f t="shared" si="0"/>
        <v>4.9791090000000003E-2</v>
      </c>
      <c r="Z10" s="16">
        <f t="shared" si="1"/>
        <v>-2.6034109999999999E-2</v>
      </c>
      <c r="AA10" s="16">
        <f t="shared" si="2"/>
        <v>2.8328329999999999E-2</v>
      </c>
      <c r="AB10" s="16">
        <f t="shared" si="3"/>
        <v>3.709229E-2</v>
      </c>
      <c r="AC10" s="17">
        <f t="shared" si="7"/>
        <v>3.2209479696390844</v>
      </c>
      <c r="AD10" s="17">
        <f t="shared" si="8"/>
        <v>2.6751152235424747</v>
      </c>
      <c r="AE10" s="17">
        <f t="shared" si="9"/>
        <v>332.39642388415376</v>
      </c>
      <c r="AF10" s="17">
        <f t="shared" si="4"/>
        <v>331.93367398415376</v>
      </c>
    </row>
    <row r="11" spans="1:32" x14ac:dyDescent="0.25">
      <c r="A11" s="14">
        <v>9</v>
      </c>
      <c r="B11" s="14" t="s">
        <v>59</v>
      </c>
      <c r="C11" s="14">
        <v>80</v>
      </c>
      <c r="D11" s="14">
        <v>9</v>
      </c>
      <c r="E11" s="15">
        <v>-0.45937763999999998</v>
      </c>
      <c r="F11" s="15">
        <v>-0.46000555999999998</v>
      </c>
      <c r="G11" s="15">
        <v>6.2790999999999997E-4</v>
      </c>
      <c r="H11" s="15">
        <v>0.60292783999999999</v>
      </c>
      <c r="I11" s="15">
        <v>0.59798335999999996</v>
      </c>
      <c r="J11" s="15">
        <v>4.9445000000000001E-3</v>
      </c>
      <c r="K11" s="18">
        <v>24.13</v>
      </c>
      <c r="L11" s="18">
        <v>24.13</v>
      </c>
      <c r="M11" s="18">
        <v>0</v>
      </c>
      <c r="N11" s="15">
        <v>4.2925619999999998E-2</v>
      </c>
      <c r="O11" s="15">
        <v>3.3812389999999998E-2</v>
      </c>
      <c r="P11" s="15">
        <v>9.1132299999999999E-3</v>
      </c>
      <c r="Q11" s="15">
        <v>-2.7388510000000001E-2</v>
      </c>
      <c r="R11" s="15">
        <v>3.8138560000000002E-2</v>
      </c>
      <c r="S11" s="15">
        <v>-6.5527070000000007E-2</v>
      </c>
      <c r="T11" s="14"/>
      <c r="U11" s="15">
        <f t="shared" si="5"/>
        <v>-3.1396000000000202E-4</v>
      </c>
      <c r="V11" s="15">
        <f t="shared" si="6"/>
        <v>2.4722400000000144E-3</v>
      </c>
      <c r="W11" s="15"/>
      <c r="X11" s="15"/>
      <c r="Y11" s="16">
        <f t="shared" si="0"/>
        <v>4.2925619999999998E-2</v>
      </c>
      <c r="Z11" s="16">
        <f t="shared" si="1"/>
        <v>-2.7388510000000001E-2</v>
      </c>
      <c r="AA11" s="16">
        <f t="shared" si="2"/>
        <v>3.3812389999999998E-2</v>
      </c>
      <c r="AB11" s="16">
        <f t="shared" si="3"/>
        <v>3.8138560000000002E-2</v>
      </c>
      <c r="AC11" s="17">
        <f t="shared" si="7"/>
        <v>2.9187030224384625</v>
      </c>
      <c r="AD11" s="17">
        <f t="shared" si="8"/>
        <v>2.9215680181577888</v>
      </c>
      <c r="AE11" s="17">
        <f t="shared" si="9"/>
        <v>327.46026093734565</v>
      </c>
      <c r="AF11" s="17">
        <f t="shared" si="4"/>
        <v>327.00025537734564</v>
      </c>
    </row>
    <row r="12" spans="1:32" x14ac:dyDescent="0.25">
      <c r="A12" s="14">
        <v>10</v>
      </c>
      <c r="B12" s="14" t="s">
        <v>59</v>
      </c>
      <c r="C12" s="14">
        <v>90</v>
      </c>
      <c r="D12" s="14">
        <v>6</v>
      </c>
      <c r="E12" s="15">
        <v>-0.45305824</v>
      </c>
      <c r="F12" s="15">
        <v>-0.45959988000000002</v>
      </c>
      <c r="G12" s="15">
        <v>6.5416399999999996E-3</v>
      </c>
      <c r="H12" s="15">
        <v>0.59525839999999997</v>
      </c>
      <c r="I12" s="15">
        <v>0.59173339999999996</v>
      </c>
      <c r="J12" s="15">
        <v>3.5250199999999998E-3</v>
      </c>
      <c r="K12" s="18">
        <v>24.22</v>
      </c>
      <c r="L12" s="18">
        <v>24.23</v>
      </c>
      <c r="M12" s="18">
        <v>-0.01</v>
      </c>
      <c r="N12" s="15">
        <v>3.7338049999999998E-2</v>
      </c>
      <c r="O12" s="15">
        <v>3.9430739999999999E-2</v>
      </c>
      <c r="P12" s="15">
        <v>-2.0926899999999999E-3</v>
      </c>
      <c r="Q12" s="15">
        <v>-2.7662349999999999E-2</v>
      </c>
      <c r="R12" s="15">
        <v>3.8391519999999998E-2</v>
      </c>
      <c r="S12" s="15">
        <v>-6.6053879999999995E-2</v>
      </c>
      <c r="T12" s="14"/>
      <c r="U12" s="15">
        <f t="shared" si="5"/>
        <v>-3.2708200000000076E-3</v>
      </c>
      <c r="V12" s="15">
        <f t="shared" si="6"/>
        <v>1.7625000000000002E-3</v>
      </c>
      <c r="W12" s="15"/>
      <c r="X12" s="15"/>
      <c r="Y12" s="16">
        <f t="shared" si="0"/>
        <v>3.7338049999999998E-2</v>
      </c>
      <c r="Z12" s="16">
        <f t="shared" si="1"/>
        <v>-2.7662349999999999E-2</v>
      </c>
      <c r="AA12" s="16">
        <f t="shared" si="2"/>
        <v>3.9430739999999999E-2</v>
      </c>
      <c r="AB12" s="16">
        <f t="shared" si="3"/>
        <v>3.8391519999999998E-2</v>
      </c>
      <c r="AC12" s="17">
        <f t="shared" si="7"/>
        <v>2.6634167408742813</v>
      </c>
      <c r="AD12" s="17">
        <f t="shared" si="8"/>
        <v>3.1547842222854117</v>
      </c>
      <c r="AE12" s="17">
        <f t="shared" si="9"/>
        <v>323.4666512402631</v>
      </c>
      <c r="AF12" s="17">
        <f t="shared" si="4"/>
        <v>323.00705136026312</v>
      </c>
    </row>
    <row r="13" spans="1:32" x14ac:dyDescent="0.25">
      <c r="A13" s="14">
        <v>11</v>
      </c>
      <c r="B13" s="14" t="s">
        <v>59</v>
      </c>
      <c r="C13" s="14">
        <v>100</v>
      </c>
      <c r="D13" s="14">
        <v>10</v>
      </c>
      <c r="E13" s="15">
        <v>-0.46193990000000001</v>
      </c>
      <c r="F13" s="15">
        <v>-0.45890992000000003</v>
      </c>
      <c r="G13" s="15">
        <v>-3.0299699999999999E-3</v>
      </c>
      <c r="H13" s="15">
        <v>0.60423499999999997</v>
      </c>
      <c r="I13" s="15">
        <v>0.59572007999999999</v>
      </c>
      <c r="J13" s="15">
        <v>8.5149400000000004E-3</v>
      </c>
      <c r="K13" s="18">
        <v>24.16</v>
      </c>
      <c r="L13" s="18">
        <v>24.14</v>
      </c>
      <c r="M13" s="18">
        <v>0.01</v>
      </c>
      <c r="N13" s="15">
        <v>3.1561029999999997E-2</v>
      </c>
      <c r="O13" s="15">
        <v>4.473999E-2</v>
      </c>
      <c r="P13" s="15">
        <v>-1.317896E-2</v>
      </c>
      <c r="Q13" s="15">
        <v>-2.70957E-2</v>
      </c>
      <c r="R13" s="15">
        <v>3.8023679999999997E-2</v>
      </c>
      <c r="S13" s="15">
        <v>-6.5119380000000004E-2</v>
      </c>
      <c r="T13" s="14"/>
      <c r="U13" s="15">
        <f t="shared" si="5"/>
        <v>1.5149899999999938E-3</v>
      </c>
      <c r="V13" s="15">
        <f t="shared" si="6"/>
        <v>4.2574599999999907E-3</v>
      </c>
      <c r="W13" s="15"/>
      <c r="X13" s="15"/>
      <c r="Y13" s="16">
        <f t="shared" si="0"/>
        <v>3.1561029999999997E-2</v>
      </c>
      <c r="Z13" s="16">
        <f t="shared" si="1"/>
        <v>-2.70957E-2</v>
      </c>
      <c r="AA13" s="16">
        <f t="shared" si="2"/>
        <v>4.473999E-2</v>
      </c>
      <c r="AB13" s="16">
        <f t="shared" si="3"/>
        <v>3.8023679999999997E-2</v>
      </c>
      <c r="AC13" s="17">
        <f t="shared" si="7"/>
        <v>2.3839963812640761</v>
      </c>
      <c r="AD13" s="17">
        <f t="shared" si="8"/>
        <v>3.3660653235819948</v>
      </c>
      <c r="AE13" s="17">
        <f t="shared" si="9"/>
        <v>319.35332906676882</v>
      </c>
      <c r="AF13" s="17">
        <f t="shared" si="4"/>
        <v>318.89441914676883</v>
      </c>
    </row>
    <row r="14" spans="1:32" x14ac:dyDescent="0.25">
      <c r="A14" s="14">
        <v>12</v>
      </c>
      <c r="B14" s="14" t="s">
        <v>59</v>
      </c>
      <c r="C14" s="14">
        <v>110</v>
      </c>
      <c r="D14" s="14">
        <v>9</v>
      </c>
      <c r="E14" s="15">
        <v>-0.46100548000000002</v>
      </c>
      <c r="F14" s="15">
        <v>-0.46336100000000002</v>
      </c>
      <c r="G14" s="15">
        <v>2.3555199999999998E-3</v>
      </c>
      <c r="H14" s="15">
        <v>0.60246116000000005</v>
      </c>
      <c r="I14" s="15">
        <v>0.59856670000000001</v>
      </c>
      <c r="J14" s="15">
        <v>3.8944499999999998E-3</v>
      </c>
      <c r="K14" s="18">
        <v>24.06</v>
      </c>
      <c r="L14" s="18">
        <v>24.05</v>
      </c>
      <c r="M14" s="18">
        <v>0</v>
      </c>
      <c r="N14" s="15">
        <v>2.5919049999999999E-2</v>
      </c>
      <c r="O14" s="15">
        <v>5.0243330000000003E-2</v>
      </c>
      <c r="P14" s="15">
        <v>-2.432428E-2</v>
      </c>
      <c r="Q14" s="15">
        <v>-2.5488819999999999E-2</v>
      </c>
      <c r="R14" s="15">
        <v>3.6404619999999999E-2</v>
      </c>
      <c r="S14" s="15">
        <v>-6.1893440000000001E-2</v>
      </c>
      <c r="T14" s="14"/>
      <c r="U14" s="15">
        <f t="shared" si="5"/>
        <v>-1.1777599999999999E-3</v>
      </c>
      <c r="V14" s="15">
        <f t="shared" si="6"/>
        <v>1.947230000000022E-3</v>
      </c>
      <c r="W14" s="15"/>
      <c r="X14" s="15"/>
      <c r="Y14" s="16">
        <f t="shared" si="0"/>
        <v>2.5919049999999999E-2</v>
      </c>
      <c r="Z14" s="16">
        <f t="shared" si="1"/>
        <v>-2.5488819999999999E-2</v>
      </c>
      <c r="AA14" s="16">
        <f t="shared" si="2"/>
        <v>5.0243330000000003E-2</v>
      </c>
      <c r="AB14" s="16">
        <f t="shared" si="3"/>
        <v>3.6404619999999999E-2</v>
      </c>
      <c r="AC14" s="17">
        <f t="shared" si="7"/>
        <v>2.0832824291881211</v>
      </c>
      <c r="AD14" s="17">
        <f t="shared" si="8"/>
        <v>3.5572507118589374</v>
      </c>
      <c r="AE14" s="17">
        <f t="shared" si="9"/>
        <v>315.47949443821642</v>
      </c>
      <c r="AF14" s="17">
        <f t="shared" si="4"/>
        <v>315.0161334382164</v>
      </c>
    </row>
    <row r="15" spans="1:32" x14ac:dyDescent="0.25">
      <c r="A15" s="14">
        <v>13</v>
      </c>
      <c r="B15" s="14" t="s">
        <v>59</v>
      </c>
      <c r="C15" s="14">
        <v>120</v>
      </c>
      <c r="D15" s="14">
        <v>10</v>
      </c>
      <c r="E15" s="15">
        <v>-0.45222990000000002</v>
      </c>
      <c r="F15" s="15">
        <v>-0.45434491999999999</v>
      </c>
      <c r="G15" s="15">
        <v>2.1150399999999999E-3</v>
      </c>
      <c r="H15" s="15">
        <v>0.56266503999999995</v>
      </c>
      <c r="I15" s="15">
        <v>0.56242499999999995</v>
      </c>
      <c r="J15" s="15">
        <v>2.4002999999999999E-4</v>
      </c>
      <c r="K15" s="18">
        <v>24.81</v>
      </c>
      <c r="L15" s="18">
        <v>24.81</v>
      </c>
      <c r="M15" s="18">
        <v>-0.01</v>
      </c>
      <c r="N15" s="15">
        <v>1.978955E-2</v>
      </c>
      <c r="O15" s="15">
        <v>5.4312249999999999E-2</v>
      </c>
      <c r="P15" s="15">
        <v>-3.4522700000000003E-2</v>
      </c>
      <c r="Q15" s="15">
        <v>-2.3312989999999999E-2</v>
      </c>
      <c r="R15" s="15">
        <v>3.3275880000000001E-2</v>
      </c>
      <c r="S15" s="15">
        <v>-5.6588869999999999E-2</v>
      </c>
      <c r="T15" s="14"/>
      <c r="U15" s="15">
        <f t="shared" si="5"/>
        <v>-1.0575099999999837E-3</v>
      </c>
      <c r="V15" s="15">
        <f t="shared" si="6"/>
        <v>1.2001999999999846E-4</v>
      </c>
      <c r="W15" s="15"/>
      <c r="X15" s="15"/>
      <c r="Y15" s="16">
        <f t="shared" si="0"/>
        <v>1.978955E-2</v>
      </c>
      <c r="Z15" s="16">
        <f t="shared" si="1"/>
        <v>-2.3312989999999999E-2</v>
      </c>
      <c r="AA15" s="16">
        <f t="shared" si="2"/>
        <v>5.4312249999999999E-2</v>
      </c>
      <c r="AB15" s="16">
        <f t="shared" si="3"/>
        <v>3.3275880000000001E-2</v>
      </c>
      <c r="AC15" s="17">
        <f t="shared" si="7"/>
        <v>1.752364437126072</v>
      </c>
      <c r="AD15" s="17">
        <f t="shared" si="8"/>
        <v>3.6519501483452697</v>
      </c>
      <c r="AE15" s="17">
        <f t="shared" si="9"/>
        <v>310.3267170969192</v>
      </c>
      <c r="AF15" s="17">
        <f t="shared" si="4"/>
        <v>309.87237217691921</v>
      </c>
    </row>
    <row r="16" spans="1:32" x14ac:dyDescent="0.25">
      <c r="A16" s="14">
        <v>14</v>
      </c>
      <c r="B16" s="14" t="s">
        <v>59</v>
      </c>
      <c r="C16" s="14">
        <v>130</v>
      </c>
      <c r="D16" s="14">
        <v>2</v>
      </c>
      <c r="E16" s="15">
        <v>-0.45454995999999998</v>
      </c>
      <c r="F16" s="15">
        <v>-0.464225</v>
      </c>
      <c r="G16" s="15">
        <v>9.6750299999999994E-3</v>
      </c>
      <c r="H16" s="15">
        <v>0.59784990000000005</v>
      </c>
      <c r="I16" s="15">
        <v>0.59479976000000001</v>
      </c>
      <c r="J16" s="15">
        <v>3.0501500000000002E-3</v>
      </c>
      <c r="K16" s="18">
        <v>24.03</v>
      </c>
      <c r="L16" s="18">
        <v>23.98</v>
      </c>
      <c r="M16" s="18">
        <v>0.05</v>
      </c>
      <c r="N16" s="15">
        <v>1.6246340000000001E-2</v>
      </c>
      <c r="O16" s="15">
        <v>6.0588379999999997E-2</v>
      </c>
      <c r="P16" s="15">
        <v>-4.4342039999999999E-2</v>
      </c>
      <c r="Q16" s="15">
        <v>-1.9479980000000001E-2</v>
      </c>
      <c r="R16" s="15">
        <v>3.019287E-2</v>
      </c>
      <c r="S16" s="15">
        <v>-4.9672849999999998E-2</v>
      </c>
      <c r="T16" s="14"/>
      <c r="U16" s="15">
        <f t="shared" si="5"/>
        <v>-4.8375200000000118E-3</v>
      </c>
      <c r="V16" s="15">
        <f t="shared" si="6"/>
        <v>1.5250700000000172E-3</v>
      </c>
      <c r="W16" s="15"/>
      <c r="X16" s="15"/>
      <c r="Y16" s="16">
        <f t="shared" si="0"/>
        <v>1.6246340000000001E-2</v>
      </c>
      <c r="Z16" s="16">
        <f t="shared" si="1"/>
        <v>-1.9479980000000001E-2</v>
      </c>
      <c r="AA16" s="16">
        <f t="shared" si="2"/>
        <v>6.0588379999999997E-2</v>
      </c>
      <c r="AB16" s="16">
        <f t="shared" si="3"/>
        <v>3.019287E-2</v>
      </c>
      <c r="AC16" s="17">
        <f t="shared" si="7"/>
        <v>1.4534971786147284</v>
      </c>
      <c r="AD16" s="17">
        <f t="shared" si="8"/>
        <v>3.8815843158443126</v>
      </c>
      <c r="AE16" s="17">
        <f t="shared" si="9"/>
        <v>309.82816993267113</v>
      </c>
      <c r="AF16" s="17">
        <f t="shared" si="4"/>
        <v>309.36394493267113</v>
      </c>
    </row>
    <row r="17" spans="1:32" x14ac:dyDescent="0.25">
      <c r="A17" s="14">
        <v>15</v>
      </c>
      <c r="B17" s="14" t="s">
        <v>59</v>
      </c>
      <c r="C17" s="14">
        <v>140</v>
      </c>
      <c r="D17" s="14">
        <v>6</v>
      </c>
      <c r="E17" s="15">
        <v>-0.45495819999999998</v>
      </c>
      <c r="F17" s="15">
        <v>-0.4579915</v>
      </c>
      <c r="G17" s="15">
        <v>3.03331E-3</v>
      </c>
      <c r="H17" s="15">
        <v>0.57775829999999995</v>
      </c>
      <c r="I17" s="15">
        <v>0.57569999999999999</v>
      </c>
      <c r="J17" s="15">
        <v>2.0583300000000001E-3</v>
      </c>
      <c r="K17" s="18">
        <v>24.55</v>
      </c>
      <c r="L17" s="18">
        <v>24.55</v>
      </c>
      <c r="M17" s="18">
        <v>-0.01</v>
      </c>
      <c r="N17" s="15">
        <v>1.1603189999999999E-2</v>
      </c>
      <c r="O17" s="15">
        <v>6.29305E-2</v>
      </c>
      <c r="P17" s="15">
        <v>-5.1327310000000001E-2</v>
      </c>
      <c r="Q17" s="15">
        <v>-1.5737299999999999E-2</v>
      </c>
      <c r="R17" s="15">
        <v>2.5994469999999999E-2</v>
      </c>
      <c r="S17" s="15">
        <v>-4.1731770000000001E-2</v>
      </c>
      <c r="T17" s="14"/>
      <c r="U17" s="15">
        <f t="shared" si="5"/>
        <v>-1.5166500000000083E-3</v>
      </c>
      <c r="V17" s="15">
        <f t="shared" si="6"/>
        <v>1.0291499999999787E-3</v>
      </c>
      <c r="W17" s="15"/>
      <c r="X17" s="15"/>
      <c r="Y17" s="16">
        <f t="shared" si="0"/>
        <v>1.1603189999999999E-2</v>
      </c>
      <c r="Z17" s="16">
        <f t="shared" si="1"/>
        <v>-1.5737299999999999E-2</v>
      </c>
      <c r="AA17" s="16">
        <f t="shared" si="2"/>
        <v>6.29305E-2</v>
      </c>
      <c r="AB17" s="16">
        <f t="shared" si="3"/>
        <v>2.5994469999999999E-2</v>
      </c>
      <c r="AC17" s="17">
        <f t="shared" si="7"/>
        <v>1.1203418065832429</v>
      </c>
      <c r="AD17" s="17">
        <f t="shared" si="8"/>
        <v>3.9041691051299043</v>
      </c>
      <c r="AE17" s="17">
        <f t="shared" si="9"/>
        <v>306.40153731992365</v>
      </c>
      <c r="AF17" s="17">
        <f t="shared" si="4"/>
        <v>305.94354581992366</v>
      </c>
    </row>
    <row r="18" spans="1:32" x14ac:dyDescent="0.25">
      <c r="A18" s="14">
        <v>16</v>
      </c>
      <c r="B18" s="14" t="s">
        <v>59</v>
      </c>
      <c r="C18" s="14">
        <v>150</v>
      </c>
      <c r="D18" s="14">
        <v>7</v>
      </c>
      <c r="E18" s="15">
        <v>-0.45687129999999998</v>
      </c>
      <c r="F18" s="15">
        <v>-0.46275707999999999</v>
      </c>
      <c r="G18" s="15">
        <v>5.8857800000000002E-3</v>
      </c>
      <c r="H18" s="15">
        <v>0.60940729999999999</v>
      </c>
      <c r="I18" s="15">
        <v>0.60081430000000002</v>
      </c>
      <c r="J18" s="15">
        <v>8.5930199999999998E-3</v>
      </c>
      <c r="K18" s="18">
        <v>24.01</v>
      </c>
      <c r="L18" s="18">
        <v>24.01</v>
      </c>
      <c r="M18" s="18">
        <v>0</v>
      </c>
      <c r="N18" s="15">
        <v>8.5194599999999995E-3</v>
      </c>
      <c r="O18" s="15">
        <v>6.7154710000000006E-2</v>
      </c>
      <c r="P18" s="15">
        <v>-5.863525E-2</v>
      </c>
      <c r="Q18" s="15">
        <v>-1.05535E-2</v>
      </c>
      <c r="R18" s="15">
        <v>2.153739E-2</v>
      </c>
      <c r="S18" s="15">
        <v>-3.2090889999999997E-2</v>
      </c>
      <c r="T18" s="14"/>
      <c r="U18" s="15">
        <f t="shared" si="5"/>
        <v>-2.9428900000000036E-3</v>
      </c>
      <c r="V18" s="15">
        <f t="shared" si="6"/>
        <v>4.2964999999999809E-3</v>
      </c>
      <c r="W18" s="15"/>
      <c r="X18" s="15"/>
      <c r="Y18" s="16">
        <f t="shared" si="0"/>
        <v>8.5194599999999995E-3</v>
      </c>
      <c r="Z18" s="16">
        <f t="shared" si="1"/>
        <v>-1.05535E-2</v>
      </c>
      <c r="AA18" s="16">
        <f t="shared" si="2"/>
        <v>6.7154710000000006E-2</v>
      </c>
      <c r="AB18" s="16">
        <f t="shared" si="3"/>
        <v>2.153739E-2</v>
      </c>
      <c r="AC18" s="17">
        <f t="shared" si="7"/>
        <v>0.77713196003082297</v>
      </c>
      <c r="AD18" s="17">
        <f t="shared" si="8"/>
        <v>4.0440763102590012</v>
      </c>
      <c r="AE18" s="17">
        <f t="shared" si="9"/>
        <v>308.91268687356813</v>
      </c>
      <c r="AF18" s="17">
        <f t="shared" si="4"/>
        <v>308.44992979356812</v>
      </c>
    </row>
    <row r="19" spans="1:32" x14ac:dyDescent="0.25">
      <c r="A19" s="14">
        <v>17</v>
      </c>
      <c r="B19" s="14" t="s">
        <v>59</v>
      </c>
      <c r="C19" s="14">
        <v>160</v>
      </c>
      <c r="D19" s="14">
        <v>4</v>
      </c>
      <c r="E19" s="15">
        <v>-0.45842492000000001</v>
      </c>
      <c r="F19" s="15">
        <v>-0.4613874</v>
      </c>
      <c r="G19" s="15">
        <v>2.96247E-3</v>
      </c>
      <c r="H19" s="15">
        <v>0.58930004000000002</v>
      </c>
      <c r="I19" s="15">
        <v>0.58863750000000004</v>
      </c>
      <c r="J19" s="15">
        <v>6.6257000000000002E-4</v>
      </c>
      <c r="K19" s="18">
        <v>24.39</v>
      </c>
      <c r="L19" s="18">
        <v>24.38</v>
      </c>
      <c r="M19" s="18">
        <v>0.01</v>
      </c>
      <c r="N19" s="15">
        <v>6.5789799999999999E-3</v>
      </c>
      <c r="O19" s="15">
        <v>7.0003060000000006E-2</v>
      </c>
      <c r="P19" s="15">
        <v>-6.3424069999999999E-2</v>
      </c>
      <c r="Q19" s="15">
        <v>-5.5328399999999998E-3</v>
      </c>
      <c r="R19" s="15">
        <v>1.603516E-2</v>
      </c>
      <c r="S19" s="15">
        <v>-2.1567989999999999E-2</v>
      </c>
      <c r="T19" s="14"/>
      <c r="U19" s="15">
        <f t="shared" si="5"/>
        <v>-1.4812399999999948E-3</v>
      </c>
      <c r="V19" s="15">
        <f t="shared" si="6"/>
        <v>3.3126999999999462E-4</v>
      </c>
      <c r="W19" s="15"/>
      <c r="X19" s="15"/>
      <c r="Y19" s="16">
        <f t="shared" si="0"/>
        <v>6.5789799999999999E-3</v>
      </c>
      <c r="Z19" s="16">
        <f t="shared" si="1"/>
        <v>-5.5328399999999998E-3</v>
      </c>
      <c r="AA19" s="16">
        <f t="shared" si="2"/>
        <v>7.0003060000000006E-2</v>
      </c>
      <c r="AB19" s="16">
        <f t="shared" si="3"/>
        <v>1.603516E-2</v>
      </c>
      <c r="AC19" s="17">
        <f t="shared" ref="AC19:AC34" si="10">IF(Y19="","",DEGREES(ASIN(SQRT(Y19^2+Z19^2))))</f>
        <v>0.4925341850630694</v>
      </c>
      <c r="AD19" s="17">
        <f t="shared" ref="AD19:AD34" si="11">IF(AA19="","",DEGREES(ASIN(SQRT(AA19^2+AB19^2))))</f>
        <v>4.1183056982665596</v>
      </c>
      <c r="AE19" s="17">
        <f t="shared" ref="AE19:AE34" si="12">IF(Y19="","",MOD(DEGREES(ATAN2(Y19,Z19)),360))</f>
        <v>319.93658373317078</v>
      </c>
      <c r="AF19" s="17">
        <f t="shared" si="4"/>
        <v>319.4751963331708</v>
      </c>
    </row>
    <row r="20" spans="1:32" x14ac:dyDescent="0.25">
      <c r="A20" s="14">
        <v>18</v>
      </c>
      <c r="B20" s="14" t="s">
        <v>59</v>
      </c>
      <c r="C20" s="14">
        <v>170</v>
      </c>
      <c r="D20" s="14">
        <v>3</v>
      </c>
      <c r="E20" s="15">
        <v>-0.45454990000000001</v>
      </c>
      <c r="F20" s="15">
        <v>-0.46264991999999999</v>
      </c>
      <c r="G20" s="15">
        <v>8.1000299999999994E-3</v>
      </c>
      <c r="H20" s="15">
        <v>0.5638668</v>
      </c>
      <c r="I20" s="15">
        <v>0.56586669999999994</v>
      </c>
      <c r="J20" s="15">
        <v>-1.9999100000000001E-3</v>
      </c>
      <c r="K20" s="18">
        <v>24.82</v>
      </c>
      <c r="L20" s="18">
        <v>24.81</v>
      </c>
      <c r="M20" s="18">
        <v>0</v>
      </c>
      <c r="N20" s="15">
        <v>3.8289399999999999E-3</v>
      </c>
      <c r="O20" s="15">
        <v>7.03125E-2</v>
      </c>
      <c r="P20" s="15">
        <v>-6.6483559999999997E-2</v>
      </c>
      <c r="Q20" s="15">
        <v>3.4990000000000002E-5</v>
      </c>
      <c r="R20" s="15">
        <v>9.8950199999999992E-3</v>
      </c>
      <c r="S20" s="15">
        <v>-9.8600300000000005E-3</v>
      </c>
      <c r="T20" s="14"/>
      <c r="U20" s="15">
        <f t="shared" si="5"/>
        <v>-4.0500099999999928E-3</v>
      </c>
      <c r="V20" s="15">
        <f t="shared" si="6"/>
        <v>-9.9994999999997169E-4</v>
      </c>
      <c r="W20" s="15"/>
      <c r="X20" s="15"/>
      <c r="Y20" s="16">
        <f t="shared" si="0"/>
        <v>3.8289399999999999E-3</v>
      </c>
      <c r="Z20" s="16">
        <f t="shared" si="1"/>
        <v>3.4990000000000002E-5</v>
      </c>
      <c r="AA20" s="16">
        <f t="shared" si="2"/>
        <v>7.03125E-2</v>
      </c>
      <c r="AB20" s="16">
        <f t="shared" si="3"/>
        <v>9.8950199999999992E-3</v>
      </c>
      <c r="AC20" s="17">
        <f t="shared" si="10"/>
        <v>0.21939179807728082</v>
      </c>
      <c r="AD20" s="17">
        <f t="shared" si="11"/>
        <v>4.0717329646458866</v>
      </c>
      <c r="AE20" s="17">
        <f t="shared" si="12"/>
        <v>0.52357141208193025</v>
      </c>
      <c r="AF20" s="17">
        <f t="shared" si="4"/>
        <v>6.0921492081930262E-2</v>
      </c>
    </row>
    <row r="21" spans="1:32" x14ac:dyDescent="0.25">
      <c r="A21" s="14">
        <v>19</v>
      </c>
      <c r="B21" s="14" t="s">
        <v>59</v>
      </c>
      <c r="C21" s="14">
        <v>180</v>
      </c>
      <c r="D21" s="14">
        <v>7</v>
      </c>
      <c r="E21" s="15">
        <v>-0.46139279999999999</v>
      </c>
      <c r="F21" s="15">
        <v>-0.46673567999999999</v>
      </c>
      <c r="G21" s="15">
        <v>5.3428399999999997E-3</v>
      </c>
      <c r="H21" s="15">
        <v>0.61339292000000001</v>
      </c>
      <c r="I21" s="15">
        <v>0.61072143999999995</v>
      </c>
      <c r="J21" s="15">
        <v>2.6714799999999999E-3</v>
      </c>
      <c r="K21" s="18">
        <v>23.86</v>
      </c>
      <c r="L21" s="18">
        <v>23.85</v>
      </c>
      <c r="M21" s="18">
        <v>0.01</v>
      </c>
      <c r="N21" s="15">
        <v>5.3948099999999999E-3</v>
      </c>
      <c r="O21" s="15">
        <v>7.1473220000000004E-2</v>
      </c>
      <c r="P21" s="15">
        <v>-6.6078410000000004E-2</v>
      </c>
      <c r="Q21" s="15">
        <v>6.7009599999999997E-3</v>
      </c>
      <c r="R21" s="15">
        <v>4.8120100000000002E-3</v>
      </c>
      <c r="S21" s="15">
        <v>1.8889499999999999E-3</v>
      </c>
      <c r="T21" s="14"/>
      <c r="U21" s="15">
        <f t="shared" si="5"/>
        <v>-2.6714399999999972E-3</v>
      </c>
      <c r="V21" s="15">
        <f t="shared" si="6"/>
        <v>1.3357400000000297E-3</v>
      </c>
      <c r="W21" s="15"/>
      <c r="X21" s="15"/>
      <c r="Y21" s="16">
        <f t="shared" si="0"/>
        <v>5.3948099999999999E-3</v>
      </c>
      <c r="Z21" s="16">
        <f t="shared" si="1"/>
        <v>6.7009599999999997E-3</v>
      </c>
      <c r="AA21" s="16">
        <f t="shared" si="2"/>
        <v>7.1473220000000004E-2</v>
      </c>
      <c r="AB21" s="16">
        <f t="shared" si="3"/>
        <v>4.8120100000000002E-3</v>
      </c>
      <c r="AC21" s="17">
        <f t="shared" si="10"/>
        <v>0.49290578956770753</v>
      </c>
      <c r="AD21" s="17">
        <f t="shared" si="11"/>
        <v>4.1079029802951181</v>
      </c>
      <c r="AE21" s="17">
        <f t="shared" si="12"/>
        <v>51.163148021588079</v>
      </c>
      <c r="AF21" s="17">
        <f t="shared" si="4"/>
        <v>50.696412341588079</v>
      </c>
    </row>
    <row r="22" spans="1:32" x14ac:dyDescent="0.25">
      <c r="A22" s="14">
        <v>20</v>
      </c>
      <c r="B22" s="14" t="s">
        <v>59</v>
      </c>
      <c r="C22" s="14">
        <v>190</v>
      </c>
      <c r="D22" s="14">
        <v>5</v>
      </c>
      <c r="E22" s="15">
        <v>-0.4568798</v>
      </c>
      <c r="F22" s="15">
        <v>-0.45349988000000002</v>
      </c>
      <c r="G22" s="15">
        <v>-3.3799099999999999E-3</v>
      </c>
      <c r="H22" s="15">
        <v>0.59973016000000001</v>
      </c>
      <c r="I22" s="15">
        <v>0.60068999999999995</v>
      </c>
      <c r="J22" s="15">
        <v>-9.5987000000000004E-4</v>
      </c>
      <c r="K22" s="18">
        <v>24.17</v>
      </c>
      <c r="L22" s="18">
        <v>24.17</v>
      </c>
      <c r="M22" s="18">
        <v>0</v>
      </c>
      <c r="N22" s="15">
        <v>5.3403299999999999E-3</v>
      </c>
      <c r="O22" s="15">
        <v>7.0277350000000002E-2</v>
      </c>
      <c r="P22" s="15">
        <v>-6.4937019999999998E-2</v>
      </c>
      <c r="Q22" s="15">
        <v>1.2150879999999999E-2</v>
      </c>
      <c r="R22" s="15">
        <v>-8.7598000000000005E-4</v>
      </c>
      <c r="S22" s="15">
        <v>1.3026859999999999E-2</v>
      </c>
      <c r="T22" s="14"/>
      <c r="U22" s="15">
        <f t="shared" si="5"/>
        <v>1.6899599999999904E-3</v>
      </c>
      <c r="V22" s="15">
        <f t="shared" si="6"/>
        <v>-4.7991999999996704E-4</v>
      </c>
      <c r="W22" s="15"/>
      <c r="X22" s="15"/>
      <c r="Y22" s="16">
        <f t="shared" si="0"/>
        <v>5.3403299999999999E-3</v>
      </c>
      <c r="Z22" s="16">
        <f t="shared" si="1"/>
        <v>1.2150879999999999E-2</v>
      </c>
      <c r="AA22" s="16">
        <f t="shared" si="2"/>
        <v>7.0277350000000002E-2</v>
      </c>
      <c r="AB22" s="16">
        <f t="shared" si="3"/>
        <v>-8.7598000000000005E-4</v>
      </c>
      <c r="AC22" s="17">
        <f t="shared" si="10"/>
        <v>0.76048866368313961</v>
      </c>
      <c r="AD22" s="17">
        <f t="shared" si="11"/>
        <v>4.0302309970912713</v>
      </c>
      <c r="AE22" s="17">
        <f t="shared" si="12"/>
        <v>66.274439094181673</v>
      </c>
      <c r="AF22" s="17">
        <f t="shared" si="4"/>
        <v>65.820939214181678</v>
      </c>
    </row>
    <row r="23" spans="1:32" x14ac:dyDescent="0.25">
      <c r="A23" s="14">
        <v>21</v>
      </c>
      <c r="B23" s="14" t="s">
        <v>59</v>
      </c>
      <c r="C23" s="14">
        <v>200</v>
      </c>
      <c r="D23" s="14">
        <v>2</v>
      </c>
      <c r="E23" s="15">
        <v>-0.44702488000000001</v>
      </c>
      <c r="F23" s="15">
        <v>-0.45954990000000001</v>
      </c>
      <c r="G23" s="15">
        <v>1.252502E-2</v>
      </c>
      <c r="H23" s="15">
        <v>0.56964992000000003</v>
      </c>
      <c r="I23" s="15">
        <v>0.56815000000000004</v>
      </c>
      <c r="J23" s="15">
        <v>1.4999499999999999E-3</v>
      </c>
      <c r="K23" s="18">
        <v>24.72</v>
      </c>
      <c r="L23" s="18">
        <v>24.72</v>
      </c>
      <c r="M23" s="18">
        <v>-0.01</v>
      </c>
      <c r="N23" s="15">
        <v>5.9570300000000003E-3</v>
      </c>
      <c r="O23" s="15">
        <v>6.9248050000000005E-2</v>
      </c>
      <c r="P23" s="15">
        <v>-6.3291020000000003E-2</v>
      </c>
      <c r="Q23" s="15">
        <v>1.70581E-2</v>
      </c>
      <c r="R23" s="15">
        <v>-7.3815900000000004E-3</v>
      </c>
      <c r="S23" s="15">
        <v>2.4439700000000002E-2</v>
      </c>
      <c r="T23" s="14"/>
      <c r="U23" s="15">
        <f t="shared" si="5"/>
        <v>-6.2625099999999989E-3</v>
      </c>
      <c r="V23" s="15">
        <f t="shared" si="6"/>
        <v>7.4995999999999396E-4</v>
      </c>
      <c r="W23" s="15"/>
      <c r="X23" s="15"/>
      <c r="Y23" s="16">
        <f t="shared" si="0"/>
        <v>5.9570300000000003E-3</v>
      </c>
      <c r="Z23" s="16">
        <f t="shared" si="1"/>
        <v>1.70581E-2</v>
      </c>
      <c r="AA23" s="16">
        <f t="shared" si="2"/>
        <v>6.9248050000000005E-2</v>
      </c>
      <c r="AB23" s="16">
        <f t="shared" si="3"/>
        <v>-7.3815900000000004E-3</v>
      </c>
      <c r="AC23" s="17">
        <f t="shared" si="10"/>
        <v>1.0352960749812348</v>
      </c>
      <c r="AD23" s="17">
        <f t="shared" si="11"/>
        <v>3.9933311845498709</v>
      </c>
      <c r="AE23" s="17">
        <f t="shared" si="12"/>
        <v>70.749776056025368</v>
      </c>
      <c r="AF23" s="17">
        <f t="shared" si="4"/>
        <v>70.290226156025369</v>
      </c>
    </row>
    <row r="24" spans="1:32" x14ac:dyDescent="0.25">
      <c r="A24" s="14">
        <v>22</v>
      </c>
      <c r="B24" s="14" t="s">
        <v>59</v>
      </c>
      <c r="C24" s="14">
        <v>210</v>
      </c>
      <c r="D24" s="14">
        <v>5</v>
      </c>
      <c r="E24" s="15">
        <v>-0.45645984000000001</v>
      </c>
      <c r="F24" s="15">
        <v>-0.4649199</v>
      </c>
      <c r="G24" s="15">
        <v>8.4600400000000003E-3</v>
      </c>
      <c r="H24" s="15">
        <v>0.57140999999999997</v>
      </c>
      <c r="I24" s="15">
        <v>0.57977999999999996</v>
      </c>
      <c r="J24" s="15">
        <v>-8.3699800000000008E-3</v>
      </c>
      <c r="K24" s="18">
        <v>24.57</v>
      </c>
      <c r="L24" s="18">
        <v>24.57</v>
      </c>
      <c r="M24" s="18">
        <v>0</v>
      </c>
      <c r="N24" s="15">
        <v>9.6606399999999999E-3</v>
      </c>
      <c r="O24" s="15">
        <v>6.6293459999999998E-2</v>
      </c>
      <c r="P24" s="15">
        <v>-5.663282E-2</v>
      </c>
      <c r="Q24" s="15">
        <v>2.2613279999999999E-2</v>
      </c>
      <c r="R24" s="15">
        <v>-1.232568E-2</v>
      </c>
      <c r="S24" s="15">
        <v>3.4938959999999998E-2</v>
      </c>
      <c r="T24" s="14"/>
      <c r="U24" s="15">
        <f t="shared" si="5"/>
        <v>-4.2300299999999957E-3</v>
      </c>
      <c r="V24" s="15">
        <f t="shared" si="6"/>
        <v>-4.1849999999999943E-3</v>
      </c>
      <c r="W24" s="15"/>
      <c r="X24" s="15"/>
      <c r="Y24" s="16">
        <f t="shared" si="0"/>
        <v>9.6606399999999999E-3</v>
      </c>
      <c r="Z24" s="16">
        <f t="shared" si="1"/>
        <v>2.2613279999999999E-2</v>
      </c>
      <c r="AA24" s="16">
        <f t="shared" si="2"/>
        <v>6.6293459999999998E-2</v>
      </c>
      <c r="AB24" s="16">
        <f t="shared" si="3"/>
        <v>-1.232568E-2</v>
      </c>
      <c r="AC24" s="17">
        <f t="shared" si="10"/>
        <v>1.409068897413668</v>
      </c>
      <c r="AD24" s="17">
        <f t="shared" si="11"/>
        <v>3.8663627375128171</v>
      </c>
      <c r="AE24" s="17">
        <f t="shared" si="12"/>
        <v>66.867297733813032</v>
      </c>
      <c r="AF24" s="17">
        <f t="shared" si="4"/>
        <v>66.402377833813034</v>
      </c>
    </row>
    <row r="25" spans="1:32" x14ac:dyDescent="0.25">
      <c r="A25" s="14">
        <v>23</v>
      </c>
      <c r="B25" s="14" t="s">
        <v>59</v>
      </c>
      <c r="C25" s="14">
        <v>220</v>
      </c>
      <c r="D25" s="14">
        <v>3</v>
      </c>
      <c r="E25" s="15">
        <v>-0.45784984000000001</v>
      </c>
      <c r="F25" s="15">
        <v>-0.46521649999999998</v>
      </c>
      <c r="G25" s="15">
        <v>7.3666599999999997E-3</v>
      </c>
      <c r="H25" s="15">
        <v>0.60305008000000004</v>
      </c>
      <c r="I25" s="15">
        <v>0.60531676000000001</v>
      </c>
      <c r="J25" s="15">
        <v>-2.2667099999999999E-3</v>
      </c>
      <c r="K25" s="18">
        <v>24.04</v>
      </c>
      <c r="L25" s="18">
        <v>24.03</v>
      </c>
      <c r="M25" s="18">
        <v>0.01</v>
      </c>
      <c r="N25" s="15">
        <v>1.2549640000000001E-2</v>
      </c>
      <c r="O25" s="15">
        <v>6.3091640000000004E-2</v>
      </c>
      <c r="P25" s="15">
        <v>-5.0541990000000002E-2</v>
      </c>
      <c r="Q25" s="15">
        <v>2.7417810000000001E-2</v>
      </c>
      <c r="R25" s="15">
        <v>-1.6212569999999999E-2</v>
      </c>
      <c r="S25" s="15">
        <v>4.3630370000000002E-2</v>
      </c>
      <c r="T25" s="14"/>
      <c r="U25" s="15">
        <f t="shared" si="5"/>
        <v>-3.6833299999999847E-3</v>
      </c>
      <c r="V25" s="15">
        <f t="shared" si="6"/>
        <v>-1.1333399999999827E-3</v>
      </c>
      <c r="W25" s="15"/>
      <c r="X25" s="15"/>
      <c r="Y25" s="16">
        <f t="shared" si="0"/>
        <v>1.2549640000000001E-2</v>
      </c>
      <c r="Z25" s="16">
        <f t="shared" si="1"/>
        <v>2.7417810000000001E-2</v>
      </c>
      <c r="AA25" s="16">
        <f t="shared" si="2"/>
        <v>6.3091640000000004E-2</v>
      </c>
      <c r="AB25" s="16">
        <f t="shared" si="3"/>
        <v>-1.6212569999999999E-2</v>
      </c>
      <c r="AC25" s="17">
        <f t="shared" si="10"/>
        <v>1.7279265985438974</v>
      </c>
      <c r="AD25" s="17">
        <f t="shared" si="11"/>
        <v>3.7349721794115904</v>
      </c>
      <c r="AE25" s="17">
        <f t="shared" si="12"/>
        <v>65.405551879808854</v>
      </c>
      <c r="AF25" s="17">
        <f t="shared" si="4"/>
        <v>64.940335379808857</v>
      </c>
    </row>
    <row r="26" spans="1:32" x14ac:dyDescent="0.25">
      <c r="A26" s="14">
        <v>24</v>
      </c>
      <c r="B26" s="14" t="s">
        <v>59</v>
      </c>
      <c r="C26" s="14">
        <v>230</v>
      </c>
      <c r="D26" s="14">
        <v>8</v>
      </c>
      <c r="E26" s="15">
        <v>-0.46274359999999998</v>
      </c>
      <c r="F26" s="15">
        <v>-0.46903109999999998</v>
      </c>
      <c r="G26" s="15">
        <v>6.2874899999999997E-3</v>
      </c>
      <c r="H26" s="15">
        <v>0.63315619999999995</v>
      </c>
      <c r="I26" s="15">
        <v>0.63780000000000003</v>
      </c>
      <c r="J26" s="15">
        <v>-4.6438E-3</v>
      </c>
      <c r="K26" s="18">
        <v>23.49</v>
      </c>
      <c r="L26" s="18">
        <v>23.47</v>
      </c>
      <c r="M26" s="18">
        <v>0.02</v>
      </c>
      <c r="N26" s="15">
        <v>1.8017269999999998E-2</v>
      </c>
      <c r="O26" s="15">
        <v>6.0000310000000001E-2</v>
      </c>
      <c r="P26" s="15">
        <v>-4.1983039999999999E-2</v>
      </c>
      <c r="Q26" s="15">
        <v>3.209045E-2</v>
      </c>
      <c r="R26" s="15">
        <v>-2.0087589999999999E-2</v>
      </c>
      <c r="S26" s="15">
        <v>5.2178040000000002E-2</v>
      </c>
      <c r="T26" s="14"/>
      <c r="U26" s="15">
        <f t="shared" si="5"/>
        <v>-3.1437500000000007E-3</v>
      </c>
      <c r="V26" s="15">
        <f t="shared" si="6"/>
        <v>-2.3219000000000434E-3</v>
      </c>
      <c r="W26" s="15"/>
      <c r="X26" s="15"/>
      <c r="Y26" s="16">
        <f t="shared" si="0"/>
        <v>1.8017269999999998E-2</v>
      </c>
      <c r="Z26" s="16">
        <f t="shared" si="1"/>
        <v>3.209045E-2</v>
      </c>
      <c r="AA26" s="16">
        <f t="shared" si="2"/>
        <v>6.0000310000000001E-2</v>
      </c>
      <c r="AB26" s="16">
        <f t="shared" si="3"/>
        <v>-2.0087589999999999E-2</v>
      </c>
      <c r="AC26" s="17">
        <f t="shared" si="10"/>
        <v>2.1091003118799967</v>
      </c>
      <c r="AD26" s="17">
        <f t="shared" si="11"/>
        <v>3.627733627510334</v>
      </c>
      <c r="AE26" s="17">
        <f t="shared" si="12"/>
        <v>60.687849673720201</v>
      </c>
      <c r="AF26" s="17">
        <f t="shared" si="4"/>
        <v>60.218818573720199</v>
      </c>
    </row>
    <row r="27" spans="1:32" x14ac:dyDescent="0.25">
      <c r="A27" s="14">
        <v>25</v>
      </c>
      <c r="B27" s="14" t="s">
        <v>59</v>
      </c>
      <c r="C27" s="14">
        <v>240</v>
      </c>
      <c r="D27" s="14">
        <v>10</v>
      </c>
      <c r="E27" s="15">
        <v>-0.45659983999999998</v>
      </c>
      <c r="F27" s="15">
        <v>-0.45794496000000001</v>
      </c>
      <c r="G27" s="15">
        <v>1.3450999999999999E-3</v>
      </c>
      <c r="H27" s="15">
        <v>0.58196510000000001</v>
      </c>
      <c r="I27" s="15">
        <v>0.58715499999999998</v>
      </c>
      <c r="J27" s="15">
        <v>-5.1898999999999999E-3</v>
      </c>
      <c r="K27" s="18">
        <v>24.47</v>
      </c>
      <c r="L27" s="18">
        <v>24.46</v>
      </c>
      <c r="M27" s="18">
        <v>0.01</v>
      </c>
      <c r="N27" s="15">
        <v>2.1869630000000001E-2</v>
      </c>
      <c r="O27" s="15">
        <v>5.3969719999999999E-2</v>
      </c>
      <c r="P27" s="15">
        <v>-3.2100099999999999E-2</v>
      </c>
      <c r="Q27" s="15">
        <v>3.4486570000000001E-2</v>
      </c>
      <c r="R27" s="15">
        <v>-2.3924319999999999E-2</v>
      </c>
      <c r="S27" s="15">
        <v>5.841089E-2</v>
      </c>
      <c r="T27" s="14"/>
      <c r="U27" s="15">
        <f t="shared" si="5"/>
        <v>-6.7256000000001648E-4</v>
      </c>
      <c r="V27" s="15">
        <f t="shared" si="6"/>
        <v>-2.5949499999999848E-3</v>
      </c>
      <c r="W27" s="15"/>
      <c r="X27" s="15"/>
      <c r="Y27" s="16">
        <f t="shared" si="0"/>
        <v>2.1869630000000001E-2</v>
      </c>
      <c r="Z27" s="16">
        <f t="shared" si="1"/>
        <v>3.4486570000000001E-2</v>
      </c>
      <c r="AA27" s="16">
        <f t="shared" si="2"/>
        <v>5.3969719999999999E-2</v>
      </c>
      <c r="AB27" s="16">
        <f t="shared" si="3"/>
        <v>-2.3924319999999999E-2</v>
      </c>
      <c r="AC27" s="17">
        <f t="shared" si="10"/>
        <v>2.3403990066586022</v>
      </c>
      <c r="AD27" s="17">
        <f t="shared" si="11"/>
        <v>3.3844107994853401</v>
      </c>
      <c r="AE27" s="17">
        <f t="shared" si="12"/>
        <v>57.619206404829761</v>
      </c>
      <c r="AF27" s="17">
        <f t="shared" si="4"/>
        <v>57.161261444829762</v>
      </c>
    </row>
    <row r="28" spans="1:32" x14ac:dyDescent="0.25">
      <c r="A28" s="14">
        <v>26</v>
      </c>
      <c r="B28" s="14" t="s">
        <v>59</v>
      </c>
      <c r="C28" s="14">
        <v>250</v>
      </c>
      <c r="D28" s="14">
        <v>4</v>
      </c>
      <c r="E28" s="15">
        <v>-0.45884992000000002</v>
      </c>
      <c r="F28" s="15">
        <v>-0.45754992</v>
      </c>
      <c r="G28" s="15">
        <v>-1.3000100000000001E-3</v>
      </c>
      <c r="H28" s="15">
        <v>0.61313735999999996</v>
      </c>
      <c r="I28" s="15">
        <v>0.61307500000000004</v>
      </c>
      <c r="J28" s="15">
        <v>6.2349999999999998E-5</v>
      </c>
      <c r="K28" s="18">
        <v>23.86</v>
      </c>
      <c r="L28" s="18">
        <v>23.85</v>
      </c>
      <c r="M28" s="18">
        <v>0</v>
      </c>
      <c r="N28" s="15">
        <v>2.7318120000000001E-2</v>
      </c>
      <c r="O28" s="15">
        <v>4.9524539999999999E-2</v>
      </c>
      <c r="P28" s="15">
        <v>-2.2206420000000001E-2</v>
      </c>
      <c r="Q28" s="15">
        <v>3.7100830000000001E-2</v>
      </c>
      <c r="R28" s="15">
        <v>-2.5635379999999999E-2</v>
      </c>
      <c r="S28" s="15">
        <v>6.2736200000000006E-2</v>
      </c>
      <c r="T28" s="14"/>
      <c r="U28" s="15">
        <f t="shared" si="5"/>
        <v>6.5000000000001168E-4</v>
      </c>
      <c r="V28" s="15">
        <f t="shared" si="6"/>
        <v>3.1179999999964014E-5</v>
      </c>
      <c r="W28" s="15"/>
      <c r="X28" s="15"/>
      <c r="Y28" s="16">
        <f t="shared" si="0"/>
        <v>2.7318120000000001E-2</v>
      </c>
      <c r="Z28" s="16">
        <f t="shared" si="1"/>
        <v>3.7100830000000001E-2</v>
      </c>
      <c r="AA28" s="16">
        <f t="shared" si="2"/>
        <v>4.9524539999999999E-2</v>
      </c>
      <c r="AB28" s="16">
        <f t="shared" si="3"/>
        <v>-2.5635379999999999E-2</v>
      </c>
      <c r="AC28" s="17">
        <f t="shared" si="10"/>
        <v>2.6407419002721619</v>
      </c>
      <c r="AD28" s="17">
        <f t="shared" si="11"/>
        <v>3.1968179309489329</v>
      </c>
      <c r="AE28" s="17">
        <f t="shared" si="12"/>
        <v>53.635004099346091</v>
      </c>
      <c r="AF28" s="17">
        <f t="shared" si="4"/>
        <v>53.177454179346093</v>
      </c>
    </row>
    <row r="29" spans="1:32" x14ac:dyDescent="0.25">
      <c r="A29" s="14">
        <v>27</v>
      </c>
      <c r="B29" s="14" t="s">
        <v>59</v>
      </c>
      <c r="C29" s="14">
        <v>260</v>
      </c>
      <c r="D29" s="14">
        <v>7</v>
      </c>
      <c r="E29" s="15">
        <v>-0.46165699999999998</v>
      </c>
      <c r="F29" s="15">
        <v>-0.46168559999999997</v>
      </c>
      <c r="G29" s="15">
        <v>2.8609999999999999E-5</v>
      </c>
      <c r="H29" s="15">
        <v>0.63175009999999998</v>
      </c>
      <c r="I29" s="15">
        <v>0.63350004000000004</v>
      </c>
      <c r="J29" s="15">
        <v>-1.74993E-3</v>
      </c>
      <c r="K29" s="18">
        <v>23.51</v>
      </c>
      <c r="L29" s="18">
        <v>23.49</v>
      </c>
      <c r="M29" s="18">
        <v>0.01</v>
      </c>
      <c r="N29" s="15">
        <v>3.3843119999999997E-2</v>
      </c>
      <c r="O29" s="15">
        <v>4.3723489999999997E-2</v>
      </c>
      <c r="P29" s="15">
        <v>-9.8803699999999994E-3</v>
      </c>
      <c r="Q29" s="15">
        <v>3.8803360000000002E-2</v>
      </c>
      <c r="R29" s="15">
        <v>-2.6992539999999999E-2</v>
      </c>
      <c r="S29" s="15">
        <v>6.5795900000000004E-2</v>
      </c>
      <c r="T29" s="14"/>
      <c r="U29" s="15">
        <f t="shared" si="5"/>
        <v>-1.4299999999994872E-5</v>
      </c>
      <c r="V29" s="15">
        <f t="shared" si="6"/>
        <v>-8.7497000000003045E-4</v>
      </c>
      <c r="W29" s="15"/>
      <c r="X29" s="15"/>
      <c r="Y29" s="16">
        <f t="shared" si="0"/>
        <v>3.3843119999999997E-2</v>
      </c>
      <c r="Z29" s="16">
        <f t="shared" si="1"/>
        <v>3.8803360000000002E-2</v>
      </c>
      <c r="AA29" s="16">
        <f t="shared" si="2"/>
        <v>4.3723489999999997E-2</v>
      </c>
      <c r="AB29" s="16">
        <f t="shared" si="3"/>
        <v>-2.6992539999999999E-2</v>
      </c>
      <c r="AC29" s="17">
        <f t="shared" si="10"/>
        <v>2.9513742537483778</v>
      </c>
      <c r="AD29" s="17">
        <f t="shared" si="11"/>
        <v>2.9453975739159142</v>
      </c>
      <c r="AE29" s="17">
        <f t="shared" si="12"/>
        <v>48.906044677962548</v>
      </c>
      <c r="AF29" s="17">
        <f t="shared" si="4"/>
        <v>48.444359077962545</v>
      </c>
    </row>
    <row r="30" spans="1:32" x14ac:dyDescent="0.25">
      <c r="A30" s="14">
        <v>28</v>
      </c>
      <c r="B30" s="14" t="s">
        <v>59</v>
      </c>
      <c r="C30" s="14">
        <v>270</v>
      </c>
      <c r="D30" s="14">
        <v>8</v>
      </c>
      <c r="E30" s="15">
        <v>-0.46109992</v>
      </c>
      <c r="F30" s="15">
        <v>-0.46044363999999999</v>
      </c>
      <c r="G30" s="15">
        <v>-6.5627999999999997E-4</v>
      </c>
      <c r="H30" s="15">
        <v>0.59538124000000003</v>
      </c>
      <c r="I30" s="15">
        <v>0.60536252000000002</v>
      </c>
      <c r="J30" s="15">
        <v>-9.9812700000000004E-3</v>
      </c>
      <c r="K30" s="18">
        <v>24.08</v>
      </c>
      <c r="L30" s="18">
        <v>24.09</v>
      </c>
      <c r="M30" s="18">
        <v>-0.01</v>
      </c>
      <c r="N30" s="15">
        <v>3.9428709999999999E-2</v>
      </c>
      <c r="O30" s="15">
        <v>3.7648929999999997E-2</v>
      </c>
      <c r="P30" s="15">
        <v>1.7797799999999999E-3</v>
      </c>
      <c r="Q30" s="15">
        <v>3.8537290000000002E-2</v>
      </c>
      <c r="R30" s="15">
        <v>-2.7863160000000001E-2</v>
      </c>
      <c r="S30" s="15">
        <v>6.640045E-2</v>
      </c>
      <c r="T30" s="14"/>
      <c r="U30" s="15">
        <f t="shared" si="5"/>
        <v>3.2814000000000454E-4</v>
      </c>
      <c r="V30" s="15">
        <f t="shared" si="6"/>
        <v>-4.9906399999999906E-3</v>
      </c>
      <c r="W30" s="15"/>
      <c r="X30" s="15"/>
      <c r="Y30" s="16">
        <f t="shared" si="0"/>
        <v>3.9428709999999999E-2</v>
      </c>
      <c r="Z30" s="16">
        <f t="shared" si="1"/>
        <v>3.8537290000000002E-2</v>
      </c>
      <c r="AA30" s="16">
        <f t="shared" si="2"/>
        <v>3.7648929999999997E-2</v>
      </c>
      <c r="AB30" s="16">
        <f t="shared" si="3"/>
        <v>-2.7863160000000001E-2</v>
      </c>
      <c r="AC30" s="17">
        <f t="shared" si="10"/>
        <v>3.1605418281329967</v>
      </c>
      <c r="AD30" s="17">
        <f t="shared" si="11"/>
        <v>2.684601525868032</v>
      </c>
      <c r="AE30" s="17">
        <f t="shared" si="12"/>
        <v>44.344940379205866</v>
      </c>
      <c r="AF30" s="17">
        <f t="shared" si="4"/>
        <v>43.884496739205865</v>
      </c>
    </row>
    <row r="31" spans="1:32" x14ac:dyDescent="0.25">
      <c r="A31" s="14">
        <v>29</v>
      </c>
      <c r="B31" s="14" t="s">
        <v>59</v>
      </c>
      <c r="C31" s="14">
        <v>280</v>
      </c>
      <c r="D31" s="14">
        <v>7</v>
      </c>
      <c r="E31" s="15">
        <v>-0.45684984000000001</v>
      </c>
      <c r="F31" s="15">
        <v>-0.45591416000000001</v>
      </c>
      <c r="G31" s="15">
        <v>-9.3566999999999999E-4</v>
      </c>
      <c r="H31" s="15">
        <v>0.59054284000000001</v>
      </c>
      <c r="I31" s="15">
        <v>0.59975719999999999</v>
      </c>
      <c r="J31" s="15">
        <v>-9.2143399999999997E-3</v>
      </c>
      <c r="K31" s="18">
        <v>24.19</v>
      </c>
      <c r="L31" s="18">
        <v>24.21</v>
      </c>
      <c r="M31" s="18">
        <v>-0.02</v>
      </c>
      <c r="N31" s="15">
        <v>4.4817240000000001E-2</v>
      </c>
      <c r="O31" s="15">
        <v>3.1742819999999998E-2</v>
      </c>
      <c r="P31" s="15">
        <v>1.307443E-2</v>
      </c>
      <c r="Q31" s="15">
        <v>3.7915740000000003E-2</v>
      </c>
      <c r="R31" s="15">
        <v>-2.7270160000000002E-2</v>
      </c>
      <c r="S31" s="15">
        <v>6.5185900000000005E-2</v>
      </c>
      <c r="T31" s="14"/>
      <c r="U31" s="15">
        <f t="shared" si="5"/>
        <v>4.6783999999999715E-4</v>
      </c>
      <c r="V31" s="15">
        <f t="shared" si="6"/>
        <v>-4.6071799999999885E-3</v>
      </c>
      <c r="W31" s="15"/>
      <c r="X31" s="15"/>
      <c r="Y31" s="16">
        <f t="shared" si="0"/>
        <v>4.4817240000000001E-2</v>
      </c>
      <c r="Z31" s="16">
        <f t="shared" si="1"/>
        <v>3.7915740000000003E-2</v>
      </c>
      <c r="AA31" s="16">
        <f t="shared" si="2"/>
        <v>3.1742819999999998E-2</v>
      </c>
      <c r="AB31" s="16">
        <f t="shared" si="3"/>
        <v>-2.7270160000000002E-2</v>
      </c>
      <c r="AC31" s="17">
        <f t="shared" si="10"/>
        <v>3.3654403394260011</v>
      </c>
      <c r="AD31" s="17">
        <f t="shared" si="11"/>
        <v>2.3984231737504649</v>
      </c>
      <c r="AE31" s="17">
        <f t="shared" si="12"/>
        <v>40.231485546931296</v>
      </c>
      <c r="AF31" s="17">
        <f t="shared" si="4"/>
        <v>39.775571386931297</v>
      </c>
    </row>
    <row r="32" spans="1:32" x14ac:dyDescent="0.25">
      <c r="A32" s="14">
        <v>30</v>
      </c>
      <c r="B32" s="14" t="s">
        <v>59</v>
      </c>
      <c r="C32" s="14">
        <v>290</v>
      </c>
      <c r="D32" s="14">
        <v>6</v>
      </c>
      <c r="E32" s="15">
        <v>-0.46</v>
      </c>
      <c r="F32" s="15">
        <v>-0.46115824</v>
      </c>
      <c r="G32" s="15">
        <v>1.1582400000000001E-3</v>
      </c>
      <c r="H32" s="15">
        <v>0.62813335999999997</v>
      </c>
      <c r="I32" s="15">
        <v>0.63828344000000004</v>
      </c>
      <c r="J32" s="15">
        <v>-1.0150080000000001E-2</v>
      </c>
      <c r="K32" s="18">
        <v>23.46</v>
      </c>
      <c r="L32" s="18">
        <v>23.46</v>
      </c>
      <c r="M32" s="18">
        <v>0</v>
      </c>
      <c r="N32" s="15">
        <v>5.1803380000000003E-2</v>
      </c>
      <c r="O32" s="15">
        <v>2.7729489999999999E-2</v>
      </c>
      <c r="P32" s="15">
        <v>2.4073890000000001E-2</v>
      </c>
      <c r="Q32" s="15">
        <v>3.6798499999999998E-2</v>
      </c>
      <c r="R32" s="15">
        <v>-2.5055750000000002E-2</v>
      </c>
      <c r="S32" s="15">
        <v>6.185425E-2</v>
      </c>
      <c r="T32" s="14"/>
      <c r="U32" s="15">
        <f t="shared" si="5"/>
        <v>-5.7911999999998853E-4</v>
      </c>
      <c r="V32" s="15">
        <f t="shared" si="6"/>
        <v>-5.0750400000000306E-3</v>
      </c>
      <c r="W32" s="15"/>
      <c r="X32" s="15"/>
      <c r="Y32" s="16">
        <f t="shared" si="0"/>
        <v>5.1803380000000003E-2</v>
      </c>
      <c r="Z32" s="16">
        <f t="shared" si="1"/>
        <v>3.6798499999999998E-2</v>
      </c>
      <c r="AA32" s="16">
        <f t="shared" si="2"/>
        <v>2.7729489999999999E-2</v>
      </c>
      <c r="AB32" s="16">
        <f t="shared" si="3"/>
        <v>-2.5055750000000002E-2</v>
      </c>
      <c r="AC32" s="17">
        <f t="shared" si="10"/>
        <v>3.6432033594933206</v>
      </c>
      <c r="AD32" s="17">
        <f t="shared" si="11"/>
        <v>2.1417940870745436</v>
      </c>
      <c r="AE32" s="17">
        <f t="shared" si="12"/>
        <v>35.388059438612402</v>
      </c>
      <c r="AF32" s="17">
        <f t="shared" si="4"/>
        <v>34.926901198612399</v>
      </c>
    </row>
    <row r="33" spans="1:32" x14ac:dyDescent="0.25">
      <c r="A33" s="14">
        <v>31</v>
      </c>
      <c r="B33" s="14" t="s">
        <v>59</v>
      </c>
      <c r="C33" s="14">
        <v>300</v>
      </c>
      <c r="D33" s="14">
        <v>10</v>
      </c>
      <c r="E33" s="15">
        <v>-0.46110988000000003</v>
      </c>
      <c r="F33" s="15">
        <v>-0.45924490000000001</v>
      </c>
      <c r="G33" s="15">
        <v>-1.8649700000000001E-3</v>
      </c>
      <c r="H33" s="15">
        <v>0.59216000000000002</v>
      </c>
      <c r="I33" s="15">
        <v>0.59900509999999996</v>
      </c>
      <c r="J33" s="15">
        <v>-6.8451199999999997E-3</v>
      </c>
      <c r="K33" s="18">
        <v>24.2</v>
      </c>
      <c r="L33" s="18">
        <v>24.2</v>
      </c>
      <c r="M33" s="18">
        <v>0</v>
      </c>
      <c r="N33" s="15">
        <v>5.5694830000000001E-2</v>
      </c>
      <c r="O33" s="15">
        <v>2.1493410000000001E-2</v>
      </c>
      <c r="P33" s="15">
        <v>3.4201420000000003E-2</v>
      </c>
      <c r="Q33" s="15">
        <v>3.3767579999999998E-2</v>
      </c>
      <c r="R33" s="15">
        <v>-2.2980219999999999E-2</v>
      </c>
      <c r="S33" s="15">
        <v>5.6747800000000001E-2</v>
      </c>
      <c r="T33" s="14"/>
      <c r="U33" s="15">
        <f t="shared" si="5"/>
        <v>9.3249000000000803E-4</v>
      </c>
      <c r="V33" s="15">
        <f t="shared" si="6"/>
        <v>-3.4225499999999687E-3</v>
      </c>
      <c r="W33" s="15"/>
      <c r="X33" s="15"/>
      <c r="Y33" s="16">
        <f t="shared" si="0"/>
        <v>5.5694830000000001E-2</v>
      </c>
      <c r="Z33" s="16">
        <f t="shared" si="1"/>
        <v>3.3767579999999998E-2</v>
      </c>
      <c r="AA33" s="16">
        <f t="shared" si="2"/>
        <v>2.1493410000000001E-2</v>
      </c>
      <c r="AB33" s="16">
        <f t="shared" si="3"/>
        <v>-2.2980219999999999E-2</v>
      </c>
      <c r="AC33" s="17">
        <f t="shared" si="10"/>
        <v>3.7344261294307972</v>
      </c>
      <c r="AD33" s="17">
        <f t="shared" si="11"/>
        <v>1.8031192961651981</v>
      </c>
      <c r="AE33" s="17">
        <f t="shared" si="12"/>
        <v>31.22828626408339</v>
      </c>
      <c r="AF33" s="17">
        <f t="shared" si="4"/>
        <v>30.769041364083389</v>
      </c>
    </row>
    <row r="34" spans="1:32" x14ac:dyDescent="0.25">
      <c r="A34" s="14">
        <v>32</v>
      </c>
      <c r="B34" s="14" t="s">
        <v>59</v>
      </c>
      <c r="C34" s="14">
        <v>310</v>
      </c>
      <c r="D34" s="14">
        <v>7</v>
      </c>
      <c r="E34" s="15">
        <v>-0.46231415999999997</v>
      </c>
      <c r="F34" s="15">
        <v>-0.45798568000000001</v>
      </c>
      <c r="G34" s="15">
        <v>-4.3284899999999999E-3</v>
      </c>
      <c r="H34" s="15">
        <v>0.60582864000000003</v>
      </c>
      <c r="I34" s="15">
        <v>0.60721429999999998</v>
      </c>
      <c r="J34" s="15">
        <v>-1.3856300000000001E-3</v>
      </c>
      <c r="K34" s="18">
        <v>24.01</v>
      </c>
      <c r="L34" s="18">
        <v>24</v>
      </c>
      <c r="M34" s="18">
        <v>0.01</v>
      </c>
      <c r="N34" s="15">
        <v>6.0498389999999999E-2</v>
      </c>
      <c r="O34" s="15">
        <v>1.651646E-2</v>
      </c>
      <c r="P34" s="15">
        <v>4.3981930000000002E-2</v>
      </c>
      <c r="Q34" s="15">
        <v>3.0485140000000001E-2</v>
      </c>
      <c r="R34" s="15">
        <v>-1.9541019999999999E-2</v>
      </c>
      <c r="S34" s="15">
        <v>5.002616E-2</v>
      </c>
      <c r="T34" s="14"/>
      <c r="U34" s="15">
        <f t="shared" si="5"/>
        <v>2.164239999999984E-3</v>
      </c>
      <c r="V34" s="15">
        <f t="shared" si="6"/>
        <v>-6.9282999999997763E-4</v>
      </c>
      <c r="W34" s="15"/>
      <c r="X34" s="15"/>
      <c r="Y34" s="16">
        <f t="shared" si="0"/>
        <v>6.0498389999999999E-2</v>
      </c>
      <c r="Z34" s="16">
        <f t="shared" si="1"/>
        <v>3.0485140000000001E-2</v>
      </c>
      <c r="AA34" s="16">
        <f t="shared" si="2"/>
        <v>1.651646E-2</v>
      </c>
      <c r="AB34" s="16">
        <f t="shared" si="3"/>
        <v>-1.9541019999999999E-2</v>
      </c>
      <c r="AC34" s="17">
        <f t="shared" si="10"/>
        <v>3.8844835866834555</v>
      </c>
      <c r="AD34" s="17">
        <f t="shared" si="11"/>
        <v>1.4661315094048066</v>
      </c>
      <c r="AE34" s="17">
        <f t="shared" si="12"/>
        <v>26.743535962169325</v>
      </c>
      <c r="AF34" s="17">
        <f t="shared" si="4"/>
        <v>26.285550282169325</v>
      </c>
    </row>
    <row r="35" spans="1:32" x14ac:dyDescent="0.25">
      <c r="A35" s="14">
        <v>33</v>
      </c>
      <c r="B35" t="s">
        <v>59</v>
      </c>
      <c r="C35">
        <v>320</v>
      </c>
      <c r="D35">
        <v>5</v>
      </c>
      <c r="E35">
        <v>-0.46871000000000002</v>
      </c>
      <c r="F35">
        <v>-0.4617599</v>
      </c>
      <c r="G35">
        <v>-6.9501099999999998E-3</v>
      </c>
      <c r="H35">
        <v>0.62192999999999998</v>
      </c>
      <c r="I35">
        <v>0.62456</v>
      </c>
      <c r="J35">
        <v>-2.63E-3</v>
      </c>
      <c r="K35">
        <v>23.68</v>
      </c>
      <c r="L35">
        <v>23.68</v>
      </c>
      <c r="M35">
        <v>0</v>
      </c>
      <c r="N35">
        <v>6.4843750000000006E-2</v>
      </c>
      <c r="O35">
        <v>1.279395E-2</v>
      </c>
      <c r="P35">
        <v>5.2049810000000002E-2</v>
      </c>
      <c r="Q35">
        <v>2.6280270000000001E-2</v>
      </c>
      <c r="R35">
        <v>-1.5005370000000001E-2</v>
      </c>
      <c r="S35">
        <v>4.1285639999999998E-2</v>
      </c>
      <c r="U35" s="15">
        <f t="shared" ref="U35:U74" si="13">(F35-E35)/2</f>
        <v>3.4750500000000073E-3</v>
      </c>
      <c r="V35" s="15">
        <f t="shared" ref="V35:V74" si="14">(H35-I35)/2</f>
        <v>-1.3150000000000106E-3</v>
      </c>
      <c r="W35" s="15"/>
      <c r="X35" s="15"/>
      <c r="Y35" s="16">
        <f t="shared" ref="Y35:Y74" si="15">N35</f>
        <v>6.4843750000000006E-2</v>
      </c>
      <c r="Z35" s="16">
        <f t="shared" ref="Z35:Z74" si="16">Q35</f>
        <v>2.6280270000000001E-2</v>
      </c>
      <c r="AA35" s="16">
        <f t="shared" ref="AA35:AA74" si="17">O35</f>
        <v>1.279395E-2</v>
      </c>
      <c r="AB35" s="16">
        <f t="shared" ref="AB35:AB74" si="18">R35</f>
        <v>-1.5005370000000001E-2</v>
      </c>
      <c r="AC35" s="17">
        <f t="shared" ref="AC35:AC74" si="19">IF(Y35="","",DEGREES(ASIN(SQRT(Y35^2+Z35^2))))</f>
        <v>4.0120850032291226</v>
      </c>
      <c r="AD35" s="17">
        <f t="shared" ref="AD35:AD74" si="20">IF(AA35="","",DEGREES(ASIN(SQRT(AA35^2+AB35^2))))</f>
        <v>1.1298993514243869</v>
      </c>
      <c r="AE35" s="17">
        <f t="shared" ref="AE35:AE74" si="21">IF(Y35="","",MOD(DEGREES(ATAN2(Y35,Z35)),360))</f>
        <v>22.062028095410664</v>
      </c>
      <c r="AF35" s="17">
        <f t="shared" ref="AF35:AF74" si="22">IF(Y35="","",MOD(F35+AE35,360))</f>
        <v>21.600268195410663</v>
      </c>
    </row>
    <row r="36" spans="1:32" x14ac:dyDescent="0.25">
      <c r="A36" s="14">
        <v>34</v>
      </c>
      <c r="B36" t="s">
        <v>59</v>
      </c>
      <c r="C36">
        <v>330</v>
      </c>
      <c r="D36">
        <v>9</v>
      </c>
      <c r="E36">
        <v>-0.45842769999999999</v>
      </c>
      <c r="F36">
        <v>-0.45660000000000001</v>
      </c>
      <c r="G36">
        <v>-1.8277199999999999E-3</v>
      </c>
      <c r="H36">
        <v>0.59976123999999997</v>
      </c>
      <c r="I36">
        <v>0.60074996000000003</v>
      </c>
      <c r="J36">
        <v>-9.8872000000000001E-4</v>
      </c>
      <c r="K36">
        <v>24.12</v>
      </c>
      <c r="L36">
        <v>24.11</v>
      </c>
      <c r="M36">
        <v>0.01</v>
      </c>
      <c r="N36">
        <v>6.7051589999999994E-2</v>
      </c>
      <c r="O36">
        <v>9.3294299999999997E-3</v>
      </c>
      <c r="P36">
        <v>5.7722160000000002E-2</v>
      </c>
      <c r="Q36">
        <v>2.137505E-2</v>
      </c>
      <c r="R36">
        <v>-1.0667589999999999E-2</v>
      </c>
      <c r="S36">
        <v>3.2042639999999997E-2</v>
      </c>
      <c r="U36" s="15">
        <f t="shared" si="13"/>
        <v>9.1384999999999383E-4</v>
      </c>
      <c r="V36" s="15">
        <f t="shared" si="14"/>
        <v>-4.94360000000027E-4</v>
      </c>
      <c r="W36" s="15"/>
      <c r="X36" s="15"/>
      <c r="Y36" s="16">
        <f t="shared" si="15"/>
        <v>6.7051589999999994E-2</v>
      </c>
      <c r="Z36" s="16">
        <f t="shared" si="16"/>
        <v>2.137505E-2</v>
      </c>
      <c r="AA36" s="16">
        <f t="shared" si="17"/>
        <v>9.3294299999999997E-3</v>
      </c>
      <c r="AB36" s="16">
        <f t="shared" si="18"/>
        <v>-1.0667589999999999E-2</v>
      </c>
      <c r="AC36" s="17">
        <f t="shared" si="19"/>
        <v>4.0355947551677893</v>
      </c>
      <c r="AD36" s="17">
        <f t="shared" si="20"/>
        <v>0.81200307042822073</v>
      </c>
      <c r="AE36" s="17">
        <f t="shared" si="21"/>
        <v>17.681508245531926</v>
      </c>
      <c r="AF36" s="17">
        <f t="shared" si="22"/>
        <v>17.224908245531925</v>
      </c>
    </row>
    <row r="37" spans="1:32" x14ac:dyDescent="0.25">
      <c r="A37" s="14">
        <v>35</v>
      </c>
      <c r="B37" t="s">
        <v>59</v>
      </c>
      <c r="C37">
        <v>340</v>
      </c>
      <c r="D37">
        <v>7</v>
      </c>
      <c r="E37">
        <v>-0.45678560000000001</v>
      </c>
      <c r="F37">
        <v>-0.45091419999999999</v>
      </c>
      <c r="G37">
        <v>-5.8714199999999996E-3</v>
      </c>
      <c r="H37">
        <v>0.57372860000000003</v>
      </c>
      <c r="I37">
        <v>0.58349291999999997</v>
      </c>
      <c r="J37">
        <v>-9.76431E-3</v>
      </c>
      <c r="K37">
        <v>24.56</v>
      </c>
      <c r="L37">
        <v>24.57</v>
      </c>
      <c r="M37">
        <v>-0.01</v>
      </c>
      <c r="N37">
        <v>6.8662810000000005E-2</v>
      </c>
      <c r="O37">
        <v>6.3473100000000001E-3</v>
      </c>
      <c r="P37">
        <v>6.2315500000000003E-2</v>
      </c>
      <c r="Q37">
        <v>1.6111190000000001E-2</v>
      </c>
      <c r="R37">
        <v>-5.7840399999999998E-3</v>
      </c>
      <c r="S37">
        <v>2.1895230000000002E-2</v>
      </c>
      <c r="U37" s="15">
        <f t="shared" si="13"/>
        <v>2.9357000000000133E-3</v>
      </c>
      <c r="V37" s="15">
        <f t="shared" si="14"/>
        <v>-4.8821599999999687E-3</v>
      </c>
      <c r="W37" s="15"/>
      <c r="X37" s="15"/>
      <c r="Y37" s="16">
        <f t="shared" si="15"/>
        <v>6.8662810000000005E-2</v>
      </c>
      <c r="Z37" s="16">
        <f t="shared" si="16"/>
        <v>1.6111190000000001E-2</v>
      </c>
      <c r="AA37" s="16">
        <f t="shared" si="17"/>
        <v>6.3473100000000001E-3</v>
      </c>
      <c r="AB37" s="16">
        <f t="shared" si="18"/>
        <v>-5.7840399999999998E-3</v>
      </c>
      <c r="AC37" s="17">
        <f t="shared" si="19"/>
        <v>4.044295262383562</v>
      </c>
      <c r="AD37" s="17">
        <f t="shared" si="20"/>
        <v>0.49202790514836497</v>
      </c>
      <c r="AE37" s="17">
        <f t="shared" si="21"/>
        <v>13.205119889160814</v>
      </c>
      <c r="AF37" s="17">
        <f t="shared" si="22"/>
        <v>12.754205689160814</v>
      </c>
    </row>
    <row r="38" spans="1:32" x14ac:dyDescent="0.25">
      <c r="A38" s="14">
        <v>36</v>
      </c>
      <c r="B38" t="s">
        <v>59</v>
      </c>
      <c r="C38">
        <v>350</v>
      </c>
      <c r="D38">
        <v>8</v>
      </c>
      <c r="E38">
        <v>-0.45759988000000001</v>
      </c>
      <c r="F38">
        <v>-0.46052500000000002</v>
      </c>
      <c r="G38">
        <v>2.9250999999999999E-3</v>
      </c>
      <c r="H38">
        <v>0.61250000000000004</v>
      </c>
      <c r="I38">
        <v>0.61466248000000001</v>
      </c>
      <c r="J38">
        <v>-2.1624600000000002E-3</v>
      </c>
      <c r="K38">
        <v>23.87</v>
      </c>
      <c r="L38">
        <v>23.87</v>
      </c>
      <c r="M38">
        <v>-0.01</v>
      </c>
      <c r="N38">
        <v>7.0989990000000003E-2</v>
      </c>
      <c r="O38">
        <v>6.4010600000000001E-3</v>
      </c>
      <c r="P38">
        <v>6.4588930000000003E-2</v>
      </c>
      <c r="Q38">
        <v>1.042236E-2</v>
      </c>
      <c r="R38">
        <v>5.2917000000000003E-4</v>
      </c>
      <c r="S38">
        <v>9.8931899999999996E-3</v>
      </c>
      <c r="U38" s="15">
        <f t="shared" si="13"/>
        <v>-1.4625600000000016E-3</v>
      </c>
      <c r="V38" s="15">
        <f t="shared" si="14"/>
        <v>-1.0812399999999833E-3</v>
      </c>
      <c r="W38" s="15"/>
      <c r="X38" s="15"/>
      <c r="Y38" s="16">
        <f t="shared" si="15"/>
        <v>7.0989990000000003E-2</v>
      </c>
      <c r="Z38" s="16">
        <f t="shared" si="16"/>
        <v>1.042236E-2</v>
      </c>
      <c r="AA38" s="16">
        <f t="shared" si="17"/>
        <v>6.4010600000000001E-3</v>
      </c>
      <c r="AB38" s="16">
        <f t="shared" si="18"/>
        <v>5.2917000000000003E-4</v>
      </c>
      <c r="AC38" s="17">
        <f t="shared" si="19"/>
        <v>4.1145643836698715</v>
      </c>
      <c r="AD38" s="17">
        <f t="shared" si="20"/>
        <v>0.36800734990707462</v>
      </c>
      <c r="AE38" s="17">
        <f t="shared" si="21"/>
        <v>8.3521833563428078</v>
      </c>
      <c r="AF38" s="17">
        <f t="shared" si="22"/>
        <v>7.8916583563428082</v>
      </c>
    </row>
    <row r="39" spans="1:32" x14ac:dyDescent="0.25">
      <c r="A39" s="19">
        <v>37</v>
      </c>
      <c r="B39" s="23" t="s">
        <v>60</v>
      </c>
      <c r="C39" s="23">
        <v>0</v>
      </c>
      <c r="D39" s="23">
        <v>4</v>
      </c>
      <c r="E39" s="23">
        <v>-0.46621240000000003</v>
      </c>
      <c r="F39" s="23">
        <v>-0.46256244000000002</v>
      </c>
      <c r="G39" s="23">
        <v>-3.6499499999999999E-3</v>
      </c>
      <c r="H39" s="23">
        <v>0.62509999999999999</v>
      </c>
      <c r="I39" s="23">
        <v>0.63172496</v>
      </c>
      <c r="J39" s="23">
        <v>-6.6249400000000002E-3</v>
      </c>
      <c r="K39" s="23">
        <v>23.58</v>
      </c>
      <c r="L39" s="23">
        <v>23.59</v>
      </c>
      <c r="M39" s="23">
        <v>-0.01</v>
      </c>
      <c r="N39" s="23">
        <v>7.2401740000000006E-2</v>
      </c>
      <c r="O39" s="23">
        <v>7.0550500000000002E-3</v>
      </c>
      <c r="P39" s="23">
        <v>6.5346689999999999E-2</v>
      </c>
      <c r="Q39" s="23">
        <v>4.8791499999999996E-3</v>
      </c>
      <c r="R39" s="23">
        <v>6.1212200000000001E-3</v>
      </c>
      <c r="S39" s="23">
        <v>-1.2420700000000001E-3</v>
      </c>
      <c r="T39" s="23"/>
      <c r="U39" s="20">
        <f t="shared" si="13"/>
        <v>1.8249800000000038E-3</v>
      </c>
      <c r="V39" s="20">
        <f t="shared" si="14"/>
        <v>-3.3124800000000065E-3</v>
      </c>
      <c r="W39" s="20"/>
      <c r="X39" s="20"/>
      <c r="Y39" s="21">
        <f t="shared" si="15"/>
        <v>7.2401740000000006E-2</v>
      </c>
      <c r="Z39" s="21">
        <f t="shared" si="16"/>
        <v>4.8791499999999996E-3</v>
      </c>
      <c r="AA39" s="21">
        <f t="shared" si="17"/>
        <v>7.0550500000000002E-3</v>
      </c>
      <c r="AB39" s="21">
        <f t="shared" si="18"/>
        <v>6.1212200000000001E-3</v>
      </c>
      <c r="AC39" s="22">
        <f t="shared" si="19"/>
        <v>4.1613806932043182</v>
      </c>
      <c r="AD39" s="22">
        <f t="shared" si="20"/>
        <v>0.53517325824717121</v>
      </c>
      <c r="AE39" s="22">
        <f t="shared" si="21"/>
        <v>3.8553308462007037</v>
      </c>
      <c r="AF39" s="22">
        <f t="shared" si="22"/>
        <v>3.3927684062007035</v>
      </c>
    </row>
    <row r="40" spans="1:32" x14ac:dyDescent="0.25">
      <c r="A40" s="14">
        <v>38</v>
      </c>
      <c r="B40" t="s">
        <v>60</v>
      </c>
      <c r="C40">
        <v>10</v>
      </c>
      <c r="D40">
        <v>9</v>
      </c>
      <c r="E40">
        <v>-0.45962769999999997</v>
      </c>
      <c r="F40">
        <v>-0.45136108000000003</v>
      </c>
      <c r="G40">
        <v>-8.2666300000000005E-3</v>
      </c>
      <c r="H40">
        <v>0.58167776000000004</v>
      </c>
      <c r="I40">
        <v>0.58079460000000005</v>
      </c>
      <c r="J40">
        <v>8.8316000000000002E-4</v>
      </c>
      <c r="K40">
        <v>24.47</v>
      </c>
      <c r="L40">
        <v>24.47</v>
      </c>
      <c r="M40">
        <v>0</v>
      </c>
      <c r="N40">
        <v>7.071479E-2</v>
      </c>
      <c r="O40">
        <v>6.0481800000000002E-3</v>
      </c>
      <c r="P40">
        <v>6.4666609999999999E-2</v>
      </c>
      <c r="Q40">
        <v>-1.14448E-3</v>
      </c>
      <c r="R40">
        <v>1.132324E-2</v>
      </c>
      <c r="S40">
        <v>-1.246772E-2</v>
      </c>
      <c r="U40" s="15">
        <f t="shared" si="13"/>
        <v>4.1333099999999734E-3</v>
      </c>
      <c r="V40" s="15">
        <f t="shared" si="14"/>
        <v>4.4157999999999697E-4</v>
      </c>
      <c r="W40" s="15"/>
      <c r="X40" s="15"/>
      <c r="Y40" s="16">
        <f t="shared" si="15"/>
        <v>7.071479E-2</v>
      </c>
      <c r="Z40" s="16">
        <f t="shared" si="16"/>
        <v>-1.14448E-3</v>
      </c>
      <c r="AA40" s="16">
        <f t="shared" si="17"/>
        <v>6.0481800000000002E-3</v>
      </c>
      <c r="AB40" s="16">
        <f t="shared" si="18"/>
        <v>1.132324E-2</v>
      </c>
      <c r="AC40" s="17">
        <f t="shared" si="19"/>
        <v>4.055575348319767</v>
      </c>
      <c r="AD40" s="17">
        <f t="shared" si="20"/>
        <v>0.73554325599366932</v>
      </c>
      <c r="AE40" s="17">
        <f t="shared" si="21"/>
        <v>359.07278025938672</v>
      </c>
      <c r="AF40" s="17">
        <f t="shared" si="22"/>
        <v>358.62141917938669</v>
      </c>
    </row>
    <row r="41" spans="1:32" x14ac:dyDescent="0.25">
      <c r="A41" s="14">
        <v>39</v>
      </c>
      <c r="B41" t="s">
        <v>60</v>
      </c>
      <c r="C41">
        <v>20</v>
      </c>
      <c r="D41">
        <v>6</v>
      </c>
      <c r="E41">
        <v>-0.46000824000000001</v>
      </c>
      <c r="F41">
        <v>-0.45331655999999998</v>
      </c>
      <c r="G41">
        <v>-6.6916600000000003E-3</v>
      </c>
      <c r="H41">
        <v>0.59153350000000005</v>
      </c>
      <c r="I41">
        <v>0.58727496000000001</v>
      </c>
      <c r="J41">
        <v>4.2585100000000001E-3</v>
      </c>
      <c r="K41">
        <v>24.34</v>
      </c>
      <c r="L41">
        <v>24.33</v>
      </c>
      <c r="M41">
        <v>0.01</v>
      </c>
      <c r="N41">
        <v>6.8687739999999997E-2</v>
      </c>
      <c r="O41">
        <v>7.0987999999999997E-3</v>
      </c>
      <c r="P41">
        <v>6.1588950000000003E-2</v>
      </c>
      <c r="Q41">
        <v>-6.7785600000000003E-3</v>
      </c>
      <c r="R41">
        <v>1.7409259999999999E-2</v>
      </c>
      <c r="S41">
        <v>-2.418783E-2</v>
      </c>
      <c r="U41" s="15">
        <f t="shared" si="13"/>
        <v>3.3458400000000166E-3</v>
      </c>
      <c r="V41" s="15">
        <f t="shared" si="14"/>
        <v>2.1292700000000164E-3</v>
      </c>
      <c r="W41" s="15"/>
      <c r="X41" s="15"/>
      <c r="Y41" s="16">
        <f t="shared" si="15"/>
        <v>6.8687739999999997E-2</v>
      </c>
      <c r="Z41" s="16">
        <f t="shared" si="16"/>
        <v>-6.7785600000000003E-3</v>
      </c>
      <c r="AA41" s="16">
        <f t="shared" si="17"/>
        <v>7.0987999999999997E-3</v>
      </c>
      <c r="AB41" s="16">
        <f t="shared" si="18"/>
        <v>1.7409259999999999E-2</v>
      </c>
      <c r="AC41" s="17">
        <f t="shared" si="19"/>
        <v>3.9577819673271231</v>
      </c>
      <c r="AD41" s="17">
        <f t="shared" si="20"/>
        <v>1.0772779086995943</v>
      </c>
      <c r="AE41" s="17">
        <f t="shared" si="21"/>
        <v>354.3639233207557</v>
      </c>
      <c r="AF41" s="17">
        <f t="shared" si="22"/>
        <v>353.91060676075568</v>
      </c>
    </row>
    <row r="42" spans="1:32" x14ac:dyDescent="0.25">
      <c r="A42" s="14">
        <v>40</v>
      </c>
      <c r="B42" t="s">
        <v>60</v>
      </c>
      <c r="C42">
        <v>30</v>
      </c>
      <c r="D42">
        <v>12</v>
      </c>
      <c r="E42">
        <v>-0.46073744</v>
      </c>
      <c r="F42">
        <v>-0.45772491999999998</v>
      </c>
      <c r="G42">
        <v>-3.0125099999999999E-3</v>
      </c>
      <c r="H42">
        <v>0.6045334</v>
      </c>
      <c r="I42">
        <v>0.60230419999999996</v>
      </c>
      <c r="J42">
        <v>2.2291500000000001E-3</v>
      </c>
      <c r="K42">
        <v>24.05</v>
      </c>
      <c r="L42">
        <v>24.04</v>
      </c>
      <c r="M42">
        <v>0.01</v>
      </c>
      <c r="N42">
        <v>6.649476E-2</v>
      </c>
      <c r="O42">
        <v>1.064901E-2</v>
      </c>
      <c r="P42">
        <v>5.584575E-2</v>
      </c>
      <c r="Q42">
        <v>-1.199748E-2</v>
      </c>
      <c r="R42">
        <v>2.2296960000000001E-2</v>
      </c>
      <c r="S42">
        <v>-3.4294430000000001E-2</v>
      </c>
      <c r="U42" s="15">
        <f t="shared" si="13"/>
        <v>1.5062600000000093E-3</v>
      </c>
      <c r="V42" s="15">
        <f t="shared" si="14"/>
        <v>1.1146000000000211E-3</v>
      </c>
      <c r="W42" s="15"/>
      <c r="X42" s="15"/>
      <c r="Y42" s="16">
        <f t="shared" si="15"/>
        <v>6.649476E-2</v>
      </c>
      <c r="Z42" s="16">
        <f t="shared" si="16"/>
        <v>-1.199748E-2</v>
      </c>
      <c r="AA42" s="16">
        <f t="shared" si="17"/>
        <v>1.064901E-2</v>
      </c>
      <c r="AB42" s="16">
        <f t="shared" si="18"/>
        <v>2.2296960000000001E-2</v>
      </c>
      <c r="AC42" s="17">
        <f t="shared" si="19"/>
        <v>3.8743376912113154</v>
      </c>
      <c r="AD42" s="17">
        <f t="shared" si="20"/>
        <v>1.415890051776219</v>
      </c>
      <c r="AE42" s="17">
        <f t="shared" si="21"/>
        <v>349.77230556222577</v>
      </c>
      <c r="AF42" s="17">
        <f t="shared" si="22"/>
        <v>349.31458064222579</v>
      </c>
    </row>
    <row r="43" spans="1:32" x14ac:dyDescent="0.25">
      <c r="A43" s="14">
        <v>41</v>
      </c>
      <c r="B43" t="s">
        <v>60</v>
      </c>
      <c r="C43">
        <v>40</v>
      </c>
      <c r="D43">
        <v>5</v>
      </c>
      <c r="E43">
        <v>-0.46367987999999999</v>
      </c>
      <c r="F43">
        <v>-0.46176990000000001</v>
      </c>
      <c r="G43">
        <v>-1.90997E-3</v>
      </c>
      <c r="H43">
        <v>0.61608991999999996</v>
      </c>
      <c r="I43">
        <v>0.61294000000000004</v>
      </c>
      <c r="J43">
        <v>3.14993E-3</v>
      </c>
      <c r="K43">
        <v>23.84</v>
      </c>
      <c r="L43">
        <v>23.83</v>
      </c>
      <c r="M43">
        <v>0.01</v>
      </c>
      <c r="N43">
        <v>6.3804200000000005E-2</v>
      </c>
      <c r="O43">
        <v>1.4734860000000001E-2</v>
      </c>
      <c r="P43">
        <v>4.9069330000000001E-2</v>
      </c>
      <c r="Q43">
        <v>-1.64458E-2</v>
      </c>
      <c r="R43">
        <v>2.6815430000000001E-2</v>
      </c>
      <c r="S43">
        <v>-4.3261229999999998E-2</v>
      </c>
      <c r="U43" s="15">
        <f t="shared" si="13"/>
        <v>9.549899999999889E-4</v>
      </c>
      <c r="V43" s="15">
        <f t="shared" si="14"/>
        <v>1.5749599999999586E-3</v>
      </c>
      <c r="W43" s="15"/>
      <c r="X43" s="15"/>
      <c r="Y43" s="16">
        <f t="shared" si="15"/>
        <v>6.3804200000000005E-2</v>
      </c>
      <c r="Z43" s="16">
        <f t="shared" si="16"/>
        <v>-1.64458E-2</v>
      </c>
      <c r="AA43" s="16">
        <f t="shared" si="17"/>
        <v>1.4734860000000001E-2</v>
      </c>
      <c r="AB43" s="16">
        <f t="shared" si="18"/>
        <v>2.6815430000000001E-2</v>
      </c>
      <c r="AC43" s="17">
        <f t="shared" si="19"/>
        <v>3.7779333615929773</v>
      </c>
      <c r="AD43" s="17">
        <f t="shared" si="20"/>
        <v>1.7533591478640238</v>
      </c>
      <c r="AE43" s="17">
        <f t="shared" si="21"/>
        <v>345.54637724629828</v>
      </c>
      <c r="AF43" s="17">
        <f t="shared" si="22"/>
        <v>345.0846073462983</v>
      </c>
    </row>
    <row r="44" spans="1:32" x14ac:dyDescent="0.25">
      <c r="A44" s="14">
        <v>42</v>
      </c>
      <c r="B44" t="s">
        <v>60</v>
      </c>
      <c r="C44">
        <v>50</v>
      </c>
      <c r="D44">
        <v>13</v>
      </c>
      <c r="E44">
        <v>-0.46055763999999999</v>
      </c>
      <c r="F44">
        <v>-0.45446147999999997</v>
      </c>
      <c r="G44">
        <v>-6.0961799999999997E-3</v>
      </c>
      <c r="H44">
        <v>0.58565389999999995</v>
      </c>
      <c r="I44">
        <v>0.58196924000000005</v>
      </c>
      <c r="J44">
        <v>3.6846399999999999E-3</v>
      </c>
      <c r="K44">
        <v>24.38</v>
      </c>
      <c r="L44">
        <v>24.38</v>
      </c>
      <c r="M44">
        <v>0</v>
      </c>
      <c r="N44">
        <v>5.814772E-2</v>
      </c>
      <c r="O44">
        <v>1.7292289999999998E-2</v>
      </c>
      <c r="P44">
        <v>4.0855429999999998E-2</v>
      </c>
      <c r="Q44">
        <v>-2.070425E-2</v>
      </c>
      <c r="R44">
        <v>3.0845850000000001E-2</v>
      </c>
      <c r="S44">
        <v>-5.1550100000000001E-2</v>
      </c>
      <c r="U44" s="15">
        <f t="shared" si="13"/>
        <v>3.0480800000000086E-3</v>
      </c>
      <c r="V44" s="15">
        <f t="shared" si="14"/>
        <v>1.8423299999999476E-3</v>
      </c>
      <c r="W44" s="15"/>
      <c r="X44" s="15"/>
      <c r="Y44" s="16">
        <f t="shared" si="15"/>
        <v>5.814772E-2</v>
      </c>
      <c r="Z44" s="16">
        <f t="shared" si="16"/>
        <v>-2.070425E-2</v>
      </c>
      <c r="AA44" s="16">
        <f t="shared" si="17"/>
        <v>1.7292289999999998E-2</v>
      </c>
      <c r="AB44" s="16">
        <f t="shared" si="18"/>
        <v>3.0845850000000001E-2</v>
      </c>
      <c r="AC44" s="17">
        <f t="shared" si="19"/>
        <v>3.5387607359045603</v>
      </c>
      <c r="AD44" s="17">
        <f t="shared" si="20"/>
        <v>2.0265310231269824</v>
      </c>
      <c r="AE44" s="17">
        <f t="shared" si="21"/>
        <v>340.40106836790738</v>
      </c>
      <c r="AF44" s="17">
        <f t="shared" si="22"/>
        <v>339.94660688790736</v>
      </c>
    </row>
    <row r="45" spans="1:32" x14ac:dyDescent="0.25">
      <c r="A45" s="14">
        <v>43</v>
      </c>
      <c r="B45" t="s">
        <v>60</v>
      </c>
      <c r="C45">
        <v>60</v>
      </c>
      <c r="D45">
        <v>6</v>
      </c>
      <c r="E45">
        <v>-0.46571656</v>
      </c>
      <c r="F45">
        <v>-0.46095824000000002</v>
      </c>
      <c r="G45">
        <v>-4.7583299999999999E-3</v>
      </c>
      <c r="H45">
        <v>0.63004168000000005</v>
      </c>
      <c r="I45">
        <v>0.62438340000000003</v>
      </c>
      <c r="J45">
        <v>5.65827E-3</v>
      </c>
      <c r="K45">
        <v>23.54</v>
      </c>
      <c r="L45">
        <v>23.55</v>
      </c>
      <c r="M45">
        <v>-0.01</v>
      </c>
      <c r="N45">
        <v>5.4304199999999997E-2</v>
      </c>
      <c r="O45">
        <v>2.3530680000000002E-2</v>
      </c>
      <c r="P45">
        <v>3.0773519999999999E-2</v>
      </c>
      <c r="Q45">
        <v>-2.3505040000000001E-2</v>
      </c>
      <c r="R45">
        <v>3.4678140000000003E-2</v>
      </c>
      <c r="S45">
        <v>-5.8183190000000003E-2</v>
      </c>
      <c r="U45" s="15">
        <f t="shared" si="13"/>
        <v>2.3791599999999913E-3</v>
      </c>
      <c r="V45" s="15">
        <f t="shared" si="14"/>
        <v>2.8291400000000078E-3</v>
      </c>
      <c r="W45" s="15"/>
      <c r="X45" s="15"/>
      <c r="Y45" s="16">
        <f t="shared" si="15"/>
        <v>5.4304199999999997E-2</v>
      </c>
      <c r="Z45" s="16">
        <f t="shared" si="16"/>
        <v>-2.3505040000000001E-2</v>
      </c>
      <c r="AA45" s="16">
        <f t="shared" si="17"/>
        <v>2.3530680000000002E-2</v>
      </c>
      <c r="AB45" s="16">
        <f t="shared" si="18"/>
        <v>3.4678140000000003E-2</v>
      </c>
      <c r="AC45" s="17">
        <f t="shared" si="19"/>
        <v>3.3923395332987463</v>
      </c>
      <c r="AD45" s="17">
        <f t="shared" si="20"/>
        <v>2.4018452389096088</v>
      </c>
      <c r="AE45" s="17">
        <f t="shared" si="21"/>
        <v>336.59509983526993</v>
      </c>
      <c r="AF45" s="17">
        <f t="shared" si="22"/>
        <v>336.13414159526991</v>
      </c>
    </row>
    <row r="46" spans="1:32" x14ac:dyDescent="0.25">
      <c r="A46" s="14">
        <v>44</v>
      </c>
      <c r="B46" t="s">
        <v>60</v>
      </c>
      <c r="C46">
        <v>70</v>
      </c>
      <c r="D46">
        <v>6</v>
      </c>
      <c r="E46">
        <v>-0.45949151999999999</v>
      </c>
      <c r="F46">
        <v>-0.45748329999999998</v>
      </c>
      <c r="G46">
        <v>-2.0082300000000002E-3</v>
      </c>
      <c r="H46">
        <v>0.60910843999999997</v>
      </c>
      <c r="I46">
        <v>0.59930844000000005</v>
      </c>
      <c r="J46">
        <v>9.8000199999999996E-3</v>
      </c>
      <c r="K46">
        <v>23.96</v>
      </c>
      <c r="L46">
        <v>23.98</v>
      </c>
      <c r="M46">
        <v>-0.02</v>
      </c>
      <c r="N46">
        <v>4.8717860000000002E-2</v>
      </c>
      <c r="O46">
        <v>2.8276369999999999E-2</v>
      </c>
      <c r="P46">
        <v>2.044149E-2</v>
      </c>
      <c r="Q46">
        <v>-2.599243E-2</v>
      </c>
      <c r="R46">
        <v>3.6582440000000001E-2</v>
      </c>
      <c r="S46">
        <v>-6.2574870000000005E-2</v>
      </c>
      <c r="U46" s="15">
        <f t="shared" si="13"/>
        <v>1.0041100000000025E-3</v>
      </c>
      <c r="V46" s="15">
        <f t="shared" si="14"/>
        <v>4.8999999999999599E-3</v>
      </c>
      <c r="W46" s="15"/>
      <c r="X46" s="15"/>
      <c r="Y46" s="16">
        <f t="shared" si="15"/>
        <v>4.8717860000000002E-2</v>
      </c>
      <c r="Z46" s="16">
        <f t="shared" si="16"/>
        <v>-2.599243E-2</v>
      </c>
      <c r="AA46" s="16">
        <f t="shared" si="17"/>
        <v>2.8276369999999999E-2</v>
      </c>
      <c r="AB46" s="16">
        <f t="shared" si="18"/>
        <v>3.6582440000000001E-2</v>
      </c>
      <c r="AC46" s="17">
        <f t="shared" si="19"/>
        <v>3.1653728543385049</v>
      </c>
      <c r="AD46" s="17">
        <f t="shared" si="20"/>
        <v>2.6501098552039166</v>
      </c>
      <c r="AE46" s="17">
        <f t="shared" si="21"/>
        <v>331.91874999748075</v>
      </c>
      <c r="AF46" s="17">
        <f t="shared" si="22"/>
        <v>331.46126669748077</v>
      </c>
    </row>
    <row r="47" spans="1:32" x14ac:dyDescent="0.25">
      <c r="A47" s="14">
        <v>45</v>
      </c>
      <c r="B47" t="s">
        <v>60</v>
      </c>
      <c r="C47">
        <v>80</v>
      </c>
      <c r="D47">
        <v>9</v>
      </c>
      <c r="E47">
        <v>-0.45945550000000002</v>
      </c>
      <c r="F47">
        <v>-0.46282768000000002</v>
      </c>
      <c r="G47">
        <v>3.3721900000000002E-3</v>
      </c>
      <c r="H47">
        <v>0.61687780000000003</v>
      </c>
      <c r="I47">
        <v>0.61016667999999996</v>
      </c>
      <c r="J47">
        <v>6.71113E-3</v>
      </c>
      <c r="K47">
        <v>23.85</v>
      </c>
      <c r="L47">
        <v>23.84</v>
      </c>
      <c r="M47">
        <v>0.01</v>
      </c>
      <c r="N47">
        <v>4.371908E-2</v>
      </c>
      <c r="O47">
        <v>3.3699270000000003E-2</v>
      </c>
      <c r="P47">
        <v>1.0019800000000001E-2</v>
      </c>
      <c r="Q47">
        <v>-2.7145720000000002E-2</v>
      </c>
      <c r="R47">
        <v>3.790338E-2</v>
      </c>
      <c r="S47">
        <v>-6.5049099999999999E-2</v>
      </c>
      <c r="U47" s="15">
        <f t="shared" si="13"/>
        <v>-1.6860900000000012E-3</v>
      </c>
      <c r="V47" s="15">
        <f t="shared" si="14"/>
        <v>3.3555600000000352E-3</v>
      </c>
      <c r="W47" s="15"/>
      <c r="X47" s="15"/>
      <c r="Y47" s="16">
        <f t="shared" si="15"/>
        <v>4.371908E-2</v>
      </c>
      <c r="Z47" s="16">
        <f t="shared" si="16"/>
        <v>-2.7145720000000002E-2</v>
      </c>
      <c r="AA47" s="16">
        <f t="shared" si="17"/>
        <v>3.3699270000000003E-2</v>
      </c>
      <c r="AB47" s="16">
        <f t="shared" si="18"/>
        <v>3.790338E-2</v>
      </c>
      <c r="AC47" s="17">
        <f t="shared" si="19"/>
        <v>2.9498086013978733</v>
      </c>
      <c r="AD47" s="17">
        <f t="shared" si="20"/>
        <v>2.9071698035901901</v>
      </c>
      <c r="AE47" s="17">
        <f t="shared" si="21"/>
        <v>328.1633403072658</v>
      </c>
      <c r="AF47" s="17">
        <f t="shared" si="22"/>
        <v>327.70051262726582</v>
      </c>
    </row>
    <row r="48" spans="1:32" x14ac:dyDescent="0.25">
      <c r="A48" s="14">
        <v>46</v>
      </c>
      <c r="B48" t="s">
        <v>60</v>
      </c>
      <c r="C48">
        <v>90</v>
      </c>
      <c r="D48">
        <v>10</v>
      </c>
      <c r="E48">
        <v>-0.45528999999999997</v>
      </c>
      <c r="F48">
        <v>-0.45542495999999999</v>
      </c>
      <c r="G48">
        <v>1.3496999999999999E-4</v>
      </c>
      <c r="H48">
        <v>0.58542499999999997</v>
      </c>
      <c r="I48">
        <v>0.57552999999999999</v>
      </c>
      <c r="J48">
        <v>9.8950300000000008E-3</v>
      </c>
      <c r="K48">
        <v>24.51</v>
      </c>
      <c r="L48">
        <v>24.54</v>
      </c>
      <c r="M48">
        <v>-0.02</v>
      </c>
      <c r="N48">
        <v>3.66316E-2</v>
      </c>
      <c r="O48">
        <v>3.9266599999999999E-2</v>
      </c>
      <c r="P48">
        <v>-2.6350100000000001E-3</v>
      </c>
      <c r="Q48">
        <v>-2.7988039999999999E-2</v>
      </c>
      <c r="R48">
        <v>3.8009040000000001E-2</v>
      </c>
      <c r="S48">
        <v>-6.5997070000000005E-2</v>
      </c>
      <c r="U48" s="15">
        <f t="shared" si="13"/>
        <v>-6.7480000000008644E-5</v>
      </c>
      <c r="V48" s="15">
        <f t="shared" si="14"/>
        <v>4.9474999999999936E-3</v>
      </c>
      <c r="W48" s="15"/>
      <c r="X48" s="15"/>
      <c r="Y48" s="16">
        <f t="shared" si="15"/>
        <v>3.66316E-2</v>
      </c>
      <c r="Z48" s="16">
        <f t="shared" si="16"/>
        <v>-2.7988039999999999E-2</v>
      </c>
      <c r="AA48" s="16">
        <f t="shared" si="17"/>
        <v>3.9266599999999999E-2</v>
      </c>
      <c r="AB48" s="16">
        <f t="shared" si="18"/>
        <v>3.8009040000000001E-2</v>
      </c>
      <c r="AC48" s="17">
        <f t="shared" si="19"/>
        <v>2.6422684763183639</v>
      </c>
      <c r="AD48" s="17">
        <f t="shared" si="20"/>
        <v>3.1327385862322448</v>
      </c>
      <c r="AE48" s="17">
        <f t="shared" si="21"/>
        <v>322.61869340553966</v>
      </c>
      <c r="AF48" s="17">
        <f t="shared" si="22"/>
        <v>322.16326844553964</v>
      </c>
    </row>
    <row r="49" spans="1:32" x14ac:dyDescent="0.25">
      <c r="A49" s="14">
        <v>47</v>
      </c>
      <c r="B49" t="s">
        <v>60</v>
      </c>
      <c r="C49">
        <v>100</v>
      </c>
      <c r="D49">
        <v>5</v>
      </c>
      <c r="E49">
        <v>-0.45654980000000001</v>
      </c>
      <c r="F49">
        <v>-0.45626990000000001</v>
      </c>
      <c r="G49">
        <v>-2.7993000000000001E-4</v>
      </c>
      <c r="H49">
        <v>0.58515008000000002</v>
      </c>
      <c r="I49">
        <v>0.58242008000000001</v>
      </c>
      <c r="J49">
        <v>2.7300100000000002E-3</v>
      </c>
      <c r="K49">
        <v>24.4</v>
      </c>
      <c r="L49">
        <v>24.41</v>
      </c>
      <c r="M49">
        <v>-0.01</v>
      </c>
      <c r="N49">
        <v>3.115967E-2</v>
      </c>
      <c r="O49">
        <v>4.4250980000000002E-2</v>
      </c>
      <c r="P49">
        <v>-1.309131E-2</v>
      </c>
      <c r="Q49">
        <v>-2.754736E-2</v>
      </c>
      <c r="R49">
        <v>3.782568E-2</v>
      </c>
      <c r="S49">
        <v>-6.5373050000000002E-2</v>
      </c>
      <c r="U49" s="15">
        <f t="shared" si="13"/>
        <v>1.399499999999998E-4</v>
      </c>
      <c r="V49" s="15">
        <f t="shared" si="14"/>
        <v>1.3650000000000051E-3</v>
      </c>
      <c r="W49" s="15"/>
      <c r="X49" s="15"/>
      <c r="Y49" s="16">
        <f t="shared" si="15"/>
        <v>3.115967E-2</v>
      </c>
      <c r="Z49" s="16">
        <f t="shared" si="16"/>
        <v>-2.754736E-2</v>
      </c>
      <c r="AA49" s="16">
        <f t="shared" si="17"/>
        <v>4.4250980000000002E-2</v>
      </c>
      <c r="AB49" s="16">
        <f t="shared" si="18"/>
        <v>3.782568E-2</v>
      </c>
      <c r="AC49" s="17">
        <f t="shared" si="19"/>
        <v>2.3836561883110665</v>
      </c>
      <c r="AD49" s="17">
        <f t="shared" si="20"/>
        <v>3.3373335867752902</v>
      </c>
      <c r="AE49" s="17">
        <f t="shared" si="21"/>
        <v>318.52103499754588</v>
      </c>
      <c r="AF49" s="17">
        <f t="shared" si="22"/>
        <v>318.06476509754589</v>
      </c>
    </row>
    <row r="50" spans="1:32" x14ac:dyDescent="0.25">
      <c r="A50" s="14">
        <v>48</v>
      </c>
      <c r="B50" t="s">
        <v>60</v>
      </c>
      <c r="C50">
        <v>110</v>
      </c>
      <c r="D50">
        <v>4</v>
      </c>
      <c r="E50">
        <v>-0.45112496000000002</v>
      </c>
      <c r="F50">
        <v>-0.45548748</v>
      </c>
      <c r="G50">
        <v>4.3624900000000001E-3</v>
      </c>
      <c r="H50">
        <v>0.57335016000000005</v>
      </c>
      <c r="I50">
        <v>0.57011250000000002</v>
      </c>
      <c r="J50">
        <v>3.2376100000000001E-3</v>
      </c>
      <c r="K50">
        <v>24.68</v>
      </c>
      <c r="L50">
        <v>24.7</v>
      </c>
      <c r="M50">
        <v>-0.02</v>
      </c>
      <c r="N50">
        <v>2.5859989999999999E-2</v>
      </c>
      <c r="O50">
        <v>4.9979250000000003E-2</v>
      </c>
      <c r="P50">
        <v>-2.411926E-2</v>
      </c>
      <c r="Q50">
        <v>-2.5843499999999998E-2</v>
      </c>
      <c r="R50">
        <v>3.6154169999999999E-2</v>
      </c>
      <c r="S50">
        <v>-6.1997679999999999E-2</v>
      </c>
      <c r="U50" s="15">
        <f t="shared" si="13"/>
        <v>-2.1812599999999904E-3</v>
      </c>
      <c r="V50" s="15">
        <f t="shared" si="14"/>
        <v>1.6188300000000155E-3</v>
      </c>
      <c r="W50" s="15"/>
      <c r="X50" s="15"/>
      <c r="Y50" s="16">
        <f t="shared" si="15"/>
        <v>2.5859989999999999E-2</v>
      </c>
      <c r="Z50" s="16">
        <f t="shared" si="16"/>
        <v>-2.5843499999999998E-2</v>
      </c>
      <c r="AA50" s="16">
        <f t="shared" si="17"/>
        <v>4.9979250000000003E-2</v>
      </c>
      <c r="AB50" s="16">
        <f t="shared" si="18"/>
        <v>3.6154169999999999E-2</v>
      </c>
      <c r="AC50" s="17">
        <f t="shared" si="19"/>
        <v>2.0951943360267569</v>
      </c>
      <c r="AD50" s="17">
        <f t="shared" si="20"/>
        <v>3.5365401105230276</v>
      </c>
      <c r="AE50" s="17">
        <f t="shared" si="21"/>
        <v>315.01827357054884</v>
      </c>
      <c r="AF50" s="17">
        <f t="shared" si="22"/>
        <v>314.56278609054885</v>
      </c>
    </row>
    <row r="51" spans="1:32" x14ac:dyDescent="0.25">
      <c r="A51" s="14">
        <v>49</v>
      </c>
      <c r="B51" t="s">
        <v>60</v>
      </c>
      <c r="C51">
        <v>120</v>
      </c>
      <c r="D51">
        <v>12</v>
      </c>
      <c r="E51">
        <v>-0.45749990000000001</v>
      </c>
      <c r="F51">
        <v>-0.4603082</v>
      </c>
      <c r="G51">
        <v>2.8083299999999999E-3</v>
      </c>
      <c r="H51">
        <v>0.60386260000000003</v>
      </c>
      <c r="I51">
        <v>0.60016250000000004</v>
      </c>
      <c r="J51">
        <v>3.7000800000000001E-3</v>
      </c>
      <c r="K51">
        <v>24.06</v>
      </c>
      <c r="L51">
        <v>24.06</v>
      </c>
      <c r="M51">
        <v>0</v>
      </c>
      <c r="N51">
        <v>2.1566160000000001E-2</v>
      </c>
      <c r="O51">
        <v>5.5657959999999999E-2</v>
      </c>
      <c r="P51">
        <v>-3.4091789999999997E-2</v>
      </c>
      <c r="Q51">
        <v>-2.3159590000000001E-2</v>
      </c>
      <c r="R51">
        <v>3.3908489999999999E-2</v>
      </c>
      <c r="S51">
        <v>-5.706808E-2</v>
      </c>
      <c r="U51" s="15">
        <f t="shared" si="13"/>
        <v>-1.4041499999999929E-3</v>
      </c>
      <c r="V51" s="15">
        <f t="shared" si="14"/>
        <v>1.850049999999992E-3</v>
      </c>
      <c r="W51" s="15"/>
      <c r="X51" s="15"/>
      <c r="Y51" s="16">
        <f t="shared" si="15"/>
        <v>2.1566160000000001E-2</v>
      </c>
      <c r="Z51" s="16">
        <f t="shared" si="16"/>
        <v>-2.3159590000000001E-2</v>
      </c>
      <c r="AA51" s="16">
        <f t="shared" si="17"/>
        <v>5.5657959999999999E-2</v>
      </c>
      <c r="AB51" s="16">
        <f t="shared" si="18"/>
        <v>3.3908489999999999E-2</v>
      </c>
      <c r="AC51" s="17">
        <f t="shared" si="19"/>
        <v>1.8134818913884145</v>
      </c>
      <c r="AD51" s="17">
        <f t="shared" si="20"/>
        <v>3.736819093399502</v>
      </c>
      <c r="AE51" s="17">
        <f t="shared" si="21"/>
        <v>312.959604548529</v>
      </c>
      <c r="AF51" s="17">
        <f t="shared" si="22"/>
        <v>312.49929634852901</v>
      </c>
    </row>
    <row r="52" spans="1:32" x14ac:dyDescent="0.25">
      <c r="A52" s="14">
        <v>50</v>
      </c>
      <c r="B52" t="s">
        <v>60</v>
      </c>
      <c r="C52">
        <v>130</v>
      </c>
      <c r="D52">
        <v>5</v>
      </c>
      <c r="E52">
        <v>-0.46771992000000001</v>
      </c>
      <c r="F52">
        <v>-0.46174996000000001</v>
      </c>
      <c r="G52">
        <v>-5.9699699999999998E-3</v>
      </c>
      <c r="H52">
        <v>0.63937999999999995</v>
      </c>
      <c r="I52">
        <v>0.62827003999999997</v>
      </c>
      <c r="J52">
        <v>1.110995E-2</v>
      </c>
      <c r="K52">
        <v>23.45</v>
      </c>
      <c r="L52">
        <v>23.45</v>
      </c>
      <c r="M52">
        <v>0</v>
      </c>
      <c r="N52">
        <v>1.6931149999999999E-2</v>
      </c>
      <c r="O52">
        <v>6.0552250000000002E-2</v>
      </c>
      <c r="P52">
        <v>-4.3621090000000001E-2</v>
      </c>
      <c r="Q52">
        <v>-1.897803E-2</v>
      </c>
      <c r="R52">
        <v>3.0819820000000001E-2</v>
      </c>
      <c r="S52">
        <v>-4.9797849999999998E-2</v>
      </c>
      <c r="U52" s="15">
        <f t="shared" si="13"/>
        <v>2.9849799999999982E-3</v>
      </c>
      <c r="V52" s="15">
        <f t="shared" si="14"/>
        <v>5.5549799999999872E-3</v>
      </c>
      <c r="W52" s="15"/>
      <c r="X52" s="15"/>
      <c r="Y52" s="16">
        <f t="shared" si="15"/>
        <v>1.6931149999999999E-2</v>
      </c>
      <c r="Z52" s="16">
        <f t="shared" si="16"/>
        <v>-1.897803E-2</v>
      </c>
      <c r="AA52" s="16">
        <f t="shared" si="17"/>
        <v>6.0552250000000002E-2</v>
      </c>
      <c r="AB52" s="16">
        <f t="shared" si="18"/>
        <v>3.0819820000000001E-2</v>
      </c>
      <c r="AC52" s="17">
        <f t="shared" si="19"/>
        <v>1.4573516582634647</v>
      </c>
      <c r="AD52" s="17">
        <f t="shared" si="20"/>
        <v>3.8959266459267465</v>
      </c>
      <c r="AE52" s="17">
        <f t="shared" si="21"/>
        <v>311.73758037488489</v>
      </c>
      <c r="AF52" s="17">
        <f t="shared" si="22"/>
        <v>311.27583041488487</v>
      </c>
    </row>
    <row r="53" spans="1:32" x14ac:dyDescent="0.25">
      <c r="A53" s="14">
        <v>51</v>
      </c>
      <c r="B53" t="s">
        <v>60</v>
      </c>
      <c r="C53">
        <v>140</v>
      </c>
      <c r="D53">
        <v>3</v>
      </c>
      <c r="E53">
        <v>-0.45316647999999998</v>
      </c>
      <c r="F53">
        <v>-0.46069991999999998</v>
      </c>
      <c r="G53">
        <v>7.5334299999999998E-3</v>
      </c>
      <c r="H53">
        <v>0.57113340000000001</v>
      </c>
      <c r="I53">
        <v>0.56416659999999996</v>
      </c>
      <c r="J53">
        <v>6.9667699999999997E-3</v>
      </c>
      <c r="K53">
        <v>24.72</v>
      </c>
      <c r="L53">
        <v>24.74</v>
      </c>
      <c r="M53">
        <v>-0.02</v>
      </c>
      <c r="N53">
        <v>1.241455E-2</v>
      </c>
      <c r="O53">
        <v>6.3132320000000006E-2</v>
      </c>
      <c r="P53">
        <v>-5.0717770000000002E-2</v>
      </c>
      <c r="Q53">
        <v>-1.5375160000000001E-2</v>
      </c>
      <c r="R53">
        <v>2.5805660000000001E-2</v>
      </c>
      <c r="S53">
        <v>-4.1180830000000002E-2</v>
      </c>
      <c r="U53" s="15">
        <f t="shared" si="13"/>
        <v>-3.7667200000000012E-3</v>
      </c>
      <c r="V53" s="15">
        <f t="shared" si="14"/>
        <v>3.4834000000000254E-3</v>
      </c>
      <c r="W53" s="15"/>
      <c r="X53" s="15"/>
      <c r="Y53" s="16">
        <f t="shared" si="15"/>
        <v>1.241455E-2</v>
      </c>
      <c r="Z53" s="16">
        <f t="shared" si="16"/>
        <v>-1.5375160000000001E-2</v>
      </c>
      <c r="AA53" s="16">
        <f t="shared" si="17"/>
        <v>6.3132320000000006E-2</v>
      </c>
      <c r="AB53" s="16">
        <f t="shared" si="18"/>
        <v>2.5805660000000001E-2</v>
      </c>
      <c r="AC53" s="17">
        <f t="shared" si="19"/>
        <v>1.1323238396299116</v>
      </c>
      <c r="AD53" s="17">
        <f t="shared" si="20"/>
        <v>3.9107684945085954</v>
      </c>
      <c r="AE53" s="17">
        <f t="shared" si="21"/>
        <v>308.91886325155815</v>
      </c>
      <c r="AF53" s="17">
        <f t="shared" si="22"/>
        <v>308.45816333155813</v>
      </c>
    </row>
    <row r="54" spans="1:32" x14ac:dyDescent="0.25">
      <c r="A54" s="14">
        <v>52</v>
      </c>
      <c r="B54" t="s">
        <v>60</v>
      </c>
      <c r="C54">
        <v>150</v>
      </c>
      <c r="D54">
        <v>8</v>
      </c>
      <c r="E54">
        <v>-0.45260615999999998</v>
      </c>
      <c r="F54">
        <v>-0.46328116000000003</v>
      </c>
      <c r="G54">
        <v>1.067501E-2</v>
      </c>
      <c r="H54">
        <v>0.57966244</v>
      </c>
      <c r="I54">
        <v>0.5772562</v>
      </c>
      <c r="J54">
        <v>2.40624E-3</v>
      </c>
      <c r="K54">
        <v>24.51</v>
      </c>
      <c r="L54">
        <v>24.5</v>
      </c>
      <c r="M54">
        <v>0.01</v>
      </c>
      <c r="N54">
        <v>9.0606699999999998E-3</v>
      </c>
      <c r="O54">
        <v>6.7371210000000001E-2</v>
      </c>
      <c r="P54">
        <v>-5.8310540000000001E-2</v>
      </c>
      <c r="Q54">
        <v>-1.0957339999999999E-2</v>
      </c>
      <c r="R54">
        <v>2.133759E-2</v>
      </c>
      <c r="S54">
        <v>-3.2294919999999998E-2</v>
      </c>
      <c r="U54" s="15">
        <f t="shared" si="13"/>
        <v>-5.3375000000000228E-3</v>
      </c>
      <c r="V54" s="15">
        <f t="shared" si="14"/>
        <v>1.203120000000002E-3</v>
      </c>
      <c r="W54" s="15"/>
      <c r="X54" s="15"/>
      <c r="Y54" s="16">
        <f t="shared" si="15"/>
        <v>9.0606699999999998E-3</v>
      </c>
      <c r="Z54" s="16">
        <f t="shared" si="16"/>
        <v>-1.0957339999999999E-2</v>
      </c>
      <c r="AA54" s="16">
        <f t="shared" si="17"/>
        <v>6.7371210000000001E-2</v>
      </c>
      <c r="AB54" s="16">
        <f t="shared" si="18"/>
        <v>2.133759E-2</v>
      </c>
      <c r="AC54" s="17">
        <f t="shared" si="19"/>
        <v>0.81467398897079546</v>
      </c>
      <c r="AD54" s="17">
        <f t="shared" si="20"/>
        <v>4.052439724489691</v>
      </c>
      <c r="AE54" s="17">
        <f t="shared" si="21"/>
        <v>309.58748705507759</v>
      </c>
      <c r="AF54" s="17">
        <f t="shared" si="22"/>
        <v>309.12420589507758</v>
      </c>
    </row>
    <row r="55" spans="1:32" x14ac:dyDescent="0.25">
      <c r="A55" s="14">
        <v>53</v>
      </c>
      <c r="B55" t="s">
        <v>60</v>
      </c>
      <c r="C55">
        <v>160</v>
      </c>
      <c r="D55">
        <v>8</v>
      </c>
      <c r="E55">
        <v>-0.45568732000000001</v>
      </c>
      <c r="F55">
        <v>-0.4599936</v>
      </c>
      <c r="G55">
        <v>4.3062600000000001E-3</v>
      </c>
      <c r="H55">
        <v>0.59498119999999999</v>
      </c>
      <c r="I55">
        <v>0.59331869999999998</v>
      </c>
      <c r="J55">
        <v>1.66249E-3</v>
      </c>
      <c r="K55">
        <v>24.13</v>
      </c>
      <c r="L55">
        <v>24.15</v>
      </c>
      <c r="M55">
        <v>-0.02</v>
      </c>
      <c r="N55">
        <v>6.6452000000000004E-3</v>
      </c>
      <c r="O55">
        <v>6.9978029999999997E-2</v>
      </c>
      <c r="P55">
        <v>-6.3332819999999998E-2</v>
      </c>
      <c r="Q55">
        <v>-5.0451699999999999E-3</v>
      </c>
      <c r="R55">
        <v>1.6062320000000001E-2</v>
      </c>
      <c r="S55">
        <v>-2.1107480000000001E-2</v>
      </c>
      <c r="U55" s="15">
        <f t="shared" si="13"/>
        <v>-2.1531399999999978E-3</v>
      </c>
      <c r="V55" s="15">
        <f t="shared" si="14"/>
        <v>8.312500000000056E-4</v>
      </c>
      <c r="W55" s="15"/>
      <c r="X55" s="15"/>
      <c r="Y55" s="16">
        <f t="shared" si="15"/>
        <v>6.6452000000000004E-3</v>
      </c>
      <c r="Z55" s="16">
        <f t="shared" si="16"/>
        <v>-5.0451699999999999E-3</v>
      </c>
      <c r="AA55" s="16">
        <f t="shared" si="17"/>
        <v>6.9978029999999997E-2</v>
      </c>
      <c r="AB55" s="16">
        <f t="shared" si="18"/>
        <v>1.6062320000000001E-2</v>
      </c>
      <c r="AC55" s="17">
        <f t="shared" si="19"/>
        <v>0.47804749594324275</v>
      </c>
      <c r="AD55" s="17">
        <f t="shared" si="20"/>
        <v>4.1172529420136161</v>
      </c>
      <c r="AE55" s="17">
        <f t="shared" si="21"/>
        <v>322.79349808369</v>
      </c>
      <c r="AF55" s="17">
        <f t="shared" si="22"/>
        <v>322.33350448368998</v>
      </c>
    </row>
    <row r="56" spans="1:32" x14ac:dyDescent="0.25">
      <c r="A56" s="14">
        <v>54</v>
      </c>
      <c r="B56" t="s">
        <v>60</v>
      </c>
      <c r="C56">
        <v>170</v>
      </c>
      <c r="D56">
        <v>9</v>
      </c>
      <c r="E56">
        <v>-0.45616652000000002</v>
      </c>
      <c r="F56">
        <v>-0.45680549999999998</v>
      </c>
      <c r="G56">
        <v>6.3896000000000005E-4</v>
      </c>
      <c r="H56">
        <v>0.57806663999999996</v>
      </c>
      <c r="I56">
        <v>0.57779449999999999</v>
      </c>
      <c r="J56">
        <v>2.7214999999999997E-4</v>
      </c>
      <c r="K56">
        <v>24.53</v>
      </c>
      <c r="L56">
        <v>24.53</v>
      </c>
      <c r="M56">
        <v>0</v>
      </c>
      <c r="N56">
        <v>4.9302800000000004E-3</v>
      </c>
      <c r="O56">
        <v>7.1276580000000006E-2</v>
      </c>
      <c r="P56">
        <v>-6.6346299999999997E-2</v>
      </c>
      <c r="Q56">
        <v>5.1E-5</v>
      </c>
      <c r="R56">
        <v>1.017443E-2</v>
      </c>
      <c r="S56">
        <v>-1.0123429999999999E-2</v>
      </c>
      <c r="U56" s="15">
        <f t="shared" si="13"/>
        <v>-3.1948999999997785E-4</v>
      </c>
      <c r="V56" s="15">
        <f t="shared" si="14"/>
        <v>1.3606999999998814E-4</v>
      </c>
      <c r="W56" s="15"/>
      <c r="X56" s="15"/>
      <c r="Y56" s="16">
        <f t="shared" si="15"/>
        <v>4.9302800000000004E-3</v>
      </c>
      <c r="Z56" s="16">
        <f t="shared" si="16"/>
        <v>5.1E-5</v>
      </c>
      <c r="AA56" s="16">
        <f t="shared" si="17"/>
        <v>7.1276580000000006E-2</v>
      </c>
      <c r="AB56" s="16">
        <f t="shared" si="18"/>
        <v>1.017443E-2</v>
      </c>
      <c r="AC56" s="17">
        <f t="shared" si="19"/>
        <v>0.28250049340465877</v>
      </c>
      <c r="AD56" s="17">
        <f t="shared" si="20"/>
        <v>4.1288168140166785</v>
      </c>
      <c r="AE56" s="17">
        <f t="shared" si="21"/>
        <v>0.59266016080588269</v>
      </c>
      <c r="AF56" s="17">
        <f t="shared" si="22"/>
        <v>0.13585466080588271</v>
      </c>
    </row>
    <row r="57" spans="1:32" x14ac:dyDescent="0.25">
      <c r="A57" s="14">
        <v>55</v>
      </c>
      <c r="B57" t="s">
        <v>60</v>
      </c>
      <c r="C57">
        <v>180</v>
      </c>
      <c r="D57">
        <v>4</v>
      </c>
      <c r="E57">
        <v>-0.44776231999999999</v>
      </c>
      <c r="F57">
        <v>-0.45798744000000002</v>
      </c>
      <c r="G57">
        <v>1.0225089999999999E-2</v>
      </c>
      <c r="H57">
        <v>0.58252495999999998</v>
      </c>
      <c r="I57">
        <v>0.57833756000000003</v>
      </c>
      <c r="J57">
        <v>4.1874E-3</v>
      </c>
      <c r="K57">
        <v>24.51</v>
      </c>
      <c r="L57">
        <v>24.51</v>
      </c>
      <c r="M57">
        <v>0</v>
      </c>
      <c r="N57">
        <v>4.3554700000000002E-3</v>
      </c>
      <c r="O57">
        <v>7.1522219999999997E-2</v>
      </c>
      <c r="P57">
        <v>-6.7166749999999997E-2</v>
      </c>
      <c r="Q57">
        <v>5.9710700000000002E-3</v>
      </c>
      <c r="R57">
        <v>4.5306399999999998E-3</v>
      </c>
      <c r="S57">
        <v>1.4404299999999999E-3</v>
      </c>
      <c r="U57" s="15">
        <f t="shared" si="13"/>
        <v>-5.112560000000016E-3</v>
      </c>
      <c r="V57" s="15">
        <f t="shared" si="14"/>
        <v>2.0936999999999761E-3</v>
      </c>
      <c r="W57" s="15"/>
      <c r="X57" s="15"/>
      <c r="Y57" s="16">
        <f t="shared" si="15"/>
        <v>4.3554700000000002E-3</v>
      </c>
      <c r="Z57" s="16">
        <f t="shared" si="16"/>
        <v>5.9710700000000002E-3</v>
      </c>
      <c r="AA57" s="16">
        <f t="shared" si="17"/>
        <v>7.1522219999999997E-2</v>
      </c>
      <c r="AB57" s="16">
        <f t="shared" si="18"/>
        <v>4.5306399999999998E-3</v>
      </c>
      <c r="AC57" s="17">
        <f t="shared" si="19"/>
        <v>0.42346500334682757</v>
      </c>
      <c r="AD57" s="17">
        <f t="shared" si="20"/>
        <v>4.1096579576773928</v>
      </c>
      <c r="AE57" s="17">
        <f t="shared" si="21"/>
        <v>53.891914282717011</v>
      </c>
      <c r="AF57" s="17">
        <f t="shared" si="22"/>
        <v>53.433926842717014</v>
      </c>
    </row>
    <row r="58" spans="1:32" x14ac:dyDescent="0.25">
      <c r="A58" s="14">
        <v>56</v>
      </c>
      <c r="B58" t="s">
        <v>60</v>
      </c>
      <c r="C58">
        <v>190</v>
      </c>
      <c r="D58">
        <v>6</v>
      </c>
      <c r="E58">
        <v>-0.46355829999999998</v>
      </c>
      <c r="F58">
        <v>-0.46394995999999999</v>
      </c>
      <c r="G58">
        <v>3.9166E-4</v>
      </c>
      <c r="H58">
        <v>0.63322500000000004</v>
      </c>
      <c r="I58">
        <v>0.63509170000000004</v>
      </c>
      <c r="J58">
        <v>-1.8667E-3</v>
      </c>
      <c r="K58">
        <v>23.58</v>
      </c>
      <c r="L58">
        <v>23.57</v>
      </c>
      <c r="M58">
        <v>0.01</v>
      </c>
      <c r="N58">
        <v>6.9551600000000002E-3</v>
      </c>
      <c r="O58">
        <v>7.1650800000000001E-2</v>
      </c>
      <c r="P58">
        <v>-6.4695639999999999E-2</v>
      </c>
      <c r="Q58">
        <v>1.2232669999999999E-2</v>
      </c>
      <c r="R58">
        <v>-4.5775999999999998E-4</v>
      </c>
      <c r="S58">
        <v>1.2690430000000001E-2</v>
      </c>
      <c r="U58" s="15">
        <f t="shared" si="13"/>
        <v>-1.9583000000000794E-4</v>
      </c>
      <c r="V58" s="15">
        <f t="shared" si="14"/>
        <v>-9.3334999999999946E-4</v>
      </c>
      <c r="W58" s="15"/>
      <c r="X58" s="15"/>
      <c r="Y58" s="16">
        <f t="shared" si="15"/>
        <v>6.9551600000000002E-3</v>
      </c>
      <c r="Z58" s="16">
        <f t="shared" si="16"/>
        <v>1.2232669999999999E-2</v>
      </c>
      <c r="AA58" s="16">
        <f t="shared" si="17"/>
        <v>7.1650800000000001E-2</v>
      </c>
      <c r="AB58" s="16">
        <f t="shared" si="18"/>
        <v>-4.5775999999999998E-4</v>
      </c>
      <c r="AC58" s="17">
        <f t="shared" si="19"/>
        <v>0.8062750710917389</v>
      </c>
      <c r="AD58" s="17">
        <f t="shared" si="20"/>
        <v>4.1088932220489189</v>
      </c>
      <c r="AE58" s="17">
        <f t="shared" si="21"/>
        <v>60.378629649601748</v>
      </c>
      <c r="AF58" s="17">
        <f t="shared" si="22"/>
        <v>59.914679689601748</v>
      </c>
    </row>
    <row r="59" spans="1:32" x14ac:dyDescent="0.25">
      <c r="A59" s="14">
        <v>57</v>
      </c>
      <c r="B59" t="s">
        <v>60</v>
      </c>
      <c r="C59">
        <v>200</v>
      </c>
      <c r="D59">
        <v>7</v>
      </c>
      <c r="E59">
        <v>-0.45784992000000002</v>
      </c>
      <c r="F59">
        <v>-0.45668555999999999</v>
      </c>
      <c r="G59">
        <v>-1.16435E-3</v>
      </c>
      <c r="H59">
        <v>0.58833579999999996</v>
      </c>
      <c r="I59">
        <v>0.59362870000000001</v>
      </c>
      <c r="J59">
        <v>-5.2928899999999997E-3</v>
      </c>
      <c r="K59">
        <v>24.29</v>
      </c>
      <c r="L59">
        <v>24.28</v>
      </c>
      <c r="M59">
        <v>0.01</v>
      </c>
      <c r="N59">
        <v>6.8216400000000003E-3</v>
      </c>
      <c r="O59">
        <v>6.9215960000000007E-2</v>
      </c>
      <c r="P59">
        <v>-6.2394320000000003E-2</v>
      </c>
      <c r="Q59">
        <v>1.761091E-2</v>
      </c>
      <c r="R59">
        <v>-6.7539799999999997E-3</v>
      </c>
      <c r="S59">
        <v>2.4364879999999998E-2</v>
      </c>
      <c r="U59" s="15">
        <f t="shared" si="13"/>
        <v>5.8218000000001546E-4</v>
      </c>
      <c r="V59" s="15">
        <f t="shared" si="14"/>
        <v>-2.6464500000000224E-3</v>
      </c>
      <c r="W59" s="15"/>
      <c r="X59" s="15"/>
      <c r="Y59" s="16">
        <f t="shared" si="15"/>
        <v>6.8216400000000003E-3</v>
      </c>
      <c r="Z59" s="16">
        <f t="shared" si="16"/>
        <v>1.761091E-2</v>
      </c>
      <c r="AA59" s="16">
        <f t="shared" si="17"/>
        <v>6.9215960000000007E-2</v>
      </c>
      <c r="AB59" s="16">
        <f t="shared" si="18"/>
        <v>-6.7539799999999997E-3</v>
      </c>
      <c r="AC59" s="17">
        <f t="shared" si="19"/>
        <v>1.0821492843347711</v>
      </c>
      <c r="AD59" s="17">
        <f t="shared" si="20"/>
        <v>3.9878367465266886</v>
      </c>
      <c r="AE59" s="17">
        <f t="shared" si="21"/>
        <v>68.825970428025315</v>
      </c>
      <c r="AF59" s="17">
        <f t="shared" si="22"/>
        <v>68.369284868025318</v>
      </c>
    </row>
    <row r="60" spans="1:32" x14ac:dyDescent="0.25">
      <c r="A60" s="14">
        <v>58</v>
      </c>
      <c r="B60" t="s">
        <v>60</v>
      </c>
      <c r="C60">
        <v>210</v>
      </c>
      <c r="D60">
        <v>4</v>
      </c>
      <c r="E60">
        <v>-0.45476240000000001</v>
      </c>
      <c r="F60">
        <v>-0.46019984000000003</v>
      </c>
      <c r="G60">
        <v>5.4374599999999999E-3</v>
      </c>
      <c r="H60">
        <v>0.57873750000000002</v>
      </c>
      <c r="I60">
        <v>0.58228756000000004</v>
      </c>
      <c r="J60">
        <v>-3.5500499999999999E-3</v>
      </c>
      <c r="K60">
        <v>24.44</v>
      </c>
      <c r="L60">
        <v>24.45</v>
      </c>
      <c r="M60">
        <v>-0.01</v>
      </c>
      <c r="N60">
        <v>1.001587E-2</v>
      </c>
      <c r="O60">
        <v>6.6176760000000001E-2</v>
      </c>
      <c r="P60">
        <v>-5.6160889999999998E-2</v>
      </c>
      <c r="Q60">
        <v>2.2348630000000001E-2</v>
      </c>
      <c r="R60">
        <v>-1.180115E-2</v>
      </c>
      <c r="S60">
        <v>3.4149779999999998E-2</v>
      </c>
      <c r="U60" s="15">
        <f t="shared" si="13"/>
        <v>-2.7187200000000078E-3</v>
      </c>
      <c r="V60" s="15">
        <f t="shared" si="14"/>
        <v>-1.7750300000000108E-3</v>
      </c>
      <c r="W60" s="15"/>
      <c r="X60" s="15"/>
      <c r="Y60" s="16">
        <f t="shared" si="15"/>
        <v>1.001587E-2</v>
      </c>
      <c r="Z60" s="16">
        <f t="shared" si="16"/>
        <v>2.2348630000000001E-2</v>
      </c>
      <c r="AA60" s="16">
        <f t="shared" si="17"/>
        <v>6.6176760000000001E-2</v>
      </c>
      <c r="AB60" s="16">
        <f t="shared" si="18"/>
        <v>-1.180115E-2</v>
      </c>
      <c r="AC60" s="17">
        <f t="shared" si="19"/>
        <v>1.4033359549173356</v>
      </c>
      <c r="AD60" s="17">
        <f t="shared" si="20"/>
        <v>3.8543723717936991</v>
      </c>
      <c r="AE60" s="17">
        <f t="shared" si="21"/>
        <v>65.859755375377134</v>
      </c>
      <c r="AF60" s="17">
        <f t="shared" si="22"/>
        <v>65.399555535377132</v>
      </c>
    </row>
    <row r="61" spans="1:32" x14ac:dyDescent="0.25">
      <c r="A61" s="14">
        <v>59</v>
      </c>
      <c r="B61" t="s">
        <v>60</v>
      </c>
      <c r="C61">
        <v>220</v>
      </c>
      <c r="D61">
        <v>10</v>
      </c>
      <c r="E61">
        <v>-0.45422992000000001</v>
      </c>
      <c r="F61">
        <v>-0.45887995999999998</v>
      </c>
      <c r="G61">
        <v>4.6500300000000003E-3</v>
      </c>
      <c r="H61">
        <v>0.59116007999999998</v>
      </c>
      <c r="I61">
        <v>0.59084510000000001</v>
      </c>
      <c r="J61">
        <v>3.1494999999999998E-4</v>
      </c>
      <c r="K61">
        <v>24.28</v>
      </c>
      <c r="L61">
        <v>24.28</v>
      </c>
      <c r="M61">
        <v>0.01</v>
      </c>
      <c r="N61">
        <v>1.322681E-2</v>
      </c>
      <c r="O61">
        <v>6.3692380000000007E-2</v>
      </c>
      <c r="P61">
        <v>-5.0465570000000001E-2</v>
      </c>
      <c r="Q61">
        <v>2.717725E-2</v>
      </c>
      <c r="R61">
        <v>-1.676074E-2</v>
      </c>
      <c r="S61">
        <v>4.3937990000000003E-2</v>
      </c>
      <c r="U61" s="15">
        <f t="shared" si="13"/>
        <v>-2.3250199999999832E-3</v>
      </c>
      <c r="V61" s="15">
        <f t="shared" si="14"/>
        <v>1.5748999999998237E-4</v>
      </c>
      <c r="W61" s="15"/>
      <c r="X61" s="15"/>
      <c r="Y61" s="16">
        <f t="shared" si="15"/>
        <v>1.322681E-2</v>
      </c>
      <c r="Z61" s="16">
        <f t="shared" si="16"/>
        <v>2.717725E-2</v>
      </c>
      <c r="AA61" s="16">
        <f t="shared" si="17"/>
        <v>6.3692380000000007E-2</v>
      </c>
      <c r="AB61" s="16">
        <f t="shared" si="18"/>
        <v>-1.676074E-2</v>
      </c>
      <c r="AC61" s="17">
        <f t="shared" si="19"/>
        <v>1.7320294742447144</v>
      </c>
      <c r="AD61" s="17">
        <f t="shared" si="20"/>
        <v>3.7762778254402249</v>
      </c>
      <c r="AE61" s="17">
        <f t="shared" si="21"/>
        <v>64.048422585380393</v>
      </c>
      <c r="AF61" s="17">
        <f t="shared" si="22"/>
        <v>63.589542625380396</v>
      </c>
    </row>
    <row r="62" spans="1:32" x14ac:dyDescent="0.25">
      <c r="A62" s="14">
        <v>60</v>
      </c>
      <c r="B62" t="s">
        <v>60</v>
      </c>
      <c r="C62">
        <v>230</v>
      </c>
      <c r="D62">
        <v>9</v>
      </c>
      <c r="E62">
        <v>-0.45738329999999999</v>
      </c>
      <c r="F62">
        <v>-0.46182220000000002</v>
      </c>
      <c r="G62">
        <v>4.4388800000000001E-3</v>
      </c>
      <c r="H62">
        <v>0.59508335999999995</v>
      </c>
      <c r="I62">
        <v>0.59521115999999996</v>
      </c>
      <c r="J62">
        <v>-1.2778999999999999E-4</v>
      </c>
      <c r="K62">
        <v>24.18</v>
      </c>
      <c r="L62">
        <v>24.18</v>
      </c>
      <c r="M62">
        <v>0</v>
      </c>
      <c r="N62">
        <v>1.7647030000000001E-2</v>
      </c>
      <c r="O62">
        <v>5.9693200000000002E-2</v>
      </c>
      <c r="P62">
        <v>-4.2046170000000001E-2</v>
      </c>
      <c r="Q62">
        <v>3.1288249999999997E-2</v>
      </c>
      <c r="R62">
        <v>-2.055013E-2</v>
      </c>
      <c r="S62">
        <v>5.1838380000000003E-2</v>
      </c>
      <c r="U62" s="15">
        <f t="shared" si="13"/>
        <v>-2.2194500000000117E-3</v>
      </c>
      <c r="V62" s="15">
        <f t="shared" si="14"/>
        <v>-6.3900000000005619E-5</v>
      </c>
      <c r="W62" s="15"/>
      <c r="X62" s="15"/>
      <c r="Y62" s="16">
        <f t="shared" si="15"/>
        <v>1.7647030000000001E-2</v>
      </c>
      <c r="Z62" s="16">
        <f t="shared" si="16"/>
        <v>3.1288249999999997E-2</v>
      </c>
      <c r="AA62" s="16">
        <f t="shared" si="17"/>
        <v>5.9693200000000002E-2</v>
      </c>
      <c r="AB62" s="16">
        <f t="shared" si="18"/>
        <v>-2.055013E-2</v>
      </c>
      <c r="AC62" s="17">
        <f t="shared" si="19"/>
        <v>2.0586076639904043</v>
      </c>
      <c r="AD62" s="17">
        <f t="shared" si="20"/>
        <v>3.6195754332980012</v>
      </c>
      <c r="AE62" s="17">
        <f t="shared" si="21"/>
        <v>60.576366814836817</v>
      </c>
      <c r="AF62" s="17">
        <f t="shared" si="22"/>
        <v>60.114544614836817</v>
      </c>
    </row>
    <row r="63" spans="1:32" x14ac:dyDescent="0.25">
      <c r="A63" s="14">
        <v>61</v>
      </c>
      <c r="B63" t="s">
        <v>60</v>
      </c>
      <c r="C63">
        <v>240</v>
      </c>
      <c r="D63">
        <v>7</v>
      </c>
      <c r="E63">
        <v>-0.45019276000000003</v>
      </c>
      <c r="F63">
        <v>-0.45714991999999999</v>
      </c>
      <c r="G63">
        <v>6.9571700000000004E-3</v>
      </c>
      <c r="H63">
        <v>0.56882149999999998</v>
      </c>
      <c r="I63">
        <v>0.56719299999999995</v>
      </c>
      <c r="J63">
        <v>1.6285200000000001E-3</v>
      </c>
      <c r="K63">
        <v>24.67</v>
      </c>
      <c r="L63">
        <v>24.68</v>
      </c>
      <c r="M63">
        <v>-0.01</v>
      </c>
      <c r="N63">
        <v>2.199951E-2</v>
      </c>
      <c r="O63">
        <v>5.4295830000000003E-2</v>
      </c>
      <c r="P63">
        <v>-3.2296320000000003E-2</v>
      </c>
      <c r="Q63">
        <v>3.4074359999999998E-2</v>
      </c>
      <c r="R63">
        <v>-2.3649900000000001E-2</v>
      </c>
      <c r="S63">
        <v>5.7724259999999999E-2</v>
      </c>
      <c r="U63" s="15">
        <f t="shared" si="13"/>
        <v>-3.4785799999999811E-3</v>
      </c>
      <c r="V63" s="15">
        <f t="shared" si="14"/>
        <v>8.1425000000001635E-4</v>
      </c>
      <c r="W63" s="15"/>
      <c r="X63" s="15"/>
      <c r="Y63" s="16">
        <f t="shared" si="15"/>
        <v>2.199951E-2</v>
      </c>
      <c r="Z63" s="16">
        <f t="shared" si="16"/>
        <v>3.4074359999999998E-2</v>
      </c>
      <c r="AA63" s="16">
        <f t="shared" si="17"/>
        <v>5.4295830000000003E-2</v>
      </c>
      <c r="AB63" s="16">
        <f t="shared" si="18"/>
        <v>-2.3649900000000001E-2</v>
      </c>
      <c r="AC63" s="17">
        <f t="shared" si="19"/>
        <v>2.3245027638782307</v>
      </c>
      <c r="AD63" s="17">
        <f t="shared" si="20"/>
        <v>3.3952103687055533</v>
      </c>
      <c r="AE63" s="17">
        <f t="shared" si="21"/>
        <v>57.15240384769416</v>
      </c>
      <c r="AF63" s="17">
        <f t="shared" si="22"/>
        <v>56.695253927694161</v>
      </c>
    </row>
    <row r="64" spans="1:32" x14ac:dyDescent="0.25">
      <c r="A64" s="14">
        <v>62</v>
      </c>
      <c r="B64" t="s">
        <v>60</v>
      </c>
      <c r="C64">
        <v>250</v>
      </c>
      <c r="D64">
        <v>4</v>
      </c>
      <c r="E64">
        <v>-0.45497483999999999</v>
      </c>
      <c r="F64">
        <v>-0.4564124</v>
      </c>
      <c r="G64">
        <v>1.43754E-3</v>
      </c>
      <c r="H64">
        <v>0.57973750000000002</v>
      </c>
      <c r="I64">
        <v>0.58333752000000005</v>
      </c>
      <c r="J64">
        <v>-3.60006E-3</v>
      </c>
      <c r="K64">
        <v>24.43</v>
      </c>
      <c r="L64">
        <v>24.4</v>
      </c>
      <c r="M64">
        <v>0.03</v>
      </c>
      <c r="N64">
        <v>2.718079E-2</v>
      </c>
      <c r="O64">
        <v>4.8446660000000002E-2</v>
      </c>
      <c r="P64">
        <v>-2.1265869999999999E-2</v>
      </c>
      <c r="Q64">
        <v>3.6563720000000001E-2</v>
      </c>
      <c r="R64">
        <v>-2.586548E-2</v>
      </c>
      <c r="S64">
        <v>6.2429190000000002E-2</v>
      </c>
      <c r="U64" s="15">
        <f t="shared" si="13"/>
        <v>-7.1878000000000219E-4</v>
      </c>
      <c r="V64" s="15">
        <f t="shared" si="14"/>
        <v>-1.8000100000000185E-3</v>
      </c>
      <c r="W64" s="15"/>
      <c r="X64" s="15"/>
      <c r="Y64" s="16">
        <f t="shared" si="15"/>
        <v>2.718079E-2</v>
      </c>
      <c r="Z64" s="16">
        <f t="shared" si="16"/>
        <v>3.6563720000000001E-2</v>
      </c>
      <c r="AA64" s="16">
        <f t="shared" si="17"/>
        <v>4.8446660000000002E-2</v>
      </c>
      <c r="AB64" s="16">
        <f t="shared" si="18"/>
        <v>-2.586548E-2</v>
      </c>
      <c r="AC64" s="17">
        <f t="shared" si="19"/>
        <v>2.6112916785806424</v>
      </c>
      <c r="AD64" s="17">
        <f t="shared" si="20"/>
        <v>3.1482136209685287</v>
      </c>
      <c r="AE64" s="17">
        <f t="shared" si="21"/>
        <v>53.373573163124632</v>
      </c>
      <c r="AF64" s="17">
        <f t="shared" si="22"/>
        <v>52.917160763124635</v>
      </c>
    </row>
    <row r="65" spans="1:32" x14ac:dyDescent="0.25">
      <c r="A65" s="14">
        <v>63</v>
      </c>
      <c r="B65" t="s">
        <v>60</v>
      </c>
      <c r="C65">
        <v>260</v>
      </c>
      <c r="D65">
        <v>7</v>
      </c>
      <c r="E65">
        <v>-0.45564983999999997</v>
      </c>
      <c r="F65">
        <v>-0.45267849999999998</v>
      </c>
      <c r="G65">
        <v>-2.9713500000000002E-3</v>
      </c>
      <c r="H65">
        <v>0.57120720000000003</v>
      </c>
      <c r="I65">
        <v>0.58052859999999995</v>
      </c>
      <c r="J65">
        <v>-9.3213900000000006E-3</v>
      </c>
      <c r="K65">
        <v>24.52</v>
      </c>
      <c r="L65">
        <v>24.52</v>
      </c>
      <c r="M65">
        <v>0</v>
      </c>
      <c r="N65">
        <v>3.2966309999999999E-2</v>
      </c>
      <c r="O65">
        <v>4.2746579999999999E-2</v>
      </c>
      <c r="P65">
        <v>-9.7802700000000006E-3</v>
      </c>
      <c r="Q65">
        <v>3.7936310000000001E-2</v>
      </c>
      <c r="R65">
        <v>-2.7890270000000002E-2</v>
      </c>
      <c r="S65">
        <v>6.5826590000000004E-2</v>
      </c>
      <c r="U65" s="15">
        <f t="shared" si="13"/>
        <v>1.4856699999999945E-3</v>
      </c>
      <c r="V65" s="15">
        <f t="shared" si="14"/>
        <v>-4.6606999999999621E-3</v>
      </c>
      <c r="W65" s="15"/>
      <c r="X65" s="15"/>
      <c r="Y65" s="16">
        <f t="shared" si="15"/>
        <v>3.2966309999999999E-2</v>
      </c>
      <c r="Z65" s="16">
        <f t="shared" si="16"/>
        <v>3.7936310000000001E-2</v>
      </c>
      <c r="AA65" s="16">
        <f t="shared" si="17"/>
        <v>4.2746579999999999E-2</v>
      </c>
      <c r="AB65" s="16">
        <f t="shared" si="18"/>
        <v>-2.7890270000000002E-2</v>
      </c>
      <c r="AC65" s="17">
        <f t="shared" si="19"/>
        <v>2.8808275059859141</v>
      </c>
      <c r="AD65" s="17">
        <f t="shared" si="20"/>
        <v>2.9256790666811847</v>
      </c>
      <c r="AE65" s="17">
        <f t="shared" si="21"/>
        <v>49.009654478380099</v>
      </c>
      <c r="AF65" s="17">
        <f t="shared" si="22"/>
        <v>48.556975978380102</v>
      </c>
    </row>
    <row r="66" spans="1:32" x14ac:dyDescent="0.25">
      <c r="A66" s="14">
        <v>64</v>
      </c>
      <c r="B66" t="s">
        <v>60</v>
      </c>
      <c r="C66">
        <v>270</v>
      </c>
      <c r="D66">
        <v>6</v>
      </c>
      <c r="E66">
        <v>-0.45931652000000001</v>
      </c>
      <c r="F66">
        <v>-0.45603324000000001</v>
      </c>
      <c r="G66">
        <v>-3.2832600000000001E-3</v>
      </c>
      <c r="H66">
        <v>0.60490007999999995</v>
      </c>
      <c r="I66">
        <v>0.60950000000000004</v>
      </c>
      <c r="J66">
        <v>-4.5999300000000003E-3</v>
      </c>
      <c r="K66">
        <v>23.96</v>
      </c>
      <c r="L66">
        <v>23.93</v>
      </c>
      <c r="M66">
        <v>0.03</v>
      </c>
      <c r="N66">
        <v>3.8562829999999999E-2</v>
      </c>
      <c r="O66">
        <v>3.81429E-2</v>
      </c>
      <c r="P66">
        <v>4.1993E-4</v>
      </c>
      <c r="Q66">
        <v>3.8804930000000001E-2</v>
      </c>
      <c r="R66">
        <v>-2.7817379999999999E-2</v>
      </c>
      <c r="S66">
        <v>6.6622319999999999E-2</v>
      </c>
      <c r="U66" s="15">
        <f t="shared" si="13"/>
        <v>1.6416399999999998E-3</v>
      </c>
      <c r="V66" s="15">
        <f t="shared" si="14"/>
        <v>-2.2999600000000453E-3</v>
      </c>
      <c r="W66" s="15"/>
      <c r="X66" s="15"/>
      <c r="Y66" s="16">
        <f t="shared" si="15"/>
        <v>3.8562829999999999E-2</v>
      </c>
      <c r="Z66" s="16">
        <f t="shared" si="16"/>
        <v>3.8804930000000001E-2</v>
      </c>
      <c r="AA66" s="16">
        <f t="shared" si="17"/>
        <v>3.81429E-2</v>
      </c>
      <c r="AB66" s="16">
        <f t="shared" si="18"/>
        <v>-2.7817379999999999E-2</v>
      </c>
      <c r="AC66" s="17">
        <f t="shared" si="19"/>
        <v>3.1360765600476466</v>
      </c>
      <c r="AD66" s="17">
        <f t="shared" si="20"/>
        <v>2.7058808306614606</v>
      </c>
      <c r="AE66" s="17">
        <f t="shared" si="21"/>
        <v>45.179289964510133</v>
      </c>
      <c r="AF66" s="17">
        <f t="shared" si="22"/>
        <v>44.723256724510136</v>
      </c>
    </row>
    <row r="67" spans="1:32" x14ac:dyDescent="0.25">
      <c r="A67" s="14">
        <v>65</v>
      </c>
      <c r="B67" t="s">
        <v>60</v>
      </c>
      <c r="C67">
        <v>280</v>
      </c>
      <c r="D67">
        <v>7</v>
      </c>
      <c r="E67">
        <v>-0.45587136</v>
      </c>
      <c r="F67">
        <v>-0.45852130000000002</v>
      </c>
      <c r="G67">
        <v>2.64993E-3</v>
      </c>
      <c r="H67">
        <v>0.58925709999999998</v>
      </c>
      <c r="I67">
        <v>0.59112863999999998</v>
      </c>
      <c r="J67">
        <v>-1.8715299999999999E-3</v>
      </c>
      <c r="K67">
        <v>24.32</v>
      </c>
      <c r="L67">
        <v>24.31</v>
      </c>
      <c r="M67">
        <v>0.01</v>
      </c>
      <c r="N67">
        <v>4.4490790000000002E-2</v>
      </c>
      <c r="O67">
        <v>3.1576449999999999E-2</v>
      </c>
      <c r="P67">
        <v>1.291434E-2</v>
      </c>
      <c r="Q67">
        <v>3.7821920000000002E-2</v>
      </c>
      <c r="R67">
        <v>-2.7387350000000001E-2</v>
      </c>
      <c r="S67">
        <v>6.5209260000000005E-2</v>
      </c>
      <c r="U67" s="15">
        <f t="shared" si="13"/>
        <v>-1.3249700000000086E-3</v>
      </c>
      <c r="V67" s="15">
        <f t="shared" si="14"/>
        <v>-9.3577000000000243E-4</v>
      </c>
      <c r="W67" s="15"/>
      <c r="X67" s="15"/>
      <c r="Y67" s="16">
        <f t="shared" si="15"/>
        <v>4.4490790000000002E-2</v>
      </c>
      <c r="Z67" s="16">
        <f t="shared" si="16"/>
        <v>3.7821920000000002E-2</v>
      </c>
      <c r="AA67" s="16">
        <f t="shared" si="17"/>
        <v>3.1576449999999999E-2</v>
      </c>
      <c r="AB67" s="16">
        <f t="shared" si="18"/>
        <v>-2.7387350000000001E-2</v>
      </c>
      <c r="AC67" s="17">
        <f t="shared" si="19"/>
        <v>3.3476678899555967</v>
      </c>
      <c r="AD67" s="17">
        <f t="shared" si="20"/>
        <v>2.3955923717593564</v>
      </c>
      <c r="AE67" s="17">
        <f t="shared" si="21"/>
        <v>40.368086560839565</v>
      </c>
      <c r="AF67" s="17">
        <f t="shared" si="22"/>
        <v>39.909565260839564</v>
      </c>
    </row>
    <row r="68" spans="1:32" x14ac:dyDescent="0.25">
      <c r="A68" s="14">
        <v>66</v>
      </c>
      <c r="B68" t="s">
        <v>60</v>
      </c>
      <c r="C68">
        <v>290</v>
      </c>
      <c r="D68">
        <v>7</v>
      </c>
      <c r="E68">
        <v>-0.4600785</v>
      </c>
      <c r="F68">
        <v>-0.45910709999999999</v>
      </c>
      <c r="G68">
        <v>-9.7141000000000003E-4</v>
      </c>
      <c r="H68">
        <v>0.58685010000000004</v>
      </c>
      <c r="I68">
        <v>0.59702147999999999</v>
      </c>
      <c r="J68">
        <v>-1.0171349999999999E-2</v>
      </c>
      <c r="K68">
        <v>24.27</v>
      </c>
      <c r="L68">
        <v>24.26</v>
      </c>
      <c r="M68">
        <v>0.01</v>
      </c>
      <c r="N68">
        <v>4.9961289999999998E-2</v>
      </c>
      <c r="O68">
        <v>2.6468330000000002E-2</v>
      </c>
      <c r="P68">
        <v>2.349296E-2</v>
      </c>
      <c r="Q68">
        <v>3.6238489999999998E-2</v>
      </c>
      <c r="R68">
        <v>-2.553397E-2</v>
      </c>
      <c r="S68">
        <v>6.1772460000000001E-2</v>
      </c>
      <c r="U68" s="15">
        <f t="shared" si="13"/>
        <v>4.8570000000000557E-4</v>
      </c>
      <c r="V68" s="15">
        <f t="shared" si="14"/>
        <v>-5.0856899999999761E-3</v>
      </c>
      <c r="W68" s="15"/>
      <c r="X68" s="15"/>
      <c r="Y68" s="16">
        <f t="shared" si="15"/>
        <v>4.9961289999999998E-2</v>
      </c>
      <c r="Z68" s="16">
        <f t="shared" si="16"/>
        <v>3.6238489999999998E-2</v>
      </c>
      <c r="AA68" s="16">
        <f t="shared" si="17"/>
        <v>2.6468330000000002E-2</v>
      </c>
      <c r="AB68" s="16">
        <f t="shared" si="18"/>
        <v>-2.553397E-2</v>
      </c>
      <c r="AC68" s="17">
        <f t="shared" si="19"/>
        <v>3.538544657519509</v>
      </c>
      <c r="AD68" s="17">
        <f t="shared" si="20"/>
        <v>2.1076487181023893</v>
      </c>
      <c r="AE68" s="17">
        <f t="shared" si="21"/>
        <v>35.954554021363379</v>
      </c>
      <c r="AF68" s="17">
        <f t="shared" si="22"/>
        <v>35.495446921363381</v>
      </c>
    </row>
    <row r="69" spans="1:32" x14ac:dyDescent="0.25">
      <c r="A69" s="14">
        <v>67</v>
      </c>
      <c r="B69" t="s">
        <v>60</v>
      </c>
      <c r="C69">
        <v>300</v>
      </c>
      <c r="D69">
        <v>7</v>
      </c>
      <c r="E69">
        <v>-0.4576713</v>
      </c>
      <c r="F69">
        <v>-0.45444992000000001</v>
      </c>
      <c r="G69">
        <v>-3.2213900000000002E-3</v>
      </c>
      <c r="H69">
        <v>0.5931786</v>
      </c>
      <c r="I69">
        <v>0.60189289999999995</v>
      </c>
      <c r="J69">
        <v>-8.7143199999999994E-3</v>
      </c>
      <c r="K69">
        <v>24.12</v>
      </c>
      <c r="L69">
        <v>24.13</v>
      </c>
      <c r="M69">
        <v>-0.01</v>
      </c>
      <c r="N69">
        <v>5.5855879999999997E-2</v>
      </c>
      <c r="O69">
        <v>2.190988E-2</v>
      </c>
      <c r="P69">
        <v>3.3946009999999999E-2</v>
      </c>
      <c r="Q69">
        <v>3.389474E-2</v>
      </c>
      <c r="R69">
        <v>-2.3068849999999998E-2</v>
      </c>
      <c r="S69">
        <v>5.696358E-2</v>
      </c>
      <c r="U69" s="15">
        <f t="shared" si="13"/>
        <v>1.610689999999998E-3</v>
      </c>
      <c r="V69" s="15">
        <f t="shared" si="14"/>
        <v>-4.3571499999999763E-3</v>
      </c>
      <c r="W69" s="15"/>
      <c r="X69" s="15"/>
      <c r="Y69" s="16">
        <f t="shared" si="15"/>
        <v>5.5855879999999997E-2</v>
      </c>
      <c r="Z69" s="16">
        <f t="shared" si="16"/>
        <v>3.389474E-2</v>
      </c>
      <c r="AA69" s="16">
        <f t="shared" si="17"/>
        <v>2.190988E-2</v>
      </c>
      <c r="AB69" s="16">
        <f t="shared" si="18"/>
        <v>-2.3068849999999998E-2</v>
      </c>
      <c r="AC69" s="17">
        <f t="shared" si="19"/>
        <v>3.7461190967267584</v>
      </c>
      <c r="AD69" s="17">
        <f t="shared" si="20"/>
        <v>1.8231913107040276</v>
      </c>
      <c r="AE69" s="17">
        <f t="shared" si="21"/>
        <v>31.250419815692812</v>
      </c>
      <c r="AF69" s="17">
        <f t="shared" si="22"/>
        <v>30.795969895692814</v>
      </c>
    </row>
    <row r="70" spans="1:32" x14ac:dyDescent="0.25">
      <c r="A70" s="14">
        <v>68</v>
      </c>
      <c r="B70" t="s">
        <v>60</v>
      </c>
      <c r="C70">
        <v>310</v>
      </c>
      <c r="D70">
        <v>5</v>
      </c>
      <c r="E70">
        <v>-0.45688988000000003</v>
      </c>
      <c r="F70">
        <v>-0.45770983999999998</v>
      </c>
      <c r="G70">
        <v>8.1997999999999999E-4</v>
      </c>
      <c r="H70">
        <v>0.59848999999999997</v>
      </c>
      <c r="I70">
        <v>0.60441</v>
      </c>
      <c r="J70">
        <v>-5.91999E-3</v>
      </c>
      <c r="K70">
        <v>24.08</v>
      </c>
      <c r="L70">
        <v>24.09</v>
      </c>
      <c r="M70">
        <v>-0.02</v>
      </c>
      <c r="N70">
        <v>6.1510250000000002E-2</v>
      </c>
      <c r="O70">
        <v>1.570508E-2</v>
      </c>
      <c r="P70">
        <v>4.5805180000000001E-2</v>
      </c>
      <c r="Q70">
        <v>3.0294919999999999E-2</v>
      </c>
      <c r="R70">
        <v>-1.9428709999999998E-2</v>
      </c>
      <c r="S70">
        <v>4.9723629999999998E-2</v>
      </c>
      <c r="U70" s="15">
        <f t="shared" si="13"/>
        <v>-4.0997999999997647E-4</v>
      </c>
      <c r="V70" s="15">
        <f t="shared" si="14"/>
        <v>-2.9600000000000182E-3</v>
      </c>
      <c r="W70" s="15"/>
      <c r="X70" s="15"/>
      <c r="Y70" s="16">
        <f t="shared" si="15"/>
        <v>6.1510250000000002E-2</v>
      </c>
      <c r="Z70" s="16">
        <f t="shared" si="16"/>
        <v>3.0294919999999999E-2</v>
      </c>
      <c r="AA70" s="16">
        <f t="shared" si="17"/>
        <v>1.570508E-2</v>
      </c>
      <c r="AB70" s="16">
        <f t="shared" si="18"/>
        <v>-1.9428709999999998E-2</v>
      </c>
      <c r="AC70" s="17">
        <f t="shared" si="19"/>
        <v>3.9316257638765992</v>
      </c>
      <c r="AD70" s="17">
        <f t="shared" si="20"/>
        <v>1.4315396054669116</v>
      </c>
      <c r="AE70" s="17">
        <f t="shared" si="21"/>
        <v>26.221087243796863</v>
      </c>
      <c r="AF70" s="17">
        <f t="shared" si="22"/>
        <v>25.763377403796863</v>
      </c>
    </row>
    <row r="71" spans="1:32" x14ac:dyDescent="0.25">
      <c r="A71" s="14">
        <v>69</v>
      </c>
      <c r="B71" t="s">
        <v>60</v>
      </c>
      <c r="C71">
        <v>320</v>
      </c>
      <c r="D71">
        <v>10</v>
      </c>
      <c r="E71">
        <v>-0.46599992000000001</v>
      </c>
      <c r="F71">
        <v>-0.46046988</v>
      </c>
      <c r="G71">
        <v>-5.5300599999999998E-3</v>
      </c>
      <c r="H71">
        <v>0.63226009999999999</v>
      </c>
      <c r="I71">
        <v>0.63400000000000001</v>
      </c>
      <c r="J71">
        <v>-1.7399200000000001E-3</v>
      </c>
      <c r="K71">
        <v>23.48</v>
      </c>
      <c r="L71">
        <v>23.48</v>
      </c>
      <c r="M71">
        <v>0</v>
      </c>
      <c r="N71">
        <v>6.4768060000000002E-2</v>
      </c>
      <c r="O71">
        <v>1.3830810000000001E-2</v>
      </c>
      <c r="P71">
        <v>5.0937250000000003E-2</v>
      </c>
      <c r="Q71">
        <v>2.658423E-2</v>
      </c>
      <c r="R71">
        <v>-1.496948E-2</v>
      </c>
      <c r="S71">
        <v>4.1553710000000001E-2</v>
      </c>
      <c r="U71" s="15">
        <f t="shared" si="13"/>
        <v>2.7650200000000069E-3</v>
      </c>
      <c r="V71" s="15">
        <f t="shared" si="14"/>
        <v>-8.6995000000000822E-4</v>
      </c>
      <c r="W71" s="15"/>
      <c r="X71" s="15"/>
      <c r="Y71" s="16">
        <f t="shared" si="15"/>
        <v>6.4768060000000002E-2</v>
      </c>
      <c r="Z71" s="16">
        <f t="shared" si="16"/>
        <v>2.658423E-2</v>
      </c>
      <c r="AA71" s="16">
        <f t="shared" si="17"/>
        <v>1.3830810000000001E-2</v>
      </c>
      <c r="AB71" s="16">
        <f t="shared" si="18"/>
        <v>-1.496948E-2</v>
      </c>
      <c r="AC71" s="17">
        <f t="shared" si="19"/>
        <v>4.0146529694632154</v>
      </c>
      <c r="AD71" s="17">
        <f t="shared" si="20"/>
        <v>1.1678141569632734</v>
      </c>
      <c r="AE71" s="17">
        <f t="shared" si="21"/>
        <v>22.31583445885753</v>
      </c>
      <c r="AF71" s="17">
        <f t="shared" si="22"/>
        <v>21.855364578857529</v>
      </c>
    </row>
    <row r="72" spans="1:32" x14ac:dyDescent="0.25">
      <c r="A72" s="14">
        <v>70</v>
      </c>
      <c r="B72" t="s">
        <v>60</v>
      </c>
      <c r="C72">
        <v>330</v>
      </c>
      <c r="D72">
        <v>3</v>
      </c>
      <c r="E72">
        <v>-0.46186648000000002</v>
      </c>
      <c r="F72">
        <v>-0.45288311999999997</v>
      </c>
      <c r="G72">
        <v>-8.9833399999999994E-3</v>
      </c>
      <c r="H72">
        <v>0.60304999999999997</v>
      </c>
      <c r="I72">
        <v>0.60480003999999998</v>
      </c>
      <c r="J72">
        <v>-1.75005E-3</v>
      </c>
      <c r="K72">
        <v>24.08</v>
      </c>
      <c r="L72">
        <v>24.07</v>
      </c>
      <c r="M72">
        <v>0</v>
      </c>
      <c r="N72">
        <v>6.758952E-2</v>
      </c>
      <c r="O72">
        <v>1.0430500000000001E-2</v>
      </c>
      <c r="P72">
        <v>5.7159019999999998E-2</v>
      </c>
      <c r="Q72">
        <v>2.131429E-2</v>
      </c>
      <c r="R72">
        <v>-1.015625E-2</v>
      </c>
      <c r="S72">
        <v>3.1470539999999998E-2</v>
      </c>
      <c r="U72" s="15">
        <f t="shared" si="13"/>
        <v>4.4916800000000257E-3</v>
      </c>
      <c r="V72" s="15">
        <f t="shared" si="14"/>
        <v>-8.7502000000000413E-4</v>
      </c>
      <c r="W72" s="15"/>
      <c r="X72" s="15"/>
      <c r="Y72" s="16">
        <f t="shared" si="15"/>
        <v>6.758952E-2</v>
      </c>
      <c r="Z72" s="16">
        <f t="shared" si="16"/>
        <v>2.131429E-2</v>
      </c>
      <c r="AA72" s="16">
        <f t="shared" si="17"/>
        <v>1.0430500000000001E-2</v>
      </c>
      <c r="AB72" s="16">
        <f t="shared" si="18"/>
        <v>-1.015625E-2</v>
      </c>
      <c r="AC72" s="17">
        <f t="shared" si="19"/>
        <v>4.0639932147362723</v>
      </c>
      <c r="AD72" s="17">
        <f t="shared" si="20"/>
        <v>0.83415988468660596</v>
      </c>
      <c r="AE72" s="17">
        <f t="shared" si="21"/>
        <v>17.502618603037224</v>
      </c>
      <c r="AF72" s="17">
        <f t="shared" si="22"/>
        <v>17.049735483037225</v>
      </c>
    </row>
    <row r="73" spans="1:32" x14ac:dyDescent="0.25">
      <c r="A73" s="14">
        <v>71</v>
      </c>
      <c r="B73" t="s">
        <v>60</v>
      </c>
      <c r="C73">
        <v>340</v>
      </c>
      <c r="D73">
        <v>4</v>
      </c>
      <c r="E73">
        <v>-0.46197484</v>
      </c>
      <c r="F73">
        <v>-0.46172491999999998</v>
      </c>
      <c r="G73">
        <v>-2.4989000000000001E-4</v>
      </c>
      <c r="H73">
        <v>0.61481244000000002</v>
      </c>
      <c r="I73">
        <v>0.61998752000000001</v>
      </c>
      <c r="J73">
        <v>-5.1751100000000001E-3</v>
      </c>
      <c r="K73">
        <v>23.81</v>
      </c>
      <c r="L73">
        <v>23.81</v>
      </c>
      <c r="M73">
        <v>0</v>
      </c>
      <c r="N73">
        <v>7.0280770000000006E-2</v>
      </c>
      <c r="O73">
        <v>8.2318100000000009E-3</v>
      </c>
      <c r="P73">
        <v>6.204896E-2</v>
      </c>
      <c r="Q73">
        <v>1.6034550000000002E-2</v>
      </c>
      <c r="R73">
        <v>-5.1617399999999997E-3</v>
      </c>
      <c r="S73">
        <v>2.119629E-2</v>
      </c>
      <c r="U73" s="15">
        <f t="shared" si="13"/>
        <v>1.2496000000000729E-4</v>
      </c>
      <c r="V73" s="15">
        <f t="shared" si="14"/>
        <v>-2.5875399999999993E-3</v>
      </c>
      <c r="W73" s="15"/>
      <c r="X73" s="15"/>
      <c r="Y73" s="16">
        <f t="shared" si="15"/>
        <v>7.0280770000000006E-2</v>
      </c>
      <c r="Z73" s="16">
        <f t="shared" si="16"/>
        <v>1.6034550000000002E-2</v>
      </c>
      <c r="AA73" s="16">
        <f t="shared" si="17"/>
        <v>8.2318100000000009E-3</v>
      </c>
      <c r="AB73" s="16">
        <f t="shared" si="18"/>
        <v>-5.1617399999999997E-3</v>
      </c>
      <c r="AC73" s="17">
        <f t="shared" si="19"/>
        <v>4.1338496488254091</v>
      </c>
      <c r="AD73" s="17">
        <f t="shared" si="20"/>
        <v>0.55671106411813054</v>
      </c>
      <c r="AE73" s="17">
        <f t="shared" si="21"/>
        <v>12.852046308016314</v>
      </c>
      <c r="AF73" s="17">
        <f t="shared" si="22"/>
        <v>12.390321388016314</v>
      </c>
    </row>
    <row r="74" spans="1:32" x14ac:dyDescent="0.25">
      <c r="A74" s="14">
        <v>72</v>
      </c>
      <c r="B74" t="s">
        <v>60</v>
      </c>
      <c r="C74">
        <v>350</v>
      </c>
      <c r="D74">
        <v>5</v>
      </c>
      <c r="E74">
        <v>-0.4616999</v>
      </c>
      <c r="F74">
        <v>-0.45776995999999998</v>
      </c>
      <c r="G74">
        <v>-3.9299399999999998E-3</v>
      </c>
      <c r="H74">
        <v>0.58943000000000001</v>
      </c>
      <c r="I74">
        <v>0.58934010000000003</v>
      </c>
      <c r="J74">
        <v>8.988E-5</v>
      </c>
      <c r="K74">
        <v>24.35</v>
      </c>
      <c r="L74">
        <v>24.36</v>
      </c>
      <c r="M74">
        <v>-0.01</v>
      </c>
      <c r="N74">
        <v>6.9987800000000003E-2</v>
      </c>
      <c r="O74">
        <v>5.4560499999999996E-3</v>
      </c>
      <c r="P74">
        <v>6.4531740000000004E-2</v>
      </c>
      <c r="Q74">
        <v>1.0912109999999999E-2</v>
      </c>
      <c r="R74">
        <v>-6.3960000000000004E-5</v>
      </c>
      <c r="S74">
        <v>1.0976069999999999E-2</v>
      </c>
      <c r="U74" s="15">
        <f t="shared" si="13"/>
        <v>1.9649700000000103E-3</v>
      </c>
      <c r="V74" s="15">
        <f t="shared" si="14"/>
        <v>4.4949999999988055E-5</v>
      </c>
      <c r="W74" s="15"/>
      <c r="X74" s="15"/>
      <c r="Y74" s="16">
        <f t="shared" si="15"/>
        <v>6.9987800000000003E-2</v>
      </c>
      <c r="Z74" s="16">
        <f t="shared" si="16"/>
        <v>1.0912109999999999E-2</v>
      </c>
      <c r="AA74" s="16">
        <f t="shared" si="17"/>
        <v>5.4560499999999996E-3</v>
      </c>
      <c r="AB74" s="16">
        <f t="shared" si="18"/>
        <v>-6.3960000000000004E-5</v>
      </c>
      <c r="AC74" s="17">
        <f t="shared" si="19"/>
        <v>4.0618546213256792</v>
      </c>
      <c r="AD74" s="17">
        <f t="shared" si="20"/>
        <v>0.31263166824377348</v>
      </c>
      <c r="AE74" s="17">
        <f t="shared" si="21"/>
        <v>8.8618913050539625</v>
      </c>
      <c r="AF74" s="17">
        <f t="shared" si="22"/>
        <v>8.4041213450539622</v>
      </c>
    </row>
    <row r="77" spans="1:32" x14ac:dyDescent="0.25">
      <c r="A77">
        <v>1</v>
      </c>
      <c r="C77" s="14">
        <v>0</v>
      </c>
      <c r="K77">
        <f>(K3+K39)/2</f>
        <v>24.445</v>
      </c>
      <c r="L77">
        <f>(L3+L39)/2</f>
        <v>24.454999999999998</v>
      </c>
      <c r="M77">
        <f>K77-L77</f>
        <v>-9.9999999999980105E-3</v>
      </c>
      <c r="U77">
        <f>(U3+U39)/2</f>
        <v>1.2950050000000018E-3</v>
      </c>
      <c r="V77">
        <f>(V3+V39)/2</f>
        <v>-1.3037399999999977E-3</v>
      </c>
      <c r="AC77">
        <f>(AC3+AC39)/2</f>
        <v>4.0773007292184964</v>
      </c>
      <c r="AD77">
        <f>(AD3+AD39)/2</f>
        <v>0.45377485323210653</v>
      </c>
    </row>
    <row r="78" spans="1:32" x14ac:dyDescent="0.25">
      <c r="A78">
        <v>2</v>
      </c>
      <c r="C78" s="14">
        <v>10</v>
      </c>
      <c r="K78">
        <f t="shared" ref="K78:L78" si="23">(K4+K40)/2</f>
        <v>24.09</v>
      </c>
      <c r="L78">
        <f t="shared" si="23"/>
        <v>24.09</v>
      </c>
      <c r="M78">
        <f t="shared" ref="M78:M112" si="24">K78-L78</f>
        <v>0</v>
      </c>
      <c r="U78">
        <f t="shared" ref="U78:V78" si="25">(U4+U40)/2</f>
        <v>3.9077249999999869E-3</v>
      </c>
      <c r="V78">
        <f t="shared" si="25"/>
        <v>-8.3636000000000821E-4</v>
      </c>
      <c r="AC78">
        <f t="shared" ref="AC78:AD78" si="26">(AC4+AC40)/2</f>
        <v>4.0695437585346506</v>
      </c>
      <c r="AD78">
        <f t="shared" si="26"/>
        <v>0.76227155694810644</v>
      </c>
    </row>
    <row r="79" spans="1:32" x14ac:dyDescent="0.25">
      <c r="A79">
        <v>3</v>
      </c>
      <c r="C79" s="14">
        <v>20</v>
      </c>
      <c r="K79">
        <f t="shared" ref="K79:L79" si="27">(K5+K41)/2</f>
        <v>24.66</v>
      </c>
      <c r="L79">
        <f t="shared" si="27"/>
        <v>24.65</v>
      </c>
      <c r="M79">
        <f t="shared" si="24"/>
        <v>1.0000000000001563E-2</v>
      </c>
      <c r="U79">
        <f t="shared" ref="U79:V79" si="28">(U5+U41)/2</f>
        <v>3.4853900000000049E-3</v>
      </c>
      <c r="V79">
        <f t="shared" si="28"/>
        <v>3.8000150000000177E-3</v>
      </c>
      <c r="AC79">
        <f t="shared" ref="AC79:AD79" si="29">(AC5+AC41)/2</f>
        <v>3.9286166100973854</v>
      </c>
      <c r="AD79">
        <f t="shared" si="29"/>
        <v>1.0496837374163053</v>
      </c>
    </row>
    <row r="80" spans="1:32" x14ac:dyDescent="0.25">
      <c r="A80">
        <v>4</v>
      </c>
      <c r="C80" s="14">
        <v>30</v>
      </c>
      <c r="K80">
        <f t="shared" ref="K80:L80" si="30">(K6+K42)/2</f>
        <v>24.245000000000001</v>
      </c>
      <c r="L80">
        <f t="shared" si="30"/>
        <v>24.25</v>
      </c>
      <c r="M80">
        <f t="shared" si="24"/>
        <v>-4.9999999999990052E-3</v>
      </c>
      <c r="U80">
        <f t="shared" ref="U80:V80" si="31">(U6+U42)/2</f>
        <v>2.8390449999999984E-3</v>
      </c>
      <c r="V80">
        <f t="shared" si="31"/>
        <v>5.5417499999999009E-4</v>
      </c>
      <c r="AC80">
        <f t="shared" ref="AC80:AD80" si="32">(AC6+AC42)/2</f>
        <v>3.8758808861822427</v>
      </c>
      <c r="AD80">
        <f t="shared" si="32"/>
        <v>1.4025777589651505</v>
      </c>
    </row>
    <row r="81" spans="1:30" x14ac:dyDescent="0.25">
      <c r="A81">
        <v>5</v>
      </c>
      <c r="C81" s="14">
        <v>40</v>
      </c>
      <c r="K81">
        <f t="shared" ref="K81:L81" si="33">(K7+K43)/2</f>
        <v>23.68</v>
      </c>
      <c r="L81">
        <f t="shared" si="33"/>
        <v>23.674999999999997</v>
      </c>
      <c r="M81">
        <f t="shared" si="24"/>
        <v>5.000000000002558E-3</v>
      </c>
      <c r="U81">
        <f t="shared" ref="U81:V81" si="34">(U7+U43)/2</f>
        <v>1.0316449999999977E-3</v>
      </c>
      <c r="V81">
        <f t="shared" si="34"/>
        <v>3.1664499999997653E-4</v>
      </c>
      <c r="AC81">
        <f t="shared" ref="AC81:AD81" si="35">(AC7+AC43)/2</f>
        <v>3.7611485866720447</v>
      </c>
      <c r="AD81">
        <f t="shared" si="35"/>
        <v>1.7705987598559094</v>
      </c>
    </row>
    <row r="82" spans="1:30" x14ac:dyDescent="0.25">
      <c r="A82">
        <v>6</v>
      </c>
      <c r="C82" s="14">
        <v>50</v>
      </c>
      <c r="K82">
        <f t="shared" ref="K82:L82" si="36">(K8+K44)/2</f>
        <v>24.490000000000002</v>
      </c>
      <c r="L82">
        <f t="shared" si="36"/>
        <v>24.490000000000002</v>
      </c>
      <c r="M82">
        <f t="shared" si="24"/>
        <v>0</v>
      </c>
      <c r="U82">
        <f t="shared" ref="U82:V82" si="37">(U8+U44)/2</f>
        <v>3.0011000000000065E-3</v>
      </c>
      <c r="V82">
        <f t="shared" si="37"/>
        <v>2.0732599999999657E-3</v>
      </c>
      <c r="AC82">
        <f t="shared" ref="AC82:AD82" si="38">(AC8+AC44)/2</f>
        <v>3.5522679487099587</v>
      </c>
      <c r="AD82">
        <f t="shared" si="38"/>
        <v>2.027007152339011</v>
      </c>
    </row>
    <row r="83" spans="1:30" x14ac:dyDescent="0.25">
      <c r="A83">
        <v>7</v>
      </c>
      <c r="C83" s="14">
        <v>60</v>
      </c>
      <c r="K83">
        <f t="shared" ref="K83:L83" si="39">(K9+K45)/2</f>
        <v>24.13</v>
      </c>
      <c r="L83">
        <f t="shared" si="39"/>
        <v>24.15</v>
      </c>
      <c r="M83">
        <f t="shared" si="24"/>
        <v>-1.9999999999999574E-2</v>
      </c>
      <c r="U83">
        <f t="shared" ref="U83:V83" si="40">(U9+U45)/2</f>
        <v>1.781770000000002E-3</v>
      </c>
      <c r="V83">
        <f t="shared" si="40"/>
        <v>2.9239449999999834E-3</v>
      </c>
      <c r="AC83">
        <f t="shared" ref="AC83:AD83" si="41">(AC9+AC45)/2</f>
        <v>3.3664844773404052</v>
      </c>
      <c r="AD83">
        <f t="shared" si="41"/>
        <v>2.3472405294257603</v>
      </c>
    </row>
    <row r="84" spans="1:30" x14ac:dyDescent="0.25">
      <c r="A84">
        <v>8</v>
      </c>
      <c r="C84" s="14">
        <v>70</v>
      </c>
      <c r="K84">
        <f t="shared" ref="K84:L84" si="42">(K10+K46)/2</f>
        <v>23.84</v>
      </c>
      <c r="L84">
        <f t="shared" si="42"/>
        <v>23.844999999999999</v>
      </c>
      <c r="M84">
        <f t="shared" si="24"/>
        <v>-4.9999999999990052E-3</v>
      </c>
      <c r="U84">
        <f t="shared" ref="U84:V84" si="43">(U10+U46)/2</f>
        <v>-8.365999999999929E-5</v>
      </c>
      <c r="V84">
        <f t="shared" si="43"/>
        <v>3.6732149999999797E-3</v>
      </c>
      <c r="AC84">
        <f t="shared" ref="AC84:AD84" si="44">(AC10+AC46)/2</f>
        <v>3.1931604119887949</v>
      </c>
      <c r="AD84">
        <f t="shared" si="44"/>
        <v>2.6626125393731956</v>
      </c>
    </row>
    <row r="85" spans="1:30" x14ac:dyDescent="0.25">
      <c r="A85">
        <v>9</v>
      </c>
      <c r="C85" s="14">
        <v>80</v>
      </c>
      <c r="K85">
        <f t="shared" ref="K85:L85" si="45">(K11+K47)/2</f>
        <v>23.990000000000002</v>
      </c>
      <c r="L85">
        <f t="shared" si="45"/>
        <v>23.984999999999999</v>
      </c>
      <c r="M85">
        <f t="shared" si="24"/>
        <v>5.000000000002558E-3</v>
      </c>
      <c r="U85">
        <f t="shared" ref="U85:V85" si="46">(U11+U47)/2</f>
        <v>-1.0000250000000016E-3</v>
      </c>
      <c r="V85">
        <f t="shared" si="46"/>
        <v>2.9139000000000248E-3</v>
      </c>
      <c r="AC85">
        <f t="shared" ref="AC85:AD85" si="47">(AC11+AC47)/2</f>
        <v>2.9342558119181676</v>
      </c>
      <c r="AD85">
        <f t="shared" si="47"/>
        <v>2.9143689108739892</v>
      </c>
    </row>
    <row r="86" spans="1:30" x14ac:dyDescent="0.25">
      <c r="A86">
        <v>10</v>
      </c>
      <c r="C86" s="14">
        <v>90</v>
      </c>
      <c r="K86">
        <f t="shared" ref="K86:L86" si="48">(K12+K48)/2</f>
        <v>24.365000000000002</v>
      </c>
      <c r="L86">
        <f t="shared" si="48"/>
        <v>24.384999999999998</v>
      </c>
      <c r="M86">
        <f t="shared" si="24"/>
        <v>-1.9999999999996021E-2</v>
      </c>
      <c r="U86">
        <f t="shared" ref="U86:V86" si="49">(U12+U48)/2</f>
        <v>-1.6691500000000081E-3</v>
      </c>
      <c r="V86">
        <f t="shared" si="49"/>
        <v>3.3549999999999969E-3</v>
      </c>
      <c r="AC86">
        <f t="shared" ref="AC86:AD86" si="50">(AC12+AC48)/2</f>
        <v>2.6528426085963224</v>
      </c>
      <c r="AD86">
        <f t="shared" si="50"/>
        <v>3.1437614042588282</v>
      </c>
    </row>
    <row r="87" spans="1:30" x14ac:dyDescent="0.25">
      <c r="A87">
        <v>11</v>
      </c>
      <c r="C87" s="14">
        <v>100</v>
      </c>
      <c r="K87">
        <f t="shared" ref="K87:L87" si="51">(K13+K49)/2</f>
        <v>24.28</v>
      </c>
      <c r="L87">
        <f t="shared" si="51"/>
        <v>24.274999999999999</v>
      </c>
      <c r="M87">
        <f t="shared" si="24"/>
        <v>5.000000000002558E-3</v>
      </c>
      <c r="U87">
        <f t="shared" ref="U87:V87" si="52">(U13+U49)/2</f>
        <v>8.2746999999999682E-4</v>
      </c>
      <c r="V87">
        <f t="shared" si="52"/>
        <v>2.8112299999999979E-3</v>
      </c>
      <c r="AC87">
        <f t="shared" ref="AC87:AD87" si="53">(AC13+AC49)/2</f>
        <v>2.3838262847875713</v>
      </c>
      <c r="AD87">
        <f t="shared" si="53"/>
        <v>3.3516994551786423</v>
      </c>
    </row>
    <row r="88" spans="1:30" x14ac:dyDescent="0.25">
      <c r="A88">
        <v>12</v>
      </c>
      <c r="C88" s="14">
        <v>110</v>
      </c>
      <c r="K88">
        <f t="shared" ref="K88:L88" si="54">(K14+K50)/2</f>
        <v>24.369999999999997</v>
      </c>
      <c r="L88">
        <f t="shared" si="54"/>
        <v>24.375</v>
      </c>
      <c r="M88">
        <f t="shared" si="24"/>
        <v>-5.000000000002558E-3</v>
      </c>
      <c r="U88">
        <f t="shared" ref="U88:V88" si="55">(U14+U50)/2</f>
        <v>-1.6795099999999952E-3</v>
      </c>
      <c r="V88">
        <f t="shared" si="55"/>
        <v>1.7830300000000188E-3</v>
      </c>
      <c r="AC88">
        <f t="shared" ref="AC88:AD88" si="56">(AC14+AC50)/2</f>
        <v>2.089238382607439</v>
      </c>
      <c r="AD88">
        <f t="shared" si="56"/>
        <v>3.5468954111909827</v>
      </c>
    </row>
    <row r="89" spans="1:30" x14ac:dyDescent="0.25">
      <c r="A89">
        <v>13</v>
      </c>
      <c r="C89" s="14">
        <v>120</v>
      </c>
      <c r="K89">
        <f t="shared" ref="K89:L89" si="57">(K15+K51)/2</f>
        <v>24.434999999999999</v>
      </c>
      <c r="L89">
        <f t="shared" si="57"/>
        <v>24.434999999999999</v>
      </c>
      <c r="M89">
        <f t="shared" si="24"/>
        <v>0</v>
      </c>
      <c r="U89">
        <f t="shared" ref="U89:V89" si="58">(U15+U51)/2</f>
        <v>-1.2308299999999883E-3</v>
      </c>
      <c r="V89">
        <f t="shared" si="58"/>
        <v>9.8503499999999522E-4</v>
      </c>
      <c r="AC89">
        <f t="shared" ref="AC89:AD89" si="59">(AC15+AC51)/2</f>
        <v>1.7829231642572432</v>
      </c>
      <c r="AD89">
        <f t="shared" si="59"/>
        <v>3.6943846208723858</v>
      </c>
    </row>
    <row r="90" spans="1:30" x14ac:dyDescent="0.25">
      <c r="A90">
        <v>14</v>
      </c>
      <c r="C90" s="14">
        <v>130</v>
      </c>
      <c r="K90">
        <f t="shared" ref="K90:L90" si="60">(K16+K52)/2</f>
        <v>23.740000000000002</v>
      </c>
      <c r="L90">
        <f t="shared" si="60"/>
        <v>23.715</v>
      </c>
      <c r="M90">
        <f t="shared" si="24"/>
        <v>2.5000000000002132E-2</v>
      </c>
      <c r="U90">
        <f t="shared" ref="U90:V90" si="61">(U16+U52)/2</f>
        <v>-9.2627000000000681E-4</v>
      </c>
      <c r="V90">
        <f t="shared" si="61"/>
        <v>3.5400250000000022E-3</v>
      </c>
      <c r="AC90">
        <f t="shared" ref="AC90:AD90" si="62">(AC16+AC52)/2</f>
        <v>1.4554244184390965</v>
      </c>
      <c r="AD90">
        <f t="shared" si="62"/>
        <v>3.8887554808855294</v>
      </c>
    </row>
    <row r="91" spans="1:30" x14ac:dyDescent="0.25">
      <c r="A91">
        <v>15</v>
      </c>
      <c r="C91" s="14">
        <v>140</v>
      </c>
      <c r="K91">
        <f t="shared" ref="K91:L91" si="63">(K17+K53)/2</f>
        <v>24.634999999999998</v>
      </c>
      <c r="L91">
        <f t="shared" si="63"/>
        <v>24.645</v>
      </c>
      <c r="M91">
        <f t="shared" si="24"/>
        <v>-1.0000000000001563E-2</v>
      </c>
      <c r="U91">
        <f t="shared" ref="U91:V91" si="64">(U17+U53)/2</f>
        <v>-2.6416850000000047E-3</v>
      </c>
      <c r="V91">
        <f t="shared" si="64"/>
        <v>2.256275000000002E-3</v>
      </c>
      <c r="AC91">
        <f t="shared" ref="AC91:AD91" si="65">(AC17+AC53)/2</f>
        <v>1.1263328231065772</v>
      </c>
      <c r="AD91">
        <f t="shared" si="65"/>
        <v>3.9074687998192497</v>
      </c>
    </row>
    <row r="92" spans="1:30" x14ac:dyDescent="0.25">
      <c r="A92">
        <v>16</v>
      </c>
      <c r="C92" s="14">
        <v>150</v>
      </c>
      <c r="K92">
        <f t="shared" ref="K92:L92" si="66">(K18+K54)/2</f>
        <v>24.26</v>
      </c>
      <c r="L92">
        <f t="shared" si="66"/>
        <v>24.255000000000003</v>
      </c>
      <c r="M92">
        <f t="shared" si="24"/>
        <v>4.9999999999990052E-3</v>
      </c>
      <c r="U92">
        <f t="shared" ref="U92:V92" si="67">(U18+U54)/2</f>
        <v>-4.1401950000000132E-3</v>
      </c>
      <c r="V92">
        <f t="shared" si="67"/>
        <v>2.7498099999999914E-3</v>
      </c>
      <c r="AC92">
        <f t="shared" ref="AC92:AD92" si="68">(AC18+AC54)/2</f>
        <v>0.79590297450080927</v>
      </c>
      <c r="AD92">
        <f t="shared" si="68"/>
        <v>4.0482580173743461</v>
      </c>
    </row>
    <row r="93" spans="1:30" x14ac:dyDescent="0.25">
      <c r="A93">
        <v>17</v>
      </c>
      <c r="C93" s="14">
        <v>160</v>
      </c>
      <c r="K93">
        <f t="shared" ref="K93:L93" si="69">(K19+K55)/2</f>
        <v>24.259999999999998</v>
      </c>
      <c r="L93">
        <f t="shared" si="69"/>
        <v>24.265000000000001</v>
      </c>
      <c r="M93">
        <f t="shared" si="24"/>
        <v>-5.000000000002558E-3</v>
      </c>
      <c r="U93">
        <f t="shared" ref="U93:V93" si="70">(U19+U55)/2</f>
        <v>-1.8171899999999963E-3</v>
      </c>
      <c r="V93">
        <f t="shared" si="70"/>
        <v>5.8126000000000011E-4</v>
      </c>
      <c r="AC93">
        <f t="shared" ref="AC93:AD93" si="71">(AC19+AC55)/2</f>
        <v>0.48529084050315607</v>
      </c>
      <c r="AD93">
        <f t="shared" si="71"/>
        <v>4.1177793201400874</v>
      </c>
    </row>
    <row r="94" spans="1:30" x14ac:dyDescent="0.25">
      <c r="A94">
        <v>18</v>
      </c>
      <c r="C94" s="14">
        <v>170</v>
      </c>
      <c r="K94">
        <f t="shared" ref="K94:L94" si="72">(K20+K56)/2</f>
        <v>24.675000000000001</v>
      </c>
      <c r="L94">
        <f t="shared" si="72"/>
        <v>24.67</v>
      </c>
      <c r="M94">
        <f t="shared" si="24"/>
        <v>4.9999999999990052E-3</v>
      </c>
      <c r="U94">
        <f t="shared" ref="U94:V94" si="73">(U20+U56)/2</f>
        <v>-2.1847499999999853E-3</v>
      </c>
      <c r="V94">
        <f t="shared" si="73"/>
        <v>-4.3193999999999177E-4</v>
      </c>
      <c r="AC94">
        <f t="shared" ref="AC94:AD94" si="74">(AC20+AC56)/2</f>
        <v>0.25094614574096979</v>
      </c>
      <c r="AD94">
        <f t="shared" si="74"/>
        <v>4.100274889331283</v>
      </c>
    </row>
    <row r="95" spans="1:30" x14ac:dyDescent="0.25">
      <c r="A95">
        <v>19</v>
      </c>
      <c r="C95" s="14">
        <v>180</v>
      </c>
      <c r="K95">
        <f t="shared" ref="K95:L95" si="75">(K21+K57)/2</f>
        <v>24.185000000000002</v>
      </c>
      <c r="L95">
        <f t="shared" si="75"/>
        <v>24.18</v>
      </c>
      <c r="M95">
        <f t="shared" si="24"/>
        <v>5.000000000002558E-3</v>
      </c>
      <c r="U95">
        <f t="shared" ref="U95:V95" si="76">(U21+U57)/2</f>
        <v>-3.8920000000000066E-3</v>
      </c>
      <c r="V95">
        <f t="shared" si="76"/>
        <v>1.7147200000000029E-3</v>
      </c>
      <c r="AC95">
        <f t="shared" ref="AC95:AD95" si="77">(AC21+AC57)/2</f>
        <v>0.45818539645726752</v>
      </c>
      <c r="AD95">
        <f t="shared" si="77"/>
        <v>4.1087804689862555</v>
      </c>
    </row>
    <row r="96" spans="1:30" x14ac:dyDescent="0.25">
      <c r="A96">
        <v>20</v>
      </c>
      <c r="C96" s="14">
        <v>190</v>
      </c>
      <c r="K96">
        <f t="shared" ref="K96:L96" si="78">(K22+K58)/2</f>
        <v>23.875</v>
      </c>
      <c r="L96">
        <f t="shared" si="78"/>
        <v>23.87</v>
      </c>
      <c r="M96">
        <f t="shared" si="24"/>
        <v>4.9999999999990052E-3</v>
      </c>
      <c r="U96">
        <f t="shared" ref="U96:V96" si="79">(U22+U58)/2</f>
        <v>7.4706499999999121E-4</v>
      </c>
      <c r="V96">
        <f t="shared" si="79"/>
        <v>-7.0663499999998325E-4</v>
      </c>
      <c r="AC96">
        <f t="shared" ref="AC96:AD96" si="80">(AC22+AC58)/2</f>
        <v>0.78338186738743931</v>
      </c>
      <c r="AD96">
        <f t="shared" si="80"/>
        <v>4.0695621095700947</v>
      </c>
    </row>
    <row r="97" spans="1:30" x14ac:dyDescent="0.25">
      <c r="A97">
        <v>21</v>
      </c>
      <c r="C97" s="14">
        <v>200</v>
      </c>
      <c r="K97">
        <f t="shared" ref="K97:L97" si="81">(K23+K59)/2</f>
        <v>24.504999999999999</v>
      </c>
      <c r="L97">
        <f t="shared" si="81"/>
        <v>24.5</v>
      </c>
      <c r="M97">
        <f t="shared" si="24"/>
        <v>4.9999999999990052E-3</v>
      </c>
      <c r="U97">
        <f t="shared" ref="U97:V97" si="82">(U23+U59)/2</f>
        <v>-2.8401649999999917E-3</v>
      </c>
      <c r="V97">
        <f t="shared" si="82"/>
        <v>-9.4824500000001422E-4</v>
      </c>
      <c r="AC97">
        <f t="shared" ref="AC97:AD97" si="83">(AC23+AC59)/2</f>
        <v>1.0587226796580029</v>
      </c>
      <c r="AD97">
        <f t="shared" si="83"/>
        <v>3.9905839655382795</v>
      </c>
    </row>
    <row r="98" spans="1:30" x14ac:dyDescent="0.25">
      <c r="A98">
        <v>22</v>
      </c>
      <c r="C98" s="14">
        <v>210</v>
      </c>
      <c r="K98">
        <f t="shared" ref="K98:L98" si="84">(K24+K60)/2</f>
        <v>24.505000000000003</v>
      </c>
      <c r="L98">
        <f t="shared" si="84"/>
        <v>24.509999999999998</v>
      </c>
      <c r="M98">
        <f t="shared" si="24"/>
        <v>-4.9999999999954525E-3</v>
      </c>
      <c r="U98">
        <f t="shared" ref="U98:V98" si="85">(U24+U60)/2</f>
        <v>-3.4743750000000018E-3</v>
      </c>
      <c r="V98">
        <f t="shared" si="85"/>
        <v>-2.9800150000000025E-3</v>
      </c>
      <c r="AC98">
        <f t="shared" ref="AC98:AD98" si="86">(AC24+AC60)/2</f>
        <v>1.406202426165502</v>
      </c>
      <c r="AD98">
        <f t="shared" si="86"/>
        <v>3.8603675546532581</v>
      </c>
    </row>
    <row r="99" spans="1:30" x14ac:dyDescent="0.25">
      <c r="A99">
        <v>23</v>
      </c>
      <c r="C99" s="14">
        <v>220</v>
      </c>
      <c r="K99">
        <f t="shared" ref="K99:L99" si="87">(K25+K61)/2</f>
        <v>24.16</v>
      </c>
      <c r="L99">
        <f t="shared" si="87"/>
        <v>24.155000000000001</v>
      </c>
      <c r="M99">
        <f t="shared" si="24"/>
        <v>4.9999999999990052E-3</v>
      </c>
      <c r="U99">
        <f t="shared" ref="U99:V99" si="88">(U25+U61)/2</f>
        <v>-3.0041749999999839E-3</v>
      </c>
      <c r="V99">
        <f t="shared" si="88"/>
        <v>-4.8792500000000016E-4</v>
      </c>
      <c r="AC99">
        <f t="shared" ref="AC99:AD99" si="89">(AC25+AC61)/2</f>
        <v>1.7299780363943058</v>
      </c>
      <c r="AD99">
        <f t="shared" si="89"/>
        <v>3.7556250024259077</v>
      </c>
    </row>
    <row r="100" spans="1:30" x14ac:dyDescent="0.25">
      <c r="A100">
        <v>24</v>
      </c>
      <c r="C100" s="14">
        <v>230</v>
      </c>
      <c r="K100">
        <f t="shared" ref="K100:L100" si="90">(K26+K62)/2</f>
        <v>23.835000000000001</v>
      </c>
      <c r="L100">
        <f t="shared" si="90"/>
        <v>23.824999999999999</v>
      </c>
      <c r="M100">
        <f t="shared" si="24"/>
        <v>1.0000000000001563E-2</v>
      </c>
      <c r="U100">
        <f t="shared" ref="U100:V100" si="91">(U26+U62)/2</f>
        <v>-2.6816000000000062E-3</v>
      </c>
      <c r="V100">
        <f t="shared" si="91"/>
        <v>-1.1929000000000245E-3</v>
      </c>
      <c r="AC100">
        <f t="shared" ref="AC100:AD100" si="92">(AC26+AC62)/2</f>
        <v>2.0838539879352007</v>
      </c>
      <c r="AD100">
        <f t="shared" si="92"/>
        <v>3.6236545304041679</v>
      </c>
    </row>
    <row r="101" spans="1:30" x14ac:dyDescent="0.25">
      <c r="A101">
        <v>25</v>
      </c>
      <c r="C101" s="14">
        <v>240</v>
      </c>
      <c r="K101">
        <f t="shared" ref="K101:L101" si="93">(K27+K63)/2</f>
        <v>24.57</v>
      </c>
      <c r="L101">
        <f t="shared" si="93"/>
        <v>24.57</v>
      </c>
      <c r="M101">
        <f t="shared" si="24"/>
        <v>0</v>
      </c>
      <c r="U101">
        <f t="shared" ref="U101:V101" si="94">(U27+U63)/2</f>
        <v>-2.0755699999999988E-3</v>
      </c>
      <c r="V101">
        <f t="shared" si="94"/>
        <v>-8.9034999999998421E-4</v>
      </c>
      <c r="AC101">
        <f t="shared" ref="AC101:AD101" si="95">(AC27+AC63)/2</f>
        <v>2.3324508852684165</v>
      </c>
      <c r="AD101">
        <f t="shared" si="95"/>
        <v>3.3898105840954464</v>
      </c>
    </row>
    <row r="102" spans="1:30" x14ac:dyDescent="0.25">
      <c r="A102">
        <v>26</v>
      </c>
      <c r="C102" s="14">
        <v>250</v>
      </c>
      <c r="K102">
        <f t="shared" ref="K102:L102" si="96">(K28+K64)/2</f>
        <v>24.145</v>
      </c>
      <c r="L102">
        <f t="shared" si="96"/>
        <v>24.125</v>
      </c>
      <c r="M102">
        <f t="shared" si="24"/>
        <v>1.9999999999999574E-2</v>
      </c>
      <c r="U102">
        <f t="shared" ref="U102:V102" si="97">(U28+U64)/2</f>
        <v>-3.4389999999995258E-5</v>
      </c>
      <c r="V102">
        <f t="shared" si="97"/>
        <v>-8.8441500000002726E-4</v>
      </c>
      <c r="AC102">
        <f t="shared" ref="AC102:AD102" si="98">(AC28+AC64)/2</f>
        <v>2.6260167894264024</v>
      </c>
      <c r="AD102">
        <f t="shared" si="98"/>
        <v>3.1725157759587308</v>
      </c>
    </row>
    <row r="103" spans="1:30" x14ac:dyDescent="0.25">
      <c r="A103">
        <v>27</v>
      </c>
      <c r="C103" s="14">
        <v>260</v>
      </c>
      <c r="K103">
        <f t="shared" ref="K103:L103" si="99">(K29+K65)/2</f>
        <v>24.015000000000001</v>
      </c>
      <c r="L103">
        <f t="shared" si="99"/>
        <v>24.004999999999999</v>
      </c>
      <c r="M103">
        <f t="shared" si="24"/>
        <v>1.0000000000001563E-2</v>
      </c>
      <c r="U103">
        <f t="shared" ref="U103:V103" si="100">(U29+U65)/2</f>
        <v>7.3568499999999981E-4</v>
      </c>
      <c r="V103">
        <f t="shared" si="100"/>
        <v>-2.7678349999999963E-3</v>
      </c>
      <c r="AC103">
        <f t="shared" ref="AC103:AD103" si="101">(AC29+AC65)/2</f>
        <v>2.9161008798671459</v>
      </c>
      <c r="AD103">
        <f t="shared" si="101"/>
        <v>2.9355383202985497</v>
      </c>
    </row>
    <row r="104" spans="1:30" x14ac:dyDescent="0.25">
      <c r="A104">
        <v>28</v>
      </c>
      <c r="C104" s="14">
        <v>270</v>
      </c>
      <c r="K104">
        <f t="shared" ref="K104:L104" si="102">(K30+K66)/2</f>
        <v>24.02</v>
      </c>
      <c r="L104">
        <f t="shared" si="102"/>
        <v>24.009999999999998</v>
      </c>
      <c r="M104">
        <f t="shared" si="24"/>
        <v>1.0000000000001563E-2</v>
      </c>
      <c r="U104">
        <f t="shared" ref="U104:V104" si="103">(U30+U66)/2</f>
        <v>9.8489000000000215E-4</v>
      </c>
      <c r="V104">
        <f t="shared" si="103"/>
        <v>-3.645300000000018E-3</v>
      </c>
      <c r="AC104">
        <f t="shared" ref="AC104:AD104" si="104">(AC30+AC66)/2</f>
        <v>3.1483091940903218</v>
      </c>
      <c r="AD104">
        <f t="shared" si="104"/>
        <v>2.6952411782647463</v>
      </c>
    </row>
    <row r="105" spans="1:30" x14ac:dyDescent="0.25">
      <c r="A105">
        <v>29</v>
      </c>
      <c r="C105" s="14">
        <v>280</v>
      </c>
      <c r="K105">
        <f t="shared" ref="K105:L105" si="105">(K31+K67)/2</f>
        <v>24.255000000000003</v>
      </c>
      <c r="L105">
        <f t="shared" si="105"/>
        <v>24.259999999999998</v>
      </c>
      <c r="M105">
        <f t="shared" si="24"/>
        <v>-4.9999999999954525E-3</v>
      </c>
      <c r="U105">
        <f t="shared" ref="U105:V105" si="106">(U31+U67)/2</f>
        <v>-4.2856500000000575E-4</v>
      </c>
      <c r="V105">
        <f t="shared" si="106"/>
        <v>-2.7714749999999955E-3</v>
      </c>
      <c r="AC105">
        <f t="shared" ref="AC105:AD105" si="107">(AC31+AC67)/2</f>
        <v>3.3565541146907991</v>
      </c>
      <c r="AD105">
        <f t="shared" si="107"/>
        <v>2.3970077727549106</v>
      </c>
    </row>
    <row r="106" spans="1:30" x14ac:dyDescent="0.25">
      <c r="A106">
        <v>30</v>
      </c>
      <c r="C106" s="14">
        <v>290</v>
      </c>
      <c r="K106">
        <f t="shared" ref="K106:L106" si="108">(K32+K68)/2</f>
        <v>23.865000000000002</v>
      </c>
      <c r="L106">
        <f t="shared" si="108"/>
        <v>23.86</v>
      </c>
      <c r="M106">
        <f t="shared" si="24"/>
        <v>5.000000000002558E-3</v>
      </c>
      <c r="U106">
        <f t="shared" ref="U106:V106" si="109">(U32+U68)/2</f>
        <v>-4.6709999999991481E-5</v>
      </c>
      <c r="V106">
        <f t="shared" si="109"/>
        <v>-5.0803650000000034E-3</v>
      </c>
      <c r="AC106">
        <f t="shared" ref="AC106:AD106" si="110">(AC32+AC68)/2</f>
        <v>3.5908740085064146</v>
      </c>
      <c r="AD106">
        <f t="shared" si="110"/>
        <v>2.1247214025884666</v>
      </c>
    </row>
    <row r="107" spans="1:30" x14ac:dyDescent="0.25">
      <c r="A107">
        <v>31</v>
      </c>
      <c r="C107" s="14">
        <v>300</v>
      </c>
      <c r="K107">
        <f t="shared" ref="K107:L107" si="111">(K33+K69)/2</f>
        <v>24.16</v>
      </c>
      <c r="L107">
        <f t="shared" si="111"/>
        <v>24.164999999999999</v>
      </c>
      <c r="M107">
        <f t="shared" si="24"/>
        <v>-4.9999999999990052E-3</v>
      </c>
      <c r="U107">
        <f t="shared" ref="U107:V107" si="112">(U33+U69)/2</f>
        <v>1.271590000000003E-3</v>
      </c>
      <c r="V107">
        <f t="shared" si="112"/>
        <v>-3.8898499999999725E-3</v>
      </c>
      <c r="AC107">
        <f t="shared" ref="AC107:AD107" si="113">(AC33+AC69)/2</f>
        <v>3.740272613078778</v>
      </c>
      <c r="AD107">
        <f t="shared" si="113"/>
        <v>1.8131553034346128</v>
      </c>
    </row>
    <row r="108" spans="1:30" x14ac:dyDescent="0.25">
      <c r="A108">
        <v>32</v>
      </c>
      <c r="C108" s="14">
        <v>310</v>
      </c>
      <c r="K108">
        <f t="shared" ref="K108:L108" si="114">(K34+K70)/2</f>
        <v>24.045000000000002</v>
      </c>
      <c r="L108">
        <f t="shared" si="114"/>
        <v>24.045000000000002</v>
      </c>
      <c r="M108">
        <f t="shared" si="24"/>
        <v>0</v>
      </c>
      <c r="U108">
        <f t="shared" ref="U108:V108" si="115">(U34+U70)/2</f>
        <v>8.7713000000000374E-4</v>
      </c>
      <c r="V108">
        <f t="shared" si="115"/>
        <v>-1.8264149999999979E-3</v>
      </c>
      <c r="AC108">
        <f t="shared" ref="AC108:AD108" si="116">(AC34+AC70)/2</f>
        <v>3.9080546752800274</v>
      </c>
      <c r="AD108">
        <f t="shared" si="116"/>
        <v>1.4488355574358591</v>
      </c>
    </row>
    <row r="109" spans="1:30" x14ac:dyDescent="0.25">
      <c r="A109">
        <v>33</v>
      </c>
      <c r="C109">
        <v>320</v>
      </c>
      <c r="K109">
        <f t="shared" ref="K109:L109" si="117">(K35+K71)/2</f>
        <v>23.58</v>
      </c>
      <c r="L109">
        <f t="shared" si="117"/>
        <v>23.58</v>
      </c>
      <c r="M109">
        <f t="shared" si="24"/>
        <v>0</v>
      </c>
      <c r="U109">
        <f t="shared" ref="U109:V109" si="118">(U35+U71)/2</f>
        <v>3.1200350000000071E-3</v>
      </c>
      <c r="V109">
        <f t="shared" si="118"/>
        <v>-1.0924750000000094E-3</v>
      </c>
      <c r="AC109">
        <f t="shared" ref="AC109:AD109" si="119">(AC35+AC71)/2</f>
        <v>4.013368986346169</v>
      </c>
      <c r="AD109">
        <f t="shared" si="119"/>
        <v>1.1488567541938302</v>
      </c>
    </row>
    <row r="110" spans="1:30" x14ac:dyDescent="0.25">
      <c r="A110">
        <v>34</v>
      </c>
      <c r="C110">
        <v>330</v>
      </c>
      <c r="K110">
        <f t="shared" ref="K110:L110" si="120">(K36+K72)/2</f>
        <v>24.1</v>
      </c>
      <c r="L110">
        <f t="shared" si="120"/>
        <v>24.09</v>
      </c>
      <c r="M110">
        <f t="shared" si="24"/>
        <v>1.0000000000001563E-2</v>
      </c>
      <c r="U110">
        <f t="shared" ref="U110:V110" si="121">(U36+U72)/2</f>
        <v>2.7027650000000097E-3</v>
      </c>
      <c r="V110">
        <f t="shared" si="121"/>
        <v>-6.8469000000001556E-4</v>
      </c>
      <c r="AC110">
        <f t="shared" ref="AC110:AD110" si="122">(AC36+AC72)/2</f>
        <v>4.0497939849520304</v>
      </c>
      <c r="AD110">
        <f t="shared" si="122"/>
        <v>0.82308147755741334</v>
      </c>
    </row>
    <row r="111" spans="1:30" x14ac:dyDescent="0.25">
      <c r="A111">
        <v>35</v>
      </c>
      <c r="C111">
        <v>340</v>
      </c>
      <c r="K111">
        <f t="shared" ref="K111:L111" si="123">(K37+K73)/2</f>
        <v>24.184999999999999</v>
      </c>
      <c r="L111">
        <f t="shared" si="123"/>
        <v>24.189999999999998</v>
      </c>
      <c r="M111">
        <f t="shared" si="24"/>
        <v>-4.9999999999990052E-3</v>
      </c>
      <c r="U111">
        <f t="shared" ref="U111:V111" si="124">(U37+U73)/2</f>
        <v>1.5303300000000103E-3</v>
      </c>
      <c r="V111">
        <f t="shared" si="124"/>
        <v>-3.734849999999984E-3</v>
      </c>
      <c r="AC111">
        <f t="shared" ref="AC111:AD111" si="125">(AC37+AC73)/2</f>
        <v>4.0890724556044855</v>
      </c>
      <c r="AD111">
        <f t="shared" si="125"/>
        <v>0.52436948463324773</v>
      </c>
    </row>
    <row r="112" spans="1:30" x14ac:dyDescent="0.25">
      <c r="A112">
        <v>36</v>
      </c>
      <c r="C112">
        <v>350</v>
      </c>
      <c r="K112">
        <f t="shared" ref="K112:L112" si="126">(K38+K74)/2</f>
        <v>24.11</v>
      </c>
      <c r="L112">
        <f t="shared" si="126"/>
        <v>24.115000000000002</v>
      </c>
      <c r="M112">
        <f t="shared" si="24"/>
        <v>-5.000000000002558E-3</v>
      </c>
      <c r="U112">
        <f t="shared" ref="U112:V112" si="127">(U38+U74)/2</f>
        <v>2.5120500000000434E-4</v>
      </c>
      <c r="V112">
        <f t="shared" si="127"/>
        <v>-5.1814499999999764E-4</v>
      </c>
      <c r="AC112">
        <f t="shared" ref="AC112:AD112" si="128">(AC38+AC74)/2</f>
        <v>4.0882095024977758</v>
      </c>
      <c r="AD112">
        <f t="shared" si="128"/>
        <v>0.34031950907542408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CD1C-3D89-47BF-9A8E-16F5B0F7841C}">
  <dimension ref="A1:AA164"/>
  <sheetViews>
    <sheetView zoomScale="55" zoomScaleNormal="55" workbookViewId="0">
      <selection activeCell="S52" sqref="S52"/>
    </sheetView>
  </sheetViews>
  <sheetFormatPr defaultRowHeight="15.75" x14ac:dyDescent="0.25"/>
  <cols>
    <col min="1" max="1" width="19.42578125" style="24" customWidth="1"/>
    <col min="2" max="2" width="20.140625" style="24" customWidth="1"/>
    <col min="3" max="3" width="20.7109375" style="24" customWidth="1"/>
    <col min="4" max="5" width="9.140625" style="24"/>
    <col min="6" max="6" width="11.5703125" style="24" customWidth="1"/>
    <col min="7" max="7" width="11.7109375" style="24" customWidth="1"/>
    <col min="8" max="8" width="10.85546875" style="24" customWidth="1"/>
    <col min="9" max="10" width="10.28515625" style="24" bestFit="1" customWidth="1"/>
    <col min="11" max="11" width="9.140625" style="24"/>
    <col min="12" max="12" width="21.7109375" style="24" customWidth="1"/>
    <col min="13" max="13" width="21" style="24" customWidth="1"/>
    <col min="14" max="14" width="19.85546875" style="24" customWidth="1"/>
    <col min="15" max="16384" width="9.140625" style="24"/>
  </cols>
  <sheetData>
    <row r="1" spans="1:27" x14ac:dyDescent="0.25">
      <c r="A1" s="113" t="s">
        <v>92</v>
      </c>
      <c r="B1" s="113"/>
      <c r="C1" s="113"/>
      <c r="N1" s="35" t="s">
        <v>91</v>
      </c>
      <c r="O1" s="24">
        <f>COUNT($A$5:$A$104)</f>
        <v>36</v>
      </c>
    </row>
    <row r="2" spans="1:27" x14ac:dyDescent="0.25">
      <c r="A2" s="112" t="s">
        <v>90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P2" s="35"/>
      <c r="Q2" s="35"/>
      <c r="R2" s="35"/>
      <c r="S2" s="35"/>
      <c r="T2" s="35"/>
      <c r="U2" s="35"/>
      <c r="V2" s="35"/>
      <c r="W2" s="35"/>
    </row>
    <row r="3" spans="1:27" x14ac:dyDescent="0.25">
      <c r="A3" s="112" t="s">
        <v>89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P3" s="25"/>
      <c r="Q3" s="25"/>
      <c r="R3" s="25"/>
      <c r="S3" s="25"/>
      <c r="T3" s="25"/>
      <c r="U3" s="25"/>
      <c r="V3" s="25"/>
      <c r="W3" s="25"/>
    </row>
    <row r="4" spans="1:27" x14ac:dyDescent="0.25">
      <c r="A4" s="52" t="s">
        <v>86</v>
      </c>
      <c r="B4" s="52" t="s">
        <v>88</v>
      </c>
      <c r="C4" s="52" t="s">
        <v>87</v>
      </c>
      <c r="E4" s="51" t="s">
        <v>86</v>
      </c>
      <c r="F4" s="51" t="s">
        <v>85</v>
      </c>
      <c r="G4" s="51" t="s">
        <v>84</v>
      </c>
      <c r="H4" s="51" t="s">
        <v>83</v>
      </c>
      <c r="I4" s="51" t="s">
        <v>82</v>
      </c>
      <c r="J4" s="51" t="s">
        <v>81</v>
      </c>
      <c r="L4" s="50" t="s">
        <v>80</v>
      </c>
      <c r="M4" s="50" t="s">
        <v>79</v>
      </c>
      <c r="N4" s="50" t="s">
        <v>78</v>
      </c>
      <c r="P4" s="34"/>
      <c r="Q4" s="34"/>
      <c r="R4" s="34"/>
      <c r="S4" s="34"/>
      <c r="T4" s="34"/>
      <c r="U4" s="34"/>
      <c r="V4" s="34"/>
      <c r="W4" s="34"/>
      <c r="Z4" s="34"/>
      <c r="AA4" s="34"/>
    </row>
    <row r="5" spans="1:27" x14ac:dyDescent="0.25">
      <c r="A5" s="46">
        <v>0</v>
      </c>
      <c r="B5" s="47">
        <v>1.2950050000000018E-3</v>
      </c>
      <c r="C5" s="47">
        <v>-1.3037399999999977E-3</v>
      </c>
      <c r="E5" s="46">
        <f t="shared" ref="E5:E36" si="0">IF(A5="","",A5)</f>
        <v>0</v>
      </c>
      <c r="F5" s="46">
        <f t="shared" ref="F5:F36" si="1">IF(E5="","",RADIANS(E5))</f>
        <v>0</v>
      </c>
      <c r="G5" s="46">
        <f t="shared" ref="G5:G36" si="2">IF(E5="","",COS(F5))</f>
        <v>1</v>
      </c>
      <c r="H5" s="46">
        <f t="shared" ref="H5:H36" si="3">IF(E5="","",SIN(F5))</f>
        <v>0</v>
      </c>
      <c r="I5" s="46">
        <f t="shared" ref="I5:I36" si="4">IF(E5="","",COS(2*F5))</f>
        <v>1</v>
      </c>
      <c r="J5" s="46">
        <f t="shared" ref="J5:J36" si="5">IF(E5="","",SIN(2*F5))</f>
        <v>0</v>
      </c>
      <c r="L5" s="49">
        <v>0</v>
      </c>
      <c r="M5" s="48">
        <f>$B111+$B110*COS(RADIANS(L5))+$B109*SIN(RADIANS(L5))</f>
        <v>2.4428265461472931E-3</v>
      </c>
      <c r="N5" s="48">
        <f>$B137+$B136*COS(RADIANS(L5))+$B135*SIN(RADIANS(L5))</f>
        <v>-4.2558807824666307E-4</v>
      </c>
      <c r="P5" s="45"/>
      <c r="Q5" s="45"/>
      <c r="R5" s="45"/>
      <c r="S5" s="45"/>
      <c r="T5" s="28"/>
      <c r="U5" s="28"/>
      <c r="V5" s="28"/>
      <c r="W5" s="28"/>
      <c r="Z5" s="45"/>
      <c r="AA5" s="45"/>
    </row>
    <row r="6" spans="1:27" x14ac:dyDescent="0.25">
      <c r="A6" s="46">
        <v>10</v>
      </c>
      <c r="B6" s="47">
        <v>3.9077249999999869E-3</v>
      </c>
      <c r="C6" s="47">
        <v>-8.3636000000000821E-4</v>
      </c>
      <c r="E6" s="46">
        <f t="shared" si="0"/>
        <v>10</v>
      </c>
      <c r="F6" s="47">
        <f t="shared" si="1"/>
        <v>0.17453292519943295</v>
      </c>
      <c r="G6" s="47">
        <f t="shared" si="2"/>
        <v>0.98480775301220802</v>
      </c>
      <c r="H6" s="47">
        <f t="shared" si="3"/>
        <v>0.17364817766693033</v>
      </c>
      <c r="I6" s="47">
        <f t="shared" si="4"/>
        <v>0.93969262078590843</v>
      </c>
      <c r="J6" s="47">
        <f t="shared" si="5"/>
        <v>0.34202014332566871</v>
      </c>
      <c r="L6" s="49">
        <v>5</v>
      </c>
      <c r="M6" s="48">
        <f>$B111+$B110*COS(RADIANS(L6))+$B109*SIN(RADIANS(L6))</f>
        <v>2.4291201624605813E-3</v>
      </c>
      <c r="N6" s="48">
        <f>$B137+$B136*COS(RADIANS(L6))+$B135*SIN(RADIANS(L6))</f>
        <v>-1.712337316328284E-4</v>
      </c>
      <c r="P6" s="45"/>
      <c r="Q6" s="45"/>
      <c r="R6" s="45"/>
      <c r="S6" s="45"/>
      <c r="T6" s="28"/>
      <c r="U6" s="28"/>
      <c r="V6" s="28"/>
      <c r="W6" s="28"/>
      <c r="Z6" s="45"/>
      <c r="AA6" s="45"/>
    </row>
    <row r="7" spans="1:27" x14ac:dyDescent="0.25">
      <c r="A7" s="46">
        <v>20</v>
      </c>
      <c r="B7" s="47">
        <v>3.4853900000000049E-3</v>
      </c>
      <c r="C7" s="47">
        <v>3.8000150000000177E-3</v>
      </c>
      <c r="E7" s="46">
        <f t="shared" si="0"/>
        <v>20</v>
      </c>
      <c r="F7" s="47">
        <f t="shared" si="1"/>
        <v>0.3490658503988659</v>
      </c>
      <c r="G7" s="47">
        <f t="shared" si="2"/>
        <v>0.93969262078590843</v>
      </c>
      <c r="H7" s="47">
        <f t="shared" si="3"/>
        <v>0.34202014332566871</v>
      </c>
      <c r="I7" s="47">
        <f t="shared" si="4"/>
        <v>0.76604444311897801</v>
      </c>
      <c r="J7" s="47">
        <f t="shared" si="5"/>
        <v>0.64278760968653925</v>
      </c>
      <c r="L7" s="49">
        <v>10</v>
      </c>
      <c r="M7" s="48">
        <f>$B111+$B110*COS(RADIANS(L7))+$B109*SIN(RADIANS(L7))</f>
        <v>2.3957722276190256E-3</v>
      </c>
      <c r="N7" s="48">
        <f>$B137+$B136*COS(RADIANS(L7))+$B135*SIN(RADIANS(L7))</f>
        <v>8.4288003246578696E-5</v>
      </c>
      <c r="P7" s="45"/>
      <c r="Q7" s="45"/>
      <c r="R7" s="45"/>
      <c r="S7" s="45"/>
      <c r="T7" s="28"/>
      <c r="U7" s="28"/>
      <c r="V7" s="28"/>
      <c r="W7" s="28"/>
      <c r="Z7" s="45"/>
      <c r="AA7" s="45"/>
    </row>
    <row r="8" spans="1:27" x14ac:dyDescent="0.25">
      <c r="A8" s="46">
        <v>30</v>
      </c>
      <c r="B8" s="47">
        <v>2.8390449999999984E-3</v>
      </c>
      <c r="C8" s="47">
        <v>5.5417499999999009E-4</v>
      </c>
      <c r="E8" s="46">
        <f t="shared" si="0"/>
        <v>30</v>
      </c>
      <c r="F8" s="47">
        <f t="shared" si="1"/>
        <v>0.52359877559829882</v>
      </c>
      <c r="G8" s="47">
        <f t="shared" si="2"/>
        <v>0.86602540378443871</v>
      </c>
      <c r="H8" s="47">
        <f t="shared" si="3"/>
        <v>0.49999999999999994</v>
      </c>
      <c r="I8" s="47">
        <f t="shared" si="4"/>
        <v>0.50000000000000011</v>
      </c>
      <c r="J8" s="47">
        <f t="shared" si="5"/>
        <v>0.8660254037844386</v>
      </c>
      <c r="L8" s="49">
        <v>15</v>
      </c>
      <c r="M8" s="48">
        <f>$B111+$B110*COS(RADIANS(L8))+$B109*SIN(RADIANS(L8))</f>
        <v>2.3430365395428047E-3</v>
      </c>
      <c r="N8" s="48">
        <f>$B137+$B136*COS(RADIANS(L8))+$B135*SIN(RADIANS(L8))</f>
        <v>3.3903245170088391E-4</v>
      </c>
      <c r="P8" s="45"/>
      <c r="Q8" s="45"/>
      <c r="R8" s="45"/>
      <c r="S8" s="45"/>
      <c r="T8" s="28"/>
      <c r="U8" s="28"/>
      <c r="V8" s="28"/>
      <c r="W8" s="28"/>
      <c r="Z8" s="45"/>
      <c r="AA8" s="45"/>
    </row>
    <row r="9" spans="1:27" x14ac:dyDescent="0.25">
      <c r="A9" s="46">
        <v>40</v>
      </c>
      <c r="B9" s="47">
        <v>1.0316449999999977E-3</v>
      </c>
      <c r="C9" s="47">
        <v>3.1664499999997653E-4</v>
      </c>
      <c r="E9" s="46">
        <f t="shared" si="0"/>
        <v>40</v>
      </c>
      <c r="F9" s="47">
        <f t="shared" si="1"/>
        <v>0.69813170079773179</v>
      </c>
      <c r="G9" s="47">
        <f t="shared" si="2"/>
        <v>0.76604444311897801</v>
      </c>
      <c r="H9" s="47">
        <f t="shared" si="3"/>
        <v>0.64278760968653925</v>
      </c>
      <c r="I9" s="47">
        <f t="shared" si="4"/>
        <v>0.17364817766693041</v>
      </c>
      <c r="J9" s="47">
        <f t="shared" si="5"/>
        <v>0.98480775301220802</v>
      </c>
      <c r="L9" s="49">
        <v>20</v>
      </c>
      <c r="M9" s="48">
        <f>$B111+$B110*COS(RADIANS(L9))+$B109*SIN(RADIANS(L9))</f>
        <v>2.2713144486608571E-3</v>
      </c>
      <c r="N9" s="48">
        <f>$B137+$B136*COS(RADIANS(L9))+$B135*SIN(RADIANS(L9))</f>
        <v>5.9106085465844668E-4</v>
      </c>
      <c r="P9" s="45"/>
      <c r="Q9" s="45"/>
      <c r="R9" s="45"/>
      <c r="S9" s="45"/>
      <c r="T9" s="28"/>
      <c r="U9" s="28"/>
      <c r="V9" s="28"/>
      <c r="W9" s="28"/>
      <c r="Z9" s="45"/>
      <c r="AA9" s="45"/>
    </row>
    <row r="10" spans="1:27" x14ac:dyDescent="0.25">
      <c r="A10" s="46">
        <v>50</v>
      </c>
      <c r="B10" s="47">
        <v>3.0011000000000065E-3</v>
      </c>
      <c r="C10" s="47">
        <v>2.0732599999999657E-3</v>
      </c>
      <c r="E10" s="46">
        <f t="shared" si="0"/>
        <v>50</v>
      </c>
      <c r="F10" s="47">
        <f t="shared" si="1"/>
        <v>0.87266462599716477</v>
      </c>
      <c r="G10" s="47">
        <f t="shared" si="2"/>
        <v>0.64278760968653936</v>
      </c>
      <c r="H10" s="47">
        <f t="shared" si="3"/>
        <v>0.76604444311897801</v>
      </c>
      <c r="I10" s="47">
        <f t="shared" si="4"/>
        <v>-0.1736481776669303</v>
      </c>
      <c r="J10" s="47">
        <f t="shared" si="5"/>
        <v>0.98480775301220802</v>
      </c>
      <c r="L10" s="49">
        <v>25</v>
      </c>
      <c r="M10" s="48">
        <f>$B111+$B110*COS(RADIANS(L10))+$B109*SIN(RADIANS(L10))</f>
        <v>2.1811518033917768E-3</v>
      </c>
      <c r="N10" s="48">
        <f>$B137+$B136*COS(RADIANS(L10))+$B135*SIN(RADIANS(L10))</f>
        <v>8.384551237938493E-4</v>
      </c>
      <c r="P10" s="45"/>
      <c r="Q10" s="45"/>
      <c r="R10" s="45"/>
      <c r="S10" s="45"/>
      <c r="T10" s="28"/>
      <c r="U10" s="28"/>
      <c r="V10" s="28"/>
      <c r="W10" s="28"/>
      <c r="Z10" s="45"/>
      <c r="AA10" s="45"/>
    </row>
    <row r="11" spans="1:27" x14ac:dyDescent="0.25">
      <c r="A11" s="46">
        <v>60</v>
      </c>
      <c r="B11" s="47">
        <v>1.781770000000002E-3</v>
      </c>
      <c r="C11" s="47">
        <v>2.9239449999999834E-3</v>
      </c>
      <c r="E11" s="46">
        <f t="shared" si="0"/>
        <v>60</v>
      </c>
      <c r="F11" s="47">
        <f t="shared" si="1"/>
        <v>1.0471975511965976</v>
      </c>
      <c r="G11" s="47">
        <f t="shared" si="2"/>
        <v>0.50000000000000011</v>
      </c>
      <c r="H11" s="47">
        <f t="shared" si="3"/>
        <v>0.8660254037844386</v>
      </c>
      <c r="I11" s="47">
        <f t="shared" si="4"/>
        <v>-0.49999999999999978</v>
      </c>
      <c r="J11" s="47">
        <f t="shared" si="5"/>
        <v>0.86602540378443871</v>
      </c>
      <c r="L11" s="49">
        <v>30</v>
      </c>
      <c r="M11" s="48">
        <f>$B111+$B110*COS(RADIANS(L11))+$B109*SIN(RADIANS(L11))</f>
        <v>2.0732347959077557E-3</v>
      </c>
      <c r="N11" s="48">
        <f>$B137+$B136*COS(RADIANS(L11))+$B135*SIN(RADIANS(L11))</f>
        <v>1.0793324393382274E-3</v>
      </c>
      <c r="P11" s="45"/>
      <c r="Q11" s="45"/>
      <c r="R11" s="45"/>
      <c r="S11" s="45"/>
      <c r="T11" s="28"/>
      <c r="U11" s="28"/>
      <c r="V11" s="28"/>
      <c r="W11" s="28"/>
      <c r="Z11" s="45"/>
      <c r="AA11" s="45"/>
    </row>
    <row r="12" spans="1:27" x14ac:dyDescent="0.25">
      <c r="A12" s="46">
        <v>70</v>
      </c>
      <c r="B12" s="47">
        <v>-8.365999999999929E-5</v>
      </c>
      <c r="C12" s="47">
        <v>3.6732149999999797E-3</v>
      </c>
      <c r="E12" s="46">
        <f t="shared" si="0"/>
        <v>70</v>
      </c>
      <c r="F12" s="47">
        <f t="shared" si="1"/>
        <v>1.2217304763960306</v>
      </c>
      <c r="G12" s="47">
        <f t="shared" si="2"/>
        <v>0.34202014332566882</v>
      </c>
      <c r="H12" s="47">
        <f t="shared" si="3"/>
        <v>0.93969262078590832</v>
      </c>
      <c r="I12" s="47">
        <f t="shared" si="4"/>
        <v>-0.7660444431189779</v>
      </c>
      <c r="J12" s="47">
        <f t="shared" si="5"/>
        <v>0.64278760968653947</v>
      </c>
      <c r="L12" s="49">
        <v>35</v>
      </c>
      <c r="M12" s="48">
        <f>$B111+$B110*COS(RADIANS(L12))+$B109*SIN(RADIANS(L12))</f>
        <v>1.9483847397978177E-3</v>
      </c>
      <c r="N12" s="48">
        <f>$B137+$B136*COS(RADIANS(L12))+$B135*SIN(RADIANS(L12))</f>
        <v>1.3118595794745888E-3</v>
      </c>
      <c r="P12" s="45"/>
      <c r="Q12" s="45"/>
      <c r="R12" s="45"/>
      <c r="S12" s="45"/>
      <c r="T12" s="28"/>
      <c r="U12" s="28"/>
      <c r="V12" s="28"/>
      <c r="W12" s="28"/>
      <c r="Z12" s="45"/>
      <c r="AA12" s="45"/>
    </row>
    <row r="13" spans="1:27" x14ac:dyDescent="0.25">
      <c r="A13" s="46">
        <v>80</v>
      </c>
      <c r="B13" s="47">
        <v>-1.0000250000000016E-3</v>
      </c>
      <c r="C13" s="47">
        <v>2.9139000000000248E-3</v>
      </c>
      <c r="E13" s="46">
        <f t="shared" si="0"/>
        <v>80</v>
      </c>
      <c r="F13" s="47">
        <f t="shared" si="1"/>
        <v>1.3962634015954636</v>
      </c>
      <c r="G13" s="47">
        <f t="shared" si="2"/>
        <v>0.17364817766693041</v>
      </c>
      <c r="H13" s="47">
        <f t="shared" si="3"/>
        <v>0.98480775301220802</v>
      </c>
      <c r="I13" s="47">
        <f t="shared" si="4"/>
        <v>-0.93969262078590832</v>
      </c>
      <c r="J13" s="47">
        <f t="shared" si="5"/>
        <v>0.34202014332566888</v>
      </c>
      <c r="L13" s="49">
        <v>40</v>
      </c>
      <c r="M13" s="48">
        <f>$B111+$B110*COS(RADIANS(L13))+$B109*SIN(RADIANS(L13))</f>
        <v>1.8075518193754843E-3</v>
      </c>
      <c r="N13" s="48">
        <f>$B137+$B136*COS(RADIANS(L13))+$B135*SIN(RADIANS(L13))</f>
        <v>1.5342668722627695E-3</v>
      </c>
      <c r="P13" s="45"/>
      <c r="Q13" s="45"/>
      <c r="R13" s="45"/>
      <c r="S13" s="45"/>
      <c r="T13" s="28"/>
      <c r="U13" s="28"/>
      <c r="V13" s="28"/>
      <c r="W13" s="28"/>
      <c r="Z13" s="45"/>
      <c r="AA13" s="45"/>
    </row>
    <row r="14" spans="1:27" x14ac:dyDescent="0.25">
      <c r="A14" s="46">
        <v>90</v>
      </c>
      <c r="B14" s="47">
        <v>-1.6691500000000081E-3</v>
      </c>
      <c r="C14" s="47">
        <v>3.3549999999999969E-3</v>
      </c>
      <c r="E14" s="46">
        <f t="shared" si="0"/>
        <v>90</v>
      </c>
      <c r="F14" s="47">
        <f t="shared" si="1"/>
        <v>1.5707963267948966</v>
      </c>
      <c r="G14" s="47">
        <f t="shared" si="2"/>
        <v>6.1257422745431001E-17</v>
      </c>
      <c r="H14" s="47">
        <f t="shared" si="3"/>
        <v>1</v>
      </c>
      <c r="I14" s="47">
        <f t="shared" si="4"/>
        <v>-1</v>
      </c>
      <c r="J14" s="47">
        <f t="shared" si="5"/>
        <v>1.22514845490862E-16</v>
      </c>
      <c r="L14" s="49">
        <v>45</v>
      </c>
      <c r="M14" s="48">
        <f>$B111+$B110*COS(RADIANS(L14))+$B109*SIN(RADIANS(L14))</f>
        <v>1.6518078582024121E-3</v>
      </c>
      <c r="N14" s="48">
        <f>$B137+$B136*COS(RADIANS(L14))+$B135*SIN(RADIANS(L14))</f>
        <v>1.7448616639114565E-3</v>
      </c>
      <c r="P14" s="45"/>
      <c r="Q14" s="45"/>
      <c r="R14" s="45"/>
      <c r="S14" s="45"/>
      <c r="T14" s="28"/>
      <c r="U14" s="28"/>
      <c r="V14" s="28"/>
      <c r="W14" s="28"/>
      <c r="Z14" s="45"/>
      <c r="AA14" s="45"/>
    </row>
    <row r="15" spans="1:27" x14ac:dyDescent="0.25">
      <c r="A15" s="46">
        <v>100</v>
      </c>
      <c r="B15" s="47">
        <v>8.2746999999999682E-4</v>
      </c>
      <c r="C15" s="47">
        <v>2.8112299999999979E-3</v>
      </c>
      <c r="E15" s="46">
        <f t="shared" si="0"/>
        <v>100</v>
      </c>
      <c r="F15" s="47">
        <f t="shared" si="1"/>
        <v>1.7453292519943295</v>
      </c>
      <c r="G15" s="47">
        <f t="shared" si="2"/>
        <v>-0.1736481776669303</v>
      </c>
      <c r="H15" s="47">
        <f t="shared" si="3"/>
        <v>0.98480775301220802</v>
      </c>
      <c r="I15" s="47">
        <f t="shared" si="4"/>
        <v>-0.93969262078590843</v>
      </c>
      <c r="J15" s="47">
        <f t="shared" si="5"/>
        <v>-0.34202014332566866</v>
      </c>
      <c r="L15" s="49">
        <v>50</v>
      </c>
      <c r="M15" s="48">
        <f>$B111+$B110*COS(RADIANS(L15))+$B109*SIN(RADIANS(L15))</f>
        <v>1.4823381618639026E-3</v>
      </c>
      <c r="N15" s="48">
        <f>$B137+$B136*COS(RADIANS(L15))+$B135*SIN(RADIANS(L15))</f>
        <v>1.9420412008955914E-3</v>
      </c>
      <c r="P15" s="45"/>
      <c r="Q15" s="45"/>
      <c r="R15" s="45"/>
      <c r="S15" s="45"/>
      <c r="T15" s="28"/>
      <c r="U15" s="28"/>
      <c r="V15" s="28"/>
      <c r="W15" s="28"/>
      <c r="Z15" s="45"/>
      <c r="AA15" s="45"/>
    </row>
    <row r="16" spans="1:27" x14ac:dyDescent="0.25">
      <c r="A16" s="46">
        <v>110</v>
      </c>
      <c r="B16" s="47">
        <v>-1.6795099999999952E-3</v>
      </c>
      <c r="C16" s="47">
        <v>1.7830300000000188E-3</v>
      </c>
      <c r="E16" s="46">
        <f t="shared" si="0"/>
        <v>110</v>
      </c>
      <c r="F16" s="47">
        <f t="shared" si="1"/>
        <v>1.9198621771937625</v>
      </c>
      <c r="G16" s="47">
        <f t="shared" si="2"/>
        <v>-0.34202014332566871</v>
      </c>
      <c r="H16" s="47">
        <f t="shared" si="3"/>
        <v>0.93969262078590843</v>
      </c>
      <c r="I16" s="47">
        <f t="shared" si="4"/>
        <v>-0.76604444311897801</v>
      </c>
      <c r="J16" s="47">
        <f t="shared" si="5"/>
        <v>-0.64278760968653925</v>
      </c>
      <c r="L16" s="49">
        <v>55</v>
      </c>
      <c r="M16" s="48">
        <f>$B111+$B110*COS(RADIANS(L16))+$B109*SIN(RADIANS(L16))</f>
        <v>1.3004324970776928E-3</v>
      </c>
      <c r="N16" s="48">
        <f>$B137+$B136*COS(RADIANS(L16))+$B135*SIN(RADIANS(L16))</f>
        <v>2.1243048278784655E-3</v>
      </c>
      <c r="P16" s="45"/>
      <c r="Q16" s="45"/>
      <c r="R16" s="45"/>
      <c r="S16" s="45"/>
      <c r="T16" s="28"/>
      <c r="U16" s="28"/>
      <c r="V16" s="28"/>
      <c r="W16" s="28"/>
      <c r="Z16" s="45"/>
      <c r="AA16" s="45"/>
    </row>
    <row r="17" spans="1:27" x14ac:dyDescent="0.25">
      <c r="A17" s="46">
        <v>120</v>
      </c>
      <c r="B17" s="47">
        <v>-1.2308299999999883E-3</v>
      </c>
      <c r="C17" s="47">
        <v>9.8503499999999522E-4</v>
      </c>
      <c r="E17" s="46">
        <f t="shared" si="0"/>
        <v>120</v>
      </c>
      <c r="F17" s="47">
        <f t="shared" si="1"/>
        <v>2.0943951023931953</v>
      </c>
      <c r="G17" s="47">
        <f t="shared" si="2"/>
        <v>-0.49999999999999978</v>
      </c>
      <c r="H17" s="47">
        <f t="shared" si="3"/>
        <v>0.86602540378443871</v>
      </c>
      <c r="I17" s="47">
        <f t="shared" si="4"/>
        <v>-0.50000000000000044</v>
      </c>
      <c r="J17" s="47">
        <f t="shared" si="5"/>
        <v>-0.86602540378443837</v>
      </c>
      <c r="L17" s="49">
        <v>60</v>
      </c>
      <c r="M17" s="48">
        <f>$B111+$B110*COS(RADIANS(L17))+$B109*SIN(RADIANS(L17))</f>
        <v>1.1074752757904492E-3</v>
      </c>
      <c r="N17" s="48">
        <f>$B137+$B136*COS(RADIANS(L17))+$B135*SIN(RADIANS(L17))</f>
        <v>2.2902654086049516E-3</v>
      </c>
      <c r="P17" s="45"/>
      <c r="Q17" s="45"/>
      <c r="R17" s="45"/>
      <c r="S17" s="45"/>
      <c r="T17" s="28"/>
      <c r="U17" s="28"/>
      <c r="V17" s="28"/>
      <c r="W17" s="28"/>
      <c r="Z17" s="45"/>
      <c r="AA17" s="45" t="str">
        <f t="shared" ref="AA17:AA48" si="6">IF(Q17="","",Q17-S17)</f>
        <v/>
      </c>
    </row>
    <row r="18" spans="1:27" x14ac:dyDescent="0.25">
      <c r="A18" s="46">
        <v>130</v>
      </c>
      <c r="B18" s="47">
        <v>-9.2627000000000681E-4</v>
      </c>
      <c r="C18" s="47">
        <v>3.5400250000000022E-3</v>
      </c>
      <c r="E18" s="46">
        <f t="shared" si="0"/>
        <v>130</v>
      </c>
      <c r="F18" s="47">
        <f t="shared" si="1"/>
        <v>2.2689280275926285</v>
      </c>
      <c r="G18" s="47">
        <f t="shared" si="2"/>
        <v>-0.64278760968653936</v>
      </c>
      <c r="H18" s="47">
        <f t="shared" si="3"/>
        <v>0.76604444311897801</v>
      </c>
      <c r="I18" s="47">
        <f t="shared" si="4"/>
        <v>-0.17364817766693033</v>
      </c>
      <c r="J18" s="47">
        <f t="shared" si="5"/>
        <v>-0.98480775301220802</v>
      </c>
      <c r="L18" s="49">
        <v>65</v>
      </c>
      <c r="M18" s="48">
        <f>$B111+$B110*COS(RADIANS(L18))+$B109*SIN(RADIANS(L18))</f>
        <v>9.0493501896692303E-4</v>
      </c>
      <c r="N18" s="48">
        <f>$B137+$B136*COS(RADIANS(L18))+$B135*SIN(RADIANS(L18))</f>
        <v>2.4386598828459831E-3</v>
      </c>
      <c r="P18" s="45"/>
      <c r="Q18" s="45"/>
      <c r="R18" s="45"/>
      <c r="S18" s="45"/>
      <c r="T18" s="28"/>
      <c r="U18" s="28"/>
      <c r="V18" s="28"/>
      <c r="W18" s="28"/>
      <c r="Z18" s="45"/>
      <c r="AA18" s="45" t="str">
        <f t="shared" si="6"/>
        <v/>
      </c>
    </row>
    <row r="19" spans="1:27" x14ac:dyDescent="0.25">
      <c r="A19" s="46">
        <v>140</v>
      </c>
      <c r="B19" s="47">
        <v>-2.6416850000000047E-3</v>
      </c>
      <c r="C19" s="47">
        <v>2.256275000000002E-3</v>
      </c>
      <c r="E19" s="46">
        <f t="shared" si="0"/>
        <v>140</v>
      </c>
      <c r="F19" s="47">
        <f t="shared" si="1"/>
        <v>2.4434609527920612</v>
      </c>
      <c r="G19" s="47">
        <f t="shared" si="2"/>
        <v>-0.7660444431189779</v>
      </c>
      <c r="H19" s="47">
        <f t="shared" si="3"/>
        <v>0.64278760968653947</v>
      </c>
      <c r="I19" s="47">
        <f t="shared" si="4"/>
        <v>0.17364817766692997</v>
      </c>
      <c r="J19" s="47">
        <f t="shared" si="5"/>
        <v>-0.98480775301220813</v>
      </c>
      <c r="L19" s="49">
        <v>70</v>
      </c>
      <c r="M19" s="48">
        <f>$B111+$B110*COS(RADIANS(L19))+$B109*SIN(RADIANS(L19))</f>
        <v>6.943531802586924E-4</v>
      </c>
      <c r="N19" s="48">
        <f>$B137+$B136*COS(RADIANS(L19))+$B135*SIN(RADIANS(L19))</f>
        <v>2.5683588790495521E-3</v>
      </c>
      <c r="P19" s="45"/>
      <c r="Q19" s="45"/>
      <c r="R19" s="45"/>
      <c r="S19" s="45"/>
      <c r="T19" s="28"/>
      <c r="U19" s="28"/>
      <c r="V19" s="28"/>
      <c r="W19" s="28"/>
      <c r="Z19" s="45"/>
      <c r="AA19" s="45" t="str">
        <f t="shared" si="6"/>
        <v/>
      </c>
    </row>
    <row r="20" spans="1:27" x14ac:dyDescent="0.25">
      <c r="A20" s="46">
        <v>150</v>
      </c>
      <c r="B20" s="47">
        <v>-4.1401950000000132E-3</v>
      </c>
      <c r="C20" s="47">
        <v>2.7498099999999914E-3</v>
      </c>
      <c r="E20" s="46">
        <f t="shared" si="0"/>
        <v>150</v>
      </c>
      <c r="F20" s="47">
        <f t="shared" si="1"/>
        <v>2.6179938779914944</v>
      </c>
      <c r="G20" s="47">
        <f t="shared" si="2"/>
        <v>-0.86602540378443871</v>
      </c>
      <c r="H20" s="47">
        <f t="shared" si="3"/>
        <v>0.49999999999999994</v>
      </c>
      <c r="I20" s="47">
        <f t="shared" si="4"/>
        <v>0.50000000000000011</v>
      </c>
      <c r="J20" s="47">
        <f t="shared" si="5"/>
        <v>-0.8660254037844386</v>
      </c>
      <c r="L20" s="49">
        <v>75</v>
      </c>
      <c r="M20" s="48">
        <f>$B111+$B110*COS(RADIANS(L20))+$B109*SIN(RADIANS(L20))</f>
        <v>4.7733241461111737E-4</v>
      </c>
      <c r="N20" s="48">
        <f>$B137+$B136*COS(RADIANS(L20))+$B135*SIN(RADIANS(L20))</f>
        <v>2.6783753095401546E-3</v>
      </c>
      <c r="P20" s="45"/>
      <c r="Q20" s="45"/>
      <c r="R20" s="45"/>
      <c r="S20" s="45"/>
      <c r="T20" s="28"/>
      <c r="U20" s="28"/>
      <c r="V20" s="28"/>
      <c r="W20" s="28"/>
      <c r="Z20" s="45"/>
      <c r="AA20" s="45" t="str">
        <f t="shared" si="6"/>
        <v/>
      </c>
    </row>
    <row r="21" spans="1:27" x14ac:dyDescent="0.25">
      <c r="A21" s="46">
        <v>160</v>
      </c>
      <c r="B21" s="47">
        <v>-1.8171899999999963E-3</v>
      </c>
      <c r="C21" s="47">
        <v>5.8126000000000011E-4</v>
      </c>
      <c r="E21" s="46">
        <f t="shared" si="0"/>
        <v>160</v>
      </c>
      <c r="F21" s="47">
        <f t="shared" si="1"/>
        <v>2.7925268031909272</v>
      </c>
      <c r="G21" s="47">
        <f t="shared" si="2"/>
        <v>-0.93969262078590832</v>
      </c>
      <c r="H21" s="47">
        <f t="shared" si="3"/>
        <v>0.34202014332566888</v>
      </c>
      <c r="I21" s="47">
        <f t="shared" si="4"/>
        <v>0.76604444311897779</v>
      </c>
      <c r="J21" s="47">
        <f t="shared" si="5"/>
        <v>-0.64278760968653958</v>
      </c>
      <c r="L21" s="49">
        <v>80</v>
      </c>
      <c r="M21" s="48">
        <f>$B111+$B110*COS(RADIANS(L21))+$B109*SIN(RADIANS(L21))</f>
        <v>2.5552438109149801E-4</v>
      </c>
      <c r="N21" s="48">
        <f>$B137+$B136*COS(RADIANS(L21))+$B135*SIN(RADIANS(L21))</f>
        <v>2.7678718828520201E-3</v>
      </c>
      <c r="T21" s="28"/>
      <c r="U21" s="28"/>
      <c r="V21" s="28"/>
      <c r="W21" s="28"/>
      <c r="Z21" s="45"/>
      <c r="AA21" s="45" t="str">
        <f t="shared" si="6"/>
        <v/>
      </c>
    </row>
    <row r="22" spans="1:27" x14ac:dyDescent="0.25">
      <c r="A22" s="46">
        <v>170</v>
      </c>
      <c r="B22" s="47">
        <v>-2.1847499999999853E-3</v>
      </c>
      <c r="C22" s="47">
        <v>-4.3193999999999177E-4</v>
      </c>
      <c r="E22" s="46">
        <f t="shared" si="0"/>
        <v>170</v>
      </c>
      <c r="F22" s="47">
        <f t="shared" si="1"/>
        <v>2.9670597283903604</v>
      </c>
      <c r="G22" s="47">
        <f t="shared" si="2"/>
        <v>-0.98480775301220802</v>
      </c>
      <c r="H22" s="47">
        <f t="shared" si="3"/>
        <v>0.17364817766693028</v>
      </c>
      <c r="I22" s="47">
        <f t="shared" si="4"/>
        <v>0.93969262078590843</v>
      </c>
      <c r="J22" s="47">
        <f t="shared" si="5"/>
        <v>-0.3420201433256686</v>
      </c>
      <c r="L22" s="49">
        <v>85</v>
      </c>
      <c r="M22" s="48">
        <f>$B111+$B110*COS(RADIANS(L22))+$B109*SIN(RADIANS(L22))</f>
        <v>3.0617172766269703E-5</v>
      </c>
      <c r="N22" s="48">
        <f>$B137+$B136*COS(RADIANS(L22))+$B135*SIN(RADIANS(L22))</f>
        <v>2.836167476022737E-3</v>
      </c>
      <c r="T22" s="28"/>
      <c r="U22" s="28"/>
      <c r="V22" s="28"/>
      <c r="W22" s="28"/>
      <c r="Z22" s="45"/>
      <c r="AA22" s="45" t="str">
        <f t="shared" si="6"/>
        <v/>
      </c>
    </row>
    <row r="23" spans="1:27" x14ac:dyDescent="0.25">
      <c r="A23" s="46">
        <v>180</v>
      </c>
      <c r="B23" s="47">
        <v>-3.8920000000000066E-3</v>
      </c>
      <c r="C23" s="47">
        <v>1.7147200000000029E-3</v>
      </c>
      <c r="E23" s="46">
        <f t="shared" si="0"/>
        <v>180</v>
      </c>
      <c r="F23" s="47">
        <f t="shared" si="1"/>
        <v>3.1415926535897931</v>
      </c>
      <c r="G23" s="47">
        <f t="shared" si="2"/>
        <v>-1</v>
      </c>
      <c r="H23" s="47">
        <f t="shared" si="3"/>
        <v>1.22514845490862E-16</v>
      </c>
      <c r="I23" s="47">
        <f t="shared" si="4"/>
        <v>1</v>
      </c>
      <c r="J23" s="47">
        <f t="shared" si="5"/>
        <v>-2.45029690981724E-16</v>
      </c>
      <c r="L23" s="49">
        <v>90</v>
      </c>
      <c r="M23" s="48">
        <f>$B111+$B110*COS(RADIANS(L23))+$B109*SIN(RADIANS(L23))</f>
        <v>-1.9567753070652598E-4</v>
      </c>
      <c r="N23" s="48">
        <f>$B137+$B136*COS(RADIANS(L23))+$B135*SIN(RADIANS(L23))</f>
        <v>2.8827423183502691E-3</v>
      </c>
      <c r="T23" s="28"/>
      <c r="U23" s="28"/>
      <c r="V23" s="28"/>
      <c r="W23" s="28"/>
      <c r="Z23" s="45"/>
      <c r="AA23" s="45" t="str">
        <f t="shared" si="6"/>
        <v/>
      </c>
    </row>
    <row r="24" spans="1:27" x14ac:dyDescent="0.25">
      <c r="A24" s="46">
        <v>190</v>
      </c>
      <c r="B24" s="47">
        <v>7.4706499999999121E-4</v>
      </c>
      <c r="C24" s="47">
        <v>-7.0663499999998325E-4</v>
      </c>
      <c r="E24" s="46">
        <f t="shared" si="0"/>
        <v>190</v>
      </c>
      <c r="F24" s="47">
        <f t="shared" si="1"/>
        <v>3.3161255787892263</v>
      </c>
      <c r="G24" s="47">
        <f t="shared" si="2"/>
        <v>-0.98480775301220802</v>
      </c>
      <c r="H24" s="47">
        <f t="shared" si="3"/>
        <v>-0.17364817766693047</v>
      </c>
      <c r="I24" s="47">
        <f t="shared" si="4"/>
        <v>0.93969262078590832</v>
      </c>
      <c r="J24" s="47">
        <f t="shared" si="5"/>
        <v>0.34202014332566893</v>
      </c>
      <c r="L24" s="49">
        <v>95</v>
      </c>
      <c r="M24" s="48">
        <f>$B111+$B110*COS(RADIANS(L24))+$B109*SIN(RADIANS(L24))</f>
        <v>-4.2163748999298433E-4</v>
      </c>
      <c r="N24" s="48">
        <f>$B137+$B136*COS(RADIANS(L24))+$B135*SIN(RADIANS(L24))</f>
        <v>2.9072419471618451E-3</v>
      </c>
      <c r="T24" s="28"/>
      <c r="U24" s="28"/>
      <c r="V24" s="28"/>
      <c r="W24" s="28"/>
      <c r="Z24" s="45"/>
      <c r="AA24" s="45" t="str">
        <f t="shared" si="6"/>
        <v/>
      </c>
    </row>
    <row r="25" spans="1:27" x14ac:dyDescent="0.25">
      <c r="A25" s="46">
        <v>200</v>
      </c>
      <c r="B25" s="47">
        <v>-2.8401649999999917E-3</v>
      </c>
      <c r="C25" s="47">
        <v>-9.4824500000001422E-4</v>
      </c>
      <c r="E25" s="46">
        <f t="shared" si="0"/>
        <v>200</v>
      </c>
      <c r="F25" s="47">
        <f t="shared" si="1"/>
        <v>3.4906585039886591</v>
      </c>
      <c r="G25" s="47">
        <f t="shared" si="2"/>
        <v>-0.93969262078590843</v>
      </c>
      <c r="H25" s="47">
        <f t="shared" si="3"/>
        <v>-0.34202014332566866</v>
      </c>
      <c r="I25" s="47">
        <f t="shared" si="4"/>
        <v>0.76604444311897812</v>
      </c>
      <c r="J25" s="47">
        <f t="shared" si="5"/>
        <v>0.64278760968653914</v>
      </c>
      <c r="L25" s="49">
        <v>100</v>
      </c>
      <c r="M25" s="48">
        <f>$B111+$B110*COS(RADIANS(L25))+$B109*SIN(RADIANS(L25))</f>
        <v>-6.4554301336458043E-4</v>
      </c>
      <c r="N25" s="48">
        <f>$B137+$B136*COS(RADIANS(L25))+$B135*SIN(RADIANS(L25))</f>
        <v>2.909479905488929E-3</v>
      </c>
      <c r="T25" s="28"/>
      <c r="U25" s="28"/>
      <c r="V25" s="28"/>
      <c r="W25" s="28"/>
      <c r="Z25" s="45"/>
      <c r="AA25" s="45" t="str">
        <f t="shared" si="6"/>
        <v/>
      </c>
    </row>
    <row r="26" spans="1:27" x14ac:dyDescent="0.25">
      <c r="A26" s="46">
        <v>210</v>
      </c>
      <c r="B26" s="47">
        <v>-3.4743750000000018E-3</v>
      </c>
      <c r="C26" s="47">
        <v>-2.9800150000000025E-3</v>
      </c>
      <c r="E26" s="46">
        <f t="shared" si="0"/>
        <v>210</v>
      </c>
      <c r="F26" s="47">
        <f t="shared" si="1"/>
        <v>3.6651914291880923</v>
      </c>
      <c r="G26" s="47">
        <f t="shared" si="2"/>
        <v>-0.8660254037844386</v>
      </c>
      <c r="H26" s="47">
        <f t="shared" si="3"/>
        <v>-0.50000000000000011</v>
      </c>
      <c r="I26" s="47">
        <f t="shared" si="4"/>
        <v>0.49999999999999972</v>
      </c>
      <c r="J26" s="47">
        <f t="shared" si="5"/>
        <v>0.86602540378443882</v>
      </c>
      <c r="L26" s="49">
        <v>105</v>
      </c>
      <c r="M26" s="48">
        <f>$B111+$B110*COS(RADIANS(L26))+$B109*SIN(RADIANS(L26))</f>
        <v>-8.6569004459060629E-4</v>
      </c>
      <c r="N26" s="48">
        <f>$B137+$B136*COS(RADIANS(L26))+$B135*SIN(RADIANS(L26))</f>
        <v>2.8894391611173353E-3</v>
      </c>
      <c r="T26" s="28"/>
      <c r="U26" s="28"/>
      <c r="V26" s="28"/>
      <c r="W26" s="28"/>
      <c r="Z26" s="45"/>
      <c r="AA26" s="45" t="str">
        <f t="shared" si="6"/>
        <v/>
      </c>
    </row>
    <row r="27" spans="1:27" x14ac:dyDescent="0.25">
      <c r="A27" s="46">
        <v>220</v>
      </c>
      <c r="B27" s="47">
        <v>-3.0041749999999839E-3</v>
      </c>
      <c r="C27" s="47">
        <v>-4.8792500000000016E-4</v>
      </c>
      <c r="E27" s="46">
        <f t="shared" si="0"/>
        <v>220</v>
      </c>
      <c r="F27" s="47">
        <f t="shared" si="1"/>
        <v>3.839724354387525</v>
      </c>
      <c r="G27" s="47">
        <f t="shared" si="2"/>
        <v>-0.76604444311897801</v>
      </c>
      <c r="H27" s="47">
        <f t="shared" si="3"/>
        <v>-0.64278760968653925</v>
      </c>
      <c r="I27" s="47">
        <f t="shared" si="4"/>
        <v>0.17364817766693044</v>
      </c>
      <c r="J27" s="47">
        <f t="shared" si="5"/>
        <v>0.98480775301220802</v>
      </c>
      <c r="L27" s="49">
        <v>110</v>
      </c>
      <c r="M27" s="48">
        <f>$B111+$B110*COS(RADIANS(L27))+$B109*SIN(RADIANS(L27))</f>
        <v>-1.0804031318350186E-3</v>
      </c>
      <c r="N27" s="48">
        <f>$B137+$B136*COS(RADIANS(L27))+$B135*SIN(RADIANS(L27))</f>
        <v>2.8472722362126645E-3</v>
      </c>
      <c r="T27" s="28"/>
      <c r="U27" s="28"/>
      <c r="V27" s="28"/>
      <c r="W27" s="28"/>
      <c r="Z27" s="45"/>
      <c r="AA27" s="45" t="str">
        <f t="shared" si="6"/>
        <v/>
      </c>
    </row>
    <row r="28" spans="1:27" x14ac:dyDescent="0.25">
      <c r="A28" s="46">
        <v>230</v>
      </c>
      <c r="B28" s="47">
        <v>-2.6816000000000062E-3</v>
      </c>
      <c r="C28" s="47">
        <v>-1.1929000000000245E-3</v>
      </c>
      <c r="E28" s="46">
        <f t="shared" si="0"/>
        <v>230</v>
      </c>
      <c r="F28" s="47">
        <f t="shared" si="1"/>
        <v>4.0142572795869578</v>
      </c>
      <c r="G28" s="47">
        <f t="shared" si="2"/>
        <v>-0.64278760968653947</v>
      </c>
      <c r="H28" s="47">
        <f t="shared" si="3"/>
        <v>-0.7660444431189779</v>
      </c>
      <c r="I28" s="47">
        <f t="shared" si="4"/>
        <v>-0.17364817766692986</v>
      </c>
      <c r="J28" s="47">
        <f t="shared" si="5"/>
        <v>0.98480775301220813</v>
      </c>
      <c r="L28" s="49">
        <v>115</v>
      </c>
      <c r="M28" s="48">
        <f>$B111+$B110*COS(RADIANS(L28))+$B109*SIN(RADIANS(L28))</f>
        <v>-1.2880481788565814E-3</v>
      </c>
      <c r="N28" s="48">
        <f>$B137+$B136*COS(RADIANS(L28))+$B135*SIN(RADIANS(L28))</f>
        <v>2.7833000465345261E-3</v>
      </c>
      <c r="T28" s="28"/>
      <c r="U28" s="28"/>
      <c r="V28" s="28"/>
      <c r="W28" s="28"/>
      <c r="Z28" s="45"/>
      <c r="AA28" s="45" t="str">
        <f t="shared" si="6"/>
        <v/>
      </c>
    </row>
    <row r="29" spans="1:27" x14ac:dyDescent="0.25">
      <c r="A29" s="46">
        <v>240</v>
      </c>
      <c r="B29" s="47">
        <v>-2.0755699999999988E-3</v>
      </c>
      <c r="C29" s="47">
        <v>-8.9034999999998421E-4</v>
      </c>
      <c r="E29" s="46">
        <f t="shared" si="0"/>
        <v>240</v>
      </c>
      <c r="F29" s="47">
        <f t="shared" si="1"/>
        <v>4.1887902047863905</v>
      </c>
      <c r="G29" s="47">
        <f t="shared" si="2"/>
        <v>-0.50000000000000044</v>
      </c>
      <c r="H29" s="47">
        <f t="shared" si="3"/>
        <v>-0.86602540378443837</v>
      </c>
      <c r="I29" s="47">
        <f t="shared" si="4"/>
        <v>-0.49999999999999922</v>
      </c>
      <c r="J29" s="47">
        <f t="shared" si="5"/>
        <v>0.86602540378443915</v>
      </c>
      <c r="L29" s="49">
        <v>120</v>
      </c>
      <c r="M29" s="48">
        <f>$B111+$B110*COS(RADIANS(L29))+$B109*SIN(RADIANS(L29))</f>
        <v>-1.4870448814679532E-3</v>
      </c>
      <c r="N29" s="48">
        <f>$B137+$B136*COS(RADIANS(L29))+$B135*SIN(RADIANS(L29))</f>
        <v>2.6980094590738344E-3</v>
      </c>
      <c r="T29" s="28"/>
      <c r="U29" s="28"/>
      <c r="V29" s="28"/>
      <c r="W29" s="28"/>
      <c r="Z29" s="45"/>
      <c r="AA29" s="45" t="str">
        <f t="shared" si="6"/>
        <v/>
      </c>
    </row>
    <row r="30" spans="1:27" x14ac:dyDescent="0.25">
      <c r="A30" s="46">
        <v>250</v>
      </c>
      <c r="B30" s="47">
        <v>-3.4389999999995258E-5</v>
      </c>
      <c r="C30" s="47">
        <v>-8.8441500000002726E-4</v>
      </c>
      <c r="E30" s="46">
        <f t="shared" si="0"/>
        <v>250</v>
      </c>
      <c r="F30" s="47">
        <f t="shared" si="1"/>
        <v>4.3633231299858242</v>
      </c>
      <c r="G30" s="47">
        <f t="shared" si="2"/>
        <v>-0.34202014332566855</v>
      </c>
      <c r="H30" s="47">
        <f t="shared" si="3"/>
        <v>-0.93969262078590843</v>
      </c>
      <c r="I30" s="47">
        <f t="shared" si="4"/>
        <v>-0.76604444311897835</v>
      </c>
      <c r="J30" s="47">
        <f t="shared" si="5"/>
        <v>0.64278760968653903</v>
      </c>
      <c r="L30" s="49">
        <v>125</v>
      </c>
      <c r="M30" s="48">
        <f>$B111+$B110*COS(RADIANS(L30))+$B109*SIN(RADIANS(L30))</f>
        <v>-1.6758787546047682E-3</v>
      </c>
      <c r="N30" s="48">
        <f>$B137+$B136*COS(RADIANS(L30))+$B135*SIN(RADIANS(L30))</f>
        <v>2.592049586701031E-3</v>
      </c>
      <c r="T30" s="28"/>
      <c r="U30" s="28"/>
      <c r="V30" s="28"/>
      <c r="W30" s="28"/>
      <c r="Z30" s="45"/>
      <c r="AA30" s="45" t="str">
        <f t="shared" si="6"/>
        <v/>
      </c>
    </row>
    <row r="31" spans="1:27" x14ac:dyDescent="0.25">
      <c r="A31" s="46">
        <v>260</v>
      </c>
      <c r="B31" s="47">
        <v>7.3568499999999981E-4</v>
      </c>
      <c r="C31" s="47">
        <v>-2.7678349999999963E-3</v>
      </c>
      <c r="E31" s="46">
        <f t="shared" si="0"/>
        <v>260</v>
      </c>
      <c r="F31" s="47">
        <f t="shared" si="1"/>
        <v>4.5378560551852569</v>
      </c>
      <c r="G31" s="47">
        <f t="shared" si="2"/>
        <v>-0.17364817766693033</v>
      </c>
      <c r="H31" s="47">
        <f t="shared" si="3"/>
        <v>-0.98480775301220802</v>
      </c>
      <c r="I31" s="47">
        <f t="shared" si="4"/>
        <v>-0.93969262078590843</v>
      </c>
      <c r="J31" s="47">
        <f t="shared" si="5"/>
        <v>0.34202014332566871</v>
      </c>
      <c r="L31" s="49">
        <v>130</v>
      </c>
      <c r="M31" s="48">
        <f>$B111+$B110*COS(RADIANS(L31))+$B109*SIN(RADIANS(L31))</f>
        <v>-1.8531126584714432E-3</v>
      </c>
      <c r="N31" s="48">
        <f>$B137+$B136*COS(RADIANS(L31))+$B135*SIN(RADIANS(L31))</f>
        <v>2.4662268480251932E-3</v>
      </c>
      <c r="T31" s="28"/>
      <c r="U31" s="28"/>
      <c r="V31" s="28"/>
      <c r="W31" s="28"/>
      <c r="Z31" s="45"/>
      <c r="AA31" s="45" t="str">
        <f t="shared" si="6"/>
        <v/>
      </c>
    </row>
    <row r="32" spans="1:27" x14ac:dyDescent="0.25">
      <c r="A32" s="46">
        <v>270</v>
      </c>
      <c r="B32" s="47">
        <v>9.8489000000000215E-4</v>
      </c>
      <c r="C32" s="47">
        <v>-3.645300000000018E-3</v>
      </c>
      <c r="E32" s="46">
        <f t="shared" si="0"/>
        <v>270</v>
      </c>
      <c r="F32" s="47">
        <f t="shared" si="1"/>
        <v>4.7123889803846897</v>
      </c>
      <c r="G32" s="47">
        <f t="shared" si="2"/>
        <v>-1.83772268236293E-16</v>
      </c>
      <c r="H32" s="47">
        <f t="shared" si="3"/>
        <v>-1</v>
      </c>
      <c r="I32" s="47">
        <f t="shared" si="4"/>
        <v>-1</v>
      </c>
      <c r="J32" s="47">
        <f t="shared" si="5"/>
        <v>3.67544536472586E-16</v>
      </c>
      <c r="L32" s="49">
        <v>135</v>
      </c>
      <c r="M32" s="48">
        <f>$B111+$B110*COS(RADIANS(L32))+$B109*SIN(RADIANS(L32))</f>
        <v>-2.0173977360427968E-3</v>
      </c>
      <c r="N32" s="48">
        <f>$B137+$B136*COS(RADIANS(L32))+$B135*SIN(RADIANS(L32))</f>
        <v>2.3214988300614909E-3</v>
      </c>
      <c r="T32" s="28"/>
      <c r="U32" s="28"/>
      <c r="V32" s="28"/>
      <c r="W32" s="28"/>
      <c r="Z32" s="45"/>
      <c r="AA32" s="45" t="str">
        <f t="shared" si="6"/>
        <v/>
      </c>
    </row>
    <row r="33" spans="1:27" x14ac:dyDescent="0.25">
      <c r="A33" s="46">
        <v>280</v>
      </c>
      <c r="B33" s="47">
        <v>-4.2856500000000575E-4</v>
      </c>
      <c r="C33" s="47">
        <v>-2.7714749999999955E-3</v>
      </c>
      <c r="E33" s="46">
        <f t="shared" si="0"/>
        <v>280</v>
      </c>
      <c r="F33" s="47">
        <f t="shared" si="1"/>
        <v>4.8869219055841224</v>
      </c>
      <c r="G33" s="47">
        <f t="shared" si="2"/>
        <v>0.17364817766692997</v>
      </c>
      <c r="H33" s="47">
        <f t="shared" si="3"/>
        <v>-0.98480775301220813</v>
      </c>
      <c r="I33" s="47">
        <f t="shared" si="4"/>
        <v>-0.93969262078590865</v>
      </c>
      <c r="J33" s="47">
        <f t="shared" si="5"/>
        <v>-0.34202014332566799</v>
      </c>
      <c r="L33" s="49">
        <v>140</v>
      </c>
      <c r="M33" s="48">
        <f>$B111+$B110*COS(RADIANS(L33))+$B109*SIN(RADIANS(L33))</f>
        <v>-2.1674836786804686E-3</v>
      </c>
      <c r="N33" s="48">
        <f>$B137+$B136*COS(RADIANS(L33))+$B135*SIN(RADIANS(L33))</f>
        <v>2.1589670004157936E-3</v>
      </c>
      <c r="T33" s="28"/>
      <c r="U33" s="28"/>
      <c r="V33" s="28"/>
      <c r="W33" s="28"/>
      <c r="Z33" s="45"/>
      <c r="AA33" s="45" t="str">
        <f t="shared" si="6"/>
        <v/>
      </c>
    </row>
    <row r="34" spans="1:27" x14ac:dyDescent="0.25">
      <c r="A34" s="46">
        <v>290</v>
      </c>
      <c r="B34" s="47">
        <v>-4.6709999999991481E-5</v>
      </c>
      <c r="C34" s="47">
        <v>-5.0803650000000034E-3</v>
      </c>
      <c r="E34" s="46">
        <f t="shared" si="0"/>
        <v>290</v>
      </c>
      <c r="F34" s="47">
        <f t="shared" si="1"/>
        <v>5.0614548307835561</v>
      </c>
      <c r="G34" s="47">
        <f t="shared" si="2"/>
        <v>0.34202014332566899</v>
      </c>
      <c r="H34" s="47">
        <f t="shared" si="3"/>
        <v>-0.93969262078590832</v>
      </c>
      <c r="I34" s="47">
        <f t="shared" si="4"/>
        <v>-0.76604444311897768</v>
      </c>
      <c r="J34" s="47">
        <f t="shared" si="5"/>
        <v>-0.64278760968653981</v>
      </c>
      <c r="L34" s="49">
        <v>145</v>
      </c>
      <c r="M34" s="48">
        <f>$B111+$B110*COS(RADIANS(L34))+$B109*SIN(RADIANS(L34))</f>
        <v>-2.3022282417366172E-3</v>
      </c>
      <c r="N34" s="48">
        <f>$B137+$B136*COS(RADIANS(L34))+$B135*SIN(RADIANS(L34))</f>
        <v>1.9798683244511071E-3</v>
      </c>
      <c r="T34" s="28"/>
      <c r="U34" s="28"/>
      <c r="V34" s="28"/>
      <c r="W34" s="28"/>
      <c r="Z34" s="45"/>
      <c r="AA34" s="45" t="str">
        <f t="shared" si="6"/>
        <v/>
      </c>
    </row>
    <row r="35" spans="1:27" x14ac:dyDescent="0.25">
      <c r="A35" s="46">
        <v>300</v>
      </c>
      <c r="B35" s="47">
        <v>1.271590000000003E-3</v>
      </c>
      <c r="C35" s="47">
        <v>-3.8898499999999725E-3</v>
      </c>
      <c r="E35" s="46">
        <f t="shared" si="0"/>
        <v>300</v>
      </c>
      <c r="F35" s="47">
        <f t="shared" si="1"/>
        <v>5.2359877559829888</v>
      </c>
      <c r="G35" s="47">
        <f t="shared" si="2"/>
        <v>0.50000000000000011</v>
      </c>
      <c r="H35" s="47">
        <f t="shared" si="3"/>
        <v>-0.8660254037844386</v>
      </c>
      <c r="I35" s="47">
        <f t="shared" si="4"/>
        <v>-0.49999999999999983</v>
      </c>
      <c r="J35" s="47">
        <f t="shared" si="5"/>
        <v>-0.86602540378443871</v>
      </c>
      <c r="L35" s="49">
        <v>150</v>
      </c>
      <c r="M35" s="48">
        <f>$B111+$B110*COS(RADIANS(L35))+$B109*SIN(RADIANS(L35))</f>
        <v>-2.4206059377253914E-3</v>
      </c>
      <c r="N35" s="48">
        <f>$B137+$B136*COS(RADIANS(L35))+$B135*SIN(RADIANS(L35))</f>
        <v>1.7855658512342611E-3</v>
      </c>
      <c r="T35" s="28"/>
      <c r="U35" s="28"/>
      <c r="V35" s="28"/>
      <c r="W35" s="28"/>
      <c r="Z35" s="45"/>
      <c r="AA35" s="45" t="str">
        <f t="shared" si="6"/>
        <v/>
      </c>
    </row>
    <row r="36" spans="1:27" x14ac:dyDescent="0.25">
      <c r="A36" s="46">
        <v>310</v>
      </c>
      <c r="B36" s="47">
        <v>8.7713000000000374E-4</v>
      </c>
      <c r="C36" s="47">
        <v>-1.8264149999999979E-3</v>
      </c>
      <c r="E36" s="46">
        <f t="shared" si="0"/>
        <v>310</v>
      </c>
      <c r="F36" s="47">
        <f t="shared" si="1"/>
        <v>5.4105206811824216</v>
      </c>
      <c r="G36" s="47">
        <f t="shared" si="2"/>
        <v>0.64278760968653925</v>
      </c>
      <c r="H36" s="47">
        <f t="shared" si="3"/>
        <v>-0.76604444311897812</v>
      </c>
      <c r="I36" s="47">
        <f t="shared" si="4"/>
        <v>-0.17364817766693058</v>
      </c>
      <c r="J36" s="47">
        <f t="shared" si="5"/>
        <v>-0.98480775301220802</v>
      </c>
      <c r="L36" s="49">
        <v>155</v>
      </c>
      <c r="M36" s="48">
        <f>$B111+$B110*COS(RADIANS(L36))+$B109*SIN(RADIANS(L36))</f>
        <v>-2.5217158409019114E-3</v>
      </c>
      <c r="N36" s="48">
        <f>$B137+$B136*COS(RADIANS(L36))+$B135*SIN(RADIANS(L36))</f>
        <v>1.5775383399094763E-3</v>
      </c>
      <c r="T36" s="28"/>
      <c r="U36" s="28"/>
      <c r="V36" s="28"/>
      <c r="W36" s="28"/>
      <c r="Z36" s="45"/>
      <c r="AA36" s="45" t="str">
        <f t="shared" si="6"/>
        <v/>
      </c>
    </row>
    <row r="37" spans="1:27" x14ac:dyDescent="0.25">
      <c r="A37" s="46">
        <v>320</v>
      </c>
      <c r="B37" s="47">
        <v>3.1200350000000071E-3</v>
      </c>
      <c r="C37" s="47">
        <v>-1.0924750000000094E-3</v>
      </c>
      <c r="E37" s="46">
        <f t="shared" ref="E37:E68" si="7">IF(A37="","",A37)</f>
        <v>320</v>
      </c>
      <c r="F37" s="47">
        <f t="shared" ref="F37:F68" si="8">IF(E37="","",RADIANS(E37))</f>
        <v>5.5850536063818543</v>
      </c>
      <c r="G37" s="47">
        <f t="shared" ref="G37:G68" si="9">IF(E37="","",COS(F37))</f>
        <v>0.76604444311897779</v>
      </c>
      <c r="H37" s="47">
        <f t="shared" ref="H37:H68" si="10">IF(E37="","",SIN(F37))</f>
        <v>-0.64278760968653958</v>
      </c>
      <c r="I37" s="47">
        <f t="shared" ref="I37:I68" si="11">IF(E37="","",COS(2*F37))</f>
        <v>0.17364817766692972</v>
      </c>
      <c r="J37" s="47">
        <f t="shared" ref="J37:J68" si="12">IF(E37="","",SIN(2*F37))</f>
        <v>-0.98480775301220813</v>
      </c>
      <c r="L37" s="49">
        <v>160</v>
      </c>
      <c r="M37" s="48">
        <f>$B111+$B110*COS(RADIANS(L37))+$B109*SIN(RADIANS(L37))</f>
        <v>-2.6047884438511739E-3</v>
      </c>
      <c r="N37" s="48">
        <f>$B137+$B136*COS(RADIANS(L37))+$B135*SIN(RADIANS(L37))</f>
        <v>1.3573690054483798E-3</v>
      </c>
      <c r="T37" s="28"/>
      <c r="U37" s="28"/>
      <c r="V37" s="28"/>
      <c r="W37" s="28"/>
      <c r="Z37" s="45"/>
      <c r="AA37" s="45" t="str">
        <f t="shared" si="6"/>
        <v/>
      </c>
    </row>
    <row r="38" spans="1:27" x14ac:dyDescent="0.25">
      <c r="A38" s="46">
        <v>330</v>
      </c>
      <c r="B38" s="47">
        <v>2.7027650000000097E-3</v>
      </c>
      <c r="C38" s="47">
        <v>-6.8469000000001556E-4</v>
      </c>
      <c r="E38" s="46">
        <f t="shared" si="7"/>
        <v>330</v>
      </c>
      <c r="F38" s="47">
        <f t="shared" si="8"/>
        <v>5.7595865315812871</v>
      </c>
      <c r="G38" s="47">
        <f t="shared" si="9"/>
        <v>0.86602540378443837</v>
      </c>
      <c r="H38" s="47">
        <f t="shared" si="10"/>
        <v>-0.50000000000000044</v>
      </c>
      <c r="I38" s="47">
        <f t="shared" si="11"/>
        <v>0.49999999999999911</v>
      </c>
      <c r="J38" s="47">
        <f t="shared" si="12"/>
        <v>-0.86602540378443915</v>
      </c>
      <c r="L38" s="49">
        <v>165</v>
      </c>
      <c r="M38" s="48">
        <f>$B111+$B110*COS(RADIANS(L38))+$B109*SIN(RADIANS(L38))</f>
        <v>-2.6691915139041272E-3</v>
      </c>
      <c r="N38" s="48">
        <f>$B137+$B136*COS(RADIANS(L38))+$B135*SIN(RADIANS(L38))</f>
        <v>1.1267334694280992E-3</v>
      </c>
      <c r="T38" s="28"/>
      <c r="U38" s="28"/>
      <c r="V38" s="28"/>
      <c r="W38" s="28"/>
      <c r="Z38" s="45"/>
      <c r="AA38" s="45" t="str">
        <f t="shared" si="6"/>
        <v/>
      </c>
    </row>
    <row r="39" spans="1:27" x14ac:dyDescent="0.25">
      <c r="A39" s="46">
        <v>340</v>
      </c>
      <c r="B39" s="47">
        <v>1.5303300000000103E-3</v>
      </c>
      <c r="C39" s="47">
        <v>-3.734849999999984E-3</v>
      </c>
      <c r="E39" s="46">
        <f t="shared" si="7"/>
        <v>340</v>
      </c>
      <c r="F39" s="47">
        <f t="shared" si="8"/>
        <v>5.9341194567807207</v>
      </c>
      <c r="G39" s="47">
        <f t="shared" si="9"/>
        <v>0.93969262078590843</v>
      </c>
      <c r="H39" s="47">
        <f t="shared" si="10"/>
        <v>-0.3420201433256686</v>
      </c>
      <c r="I39" s="47">
        <f t="shared" si="11"/>
        <v>0.76604444311897824</v>
      </c>
      <c r="J39" s="47">
        <f t="shared" si="12"/>
        <v>-0.64278760968653903</v>
      </c>
      <c r="L39" s="49">
        <v>170</v>
      </c>
      <c r="M39" s="48">
        <f>$B111+$B110*COS(RADIANS(L39))+$B109*SIN(RADIANS(L39))</f>
        <v>-2.7144349048100311E-3</v>
      </c>
      <c r="N39" s="48">
        <f>$B137+$B136*COS(RADIANS(L39))+$B135*SIN(RADIANS(L39))</f>
        <v>8.8738700753929244E-4</v>
      </c>
      <c r="T39" s="28"/>
      <c r="U39" s="28"/>
      <c r="V39" s="28"/>
      <c r="W39" s="28"/>
      <c r="Z39" s="45"/>
      <c r="AA39" s="45" t="str">
        <f t="shared" si="6"/>
        <v/>
      </c>
    </row>
    <row r="40" spans="1:27" x14ac:dyDescent="0.25">
      <c r="A40" s="46">
        <v>350</v>
      </c>
      <c r="B40" s="47">
        <v>2.5120500000000434E-4</v>
      </c>
      <c r="C40" s="47">
        <v>-5.1814499999999764E-4</v>
      </c>
      <c r="E40" s="46">
        <f t="shared" si="7"/>
        <v>350</v>
      </c>
      <c r="F40" s="47">
        <f t="shared" si="8"/>
        <v>6.1086523819801535</v>
      </c>
      <c r="G40" s="47">
        <f t="shared" si="9"/>
        <v>0.98480775301220802</v>
      </c>
      <c r="H40" s="47">
        <f t="shared" si="10"/>
        <v>-0.17364817766693039</v>
      </c>
      <c r="I40" s="47">
        <f t="shared" si="11"/>
        <v>0.93969262078590832</v>
      </c>
      <c r="J40" s="47">
        <f t="shared" si="12"/>
        <v>-0.34202014332566882</v>
      </c>
      <c r="L40" s="49">
        <v>175</v>
      </c>
      <c r="M40" s="48">
        <f>$B111+$B110*COS(RADIANS(L40))+$B109*SIN(RADIANS(L40))</f>
        <v>-2.7401742870453846E-3</v>
      </c>
      <c r="N40" s="48">
        <f>$B137+$B136*COS(RADIANS(L40))+$B135*SIN(RADIANS(L40))</f>
        <v>6.4115119087828026E-4</v>
      </c>
      <c r="T40" s="28"/>
      <c r="U40" s="28"/>
      <c r="V40" s="28"/>
      <c r="W40" s="28"/>
      <c r="Z40" s="45"/>
      <c r="AA40" s="45" t="str">
        <f t="shared" si="6"/>
        <v/>
      </c>
    </row>
    <row r="41" spans="1:27" x14ac:dyDescent="0.25">
      <c r="A41" s="46"/>
      <c r="B41" s="47"/>
      <c r="C41" s="47"/>
      <c r="E41" s="46" t="str">
        <f t="shared" si="7"/>
        <v/>
      </c>
      <c r="F41" s="46" t="str">
        <f t="shared" si="8"/>
        <v/>
      </c>
      <c r="G41" s="46" t="str">
        <f t="shared" si="9"/>
        <v/>
      </c>
      <c r="H41" s="46" t="str">
        <f t="shared" si="10"/>
        <v/>
      </c>
      <c r="I41" s="46" t="str">
        <f t="shared" si="11"/>
        <v/>
      </c>
      <c r="J41" s="46" t="str">
        <f t="shared" si="12"/>
        <v/>
      </c>
      <c r="L41" s="49">
        <v>180</v>
      </c>
      <c r="M41" s="48">
        <f>$B111+$B110*COS(RADIANS(L41))+$B109*SIN(RADIANS(L41))</f>
        <v>-2.7462137683695125E-3</v>
      </c>
      <c r="N41" s="48">
        <f>$B137+$B136*COS(RADIANS(L41))+$B135*SIN(RADIANS(L41))</f>
        <v>3.8990002269110322E-4</v>
      </c>
      <c r="T41" s="28"/>
      <c r="U41" s="28"/>
      <c r="V41" s="28"/>
      <c r="W41" s="28"/>
      <c r="Z41" s="45"/>
      <c r="AA41" s="45" t="str">
        <f t="shared" si="6"/>
        <v/>
      </c>
    </row>
    <row r="42" spans="1:27" x14ac:dyDescent="0.25">
      <c r="A42" s="46"/>
      <c r="B42" s="47"/>
      <c r="C42" s="47"/>
      <c r="E42" s="46" t="str">
        <f t="shared" si="7"/>
        <v/>
      </c>
      <c r="F42" s="46" t="str">
        <f t="shared" si="8"/>
        <v/>
      </c>
      <c r="G42" s="46" t="str">
        <f t="shared" si="9"/>
        <v/>
      </c>
      <c r="H42" s="46" t="str">
        <f t="shared" si="10"/>
        <v/>
      </c>
      <c r="I42" s="46" t="str">
        <f t="shared" si="11"/>
        <v/>
      </c>
      <c r="J42" s="46" t="str">
        <f t="shared" si="12"/>
        <v/>
      </c>
      <c r="L42" s="49">
        <v>185</v>
      </c>
      <c r="M42" s="48">
        <f>$B111+$B110*COS(RADIANS(L42))+$B109*SIN(RADIANS(L42))</f>
        <v>-2.7325073846828007E-3</v>
      </c>
      <c r="N42" s="48">
        <f>$B137+$B136*COS(RADIANS(L42))+$B135*SIN(RADIANS(L42))</f>
        <v>1.3554567607726881E-4</v>
      </c>
      <c r="T42" s="28"/>
      <c r="U42" s="28"/>
      <c r="V42" s="28"/>
      <c r="W42" s="28"/>
      <c r="Z42" s="45"/>
      <c r="AA42" s="45" t="str">
        <f t="shared" si="6"/>
        <v/>
      </c>
    </row>
    <row r="43" spans="1:27" x14ac:dyDescent="0.25">
      <c r="A43" s="46"/>
      <c r="B43" s="47"/>
      <c r="C43" s="47"/>
      <c r="E43" s="46" t="str">
        <f t="shared" si="7"/>
        <v/>
      </c>
      <c r="F43" s="46" t="str">
        <f t="shared" si="8"/>
        <v/>
      </c>
      <c r="G43" s="46" t="str">
        <f t="shared" si="9"/>
        <v/>
      </c>
      <c r="H43" s="46" t="str">
        <f t="shared" si="10"/>
        <v/>
      </c>
      <c r="I43" s="46" t="str">
        <f t="shared" si="11"/>
        <v/>
      </c>
      <c r="J43" s="46" t="str">
        <f t="shared" si="12"/>
        <v/>
      </c>
      <c r="L43" s="49">
        <v>190</v>
      </c>
      <c r="M43" s="48">
        <f>$B111+$B110*COS(RADIANS(L43))+$B109*SIN(RADIANS(L43))</f>
        <v>-2.699159449841245E-3</v>
      </c>
      <c r="N43" s="48">
        <f>$B137+$B136*COS(RADIANS(L43))+$B135*SIN(RADIANS(L43))</f>
        <v>-1.1997605880213936E-4</v>
      </c>
      <c r="T43" s="28"/>
      <c r="U43" s="28"/>
      <c r="V43" s="28"/>
      <c r="W43" s="28"/>
      <c r="Z43" s="45"/>
      <c r="AA43" s="45" t="str">
        <f t="shared" si="6"/>
        <v/>
      </c>
    </row>
    <row r="44" spans="1:27" x14ac:dyDescent="0.25">
      <c r="A44" s="46"/>
      <c r="B44" s="47"/>
      <c r="C44" s="47"/>
      <c r="E44" s="46" t="str">
        <f t="shared" si="7"/>
        <v/>
      </c>
      <c r="F44" s="46" t="str">
        <f t="shared" si="8"/>
        <v/>
      </c>
      <c r="G44" s="46" t="str">
        <f t="shared" si="9"/>
        <v/>
      </c>
      <c r="H44" s="46" t="str">
        <f t="shared" si="10"/>
        <v/>
      </c>
      <c r="I44" s="46" t="str">
        <f t="shared" si="11"/>
        <v/>
      </c>
      <c r="J44" s="46" t="str">
        <f t="shared" si="12"/>
        <v/>
      </c>
      <c r="L44" s="49">
        <v>195</v>
      </c>
      <c r="M44" s="48">
        <f>$B111+$B110*COS(RADIANS(L44))+$B109*SIN(RADIANS(L44))</f>
        <v>-2.6464237617650241E-3</v>
      </c>
      <c r="N44" s="48">
        <f>$B137+$B136*COS(RADIANS(L44))+$B135*SIN(RADIANS(L44))</f>
        <v>-3.7472050725644436E-4</v>
      </c>
      <c r="T44" s="28"/>
      <c r="U44" s="28"/>
      <c r="V44" s="28"/>
      <c r="W44" s="28"/>
      <c r="Z44" s="45"/>
      <c r="AA44" s="45" t="str">
        <f t="shared" si="6"/>
        <v/>
      </c>
    </row>
    <row r="45" spans="1:27" x14ac:dyDescent="0.25">
      <c r="A45" s="46"/>
      <c r="B45" s="47"/>
      <c r="C45" s="47"/>
      <c r="E45" s="46" t="str">
        <f t="shared" si="7"/>
        <v/>
      </c>
      <c r="F45" s="46" t="str">
        <f t="shared" si="8"/>
        <v/>
      </c>
      <c r="G45" s="46" t="str">
        <f t="shared" si="9"/>
        <v/>
      </c>
      <c r="H45" s="46" t="str">
        <f t="shared" si="10"/>
        <v/>
      </c>
      <c r="I45" s="46" t="str">
        <f t="shared" si="11"/>
        <v/>
      </c>
      <c r="J45" s="46" t="str">
        <f t="shared" si="12"/>
        <v/>
      </c>
      <c r="L45" s="49">
        <v>200</v>
      </c>
      <c r="M45" s="48">
        <f>$B111+$B110*COS(RADIANS(L45))+$B109*SIN(RADIANS(L45))</f>
        <v>-2.5747016708830765E-3</v>
      </c>
      <c r="N45" s="48">
        <f>$B137+$B136*COS(RADIANS(L45))+$B135*SIN(RADIANS(L45))</f>
        <v>-6.267489102140067E-4</v>
      </c>
      <c r="T45" s="28"/>
      <c r="U45" s="28"/>
      <c r="V45" s="28"/>
      <c r="W45" s="28"/>
      <c r="Z45" s="45"/>
      <c r="AA45" s="45" t="str">
        <f t="shared" si="6"/>
        <v/>
      </c>
    </row>
    <row r="46" spans="1:27" x14ac:dyDescent="0.25">
      <c r="A46" s="46"/>
      <c r="B46" s="47"/>
      <c r="C46" s="47"/>
      <c r="E46" s="46" t="str">
        <f t="shared" si="7"/>
        <v/>
      </c>
      <c r="F46" s="46" t="str">
        <f t="shared" si="8"/>
        <v/>
      </c>
      <c r="G46" s="46" t="str">
        <f t="shared" si="9"/>
        <v/>
      </c>
      <c r="H46" s="46" t="str">
        <f t="shared" si="10"/>
        <v/>
      </c>
      <c r="I46" s="46" t="str">
        <f t="shared" si="11"/>
        <v/>
      </c>
      <c r="J46" s="46" t="str">
        <f t="shared" si="12"/>
        <v/>
      </c>
      <c r="L46" s="49">
        <v>205</v>
      </c>
      <c r="M46" s="48">
        <f>$B111+$B110*COS(RADIANS(L46))+$B109*SIN(RADIANS(L46))</f>
        <v>-2.4845390256139966E-3</v>
      </c>
      <c r="N46" s="48">
        <f>$B137+$B136*COS(RADIANS(L46))+$B135*SIN(RADIANS(L46))</f>
        <v>-8.741431793494091E-4</v>
      </c>
      <c r="T46" s="28"/>
      <c r="U46" s="28"/>
      <c r="V46" s="28"/>
      <c r="W46" s="28"/>
      <c r="Z46" s="45"/>
      <c r="AA46" s="45" t="str">
        <f t="shared" si="6"/>
        <v/>
      </c>
    </row>
    <row r="47" spans="1:27" x14ac:dyDescent="0.25">
      <c r="A47" s="46"/>
      <c r="B47" s="47"/>
      <c r="C47" s="47"/>
      <c r="E47" s="46" t="str">
        <f t="shared" si="7"/>
        <v/>
      </c>
      <c r="F47" s="46" t="str">
        <f t="shared" si="8"/>
        <v/>
      </c>
      <c r="G47" s="46" t="str">
        <f t="shared" si="9"/>
        <v/>
      </c>
      <c r="H47" s="46" t="str">
        <f t="shared" si="10"/>
        <v/>
      </c>
      <c r="I47" s="46" t="str">
        <f t="shared" si="11"/>
        <v/>
      </c>
      <c r="J47" s="46" t="str">
        <f t="shared" si="12"/>
        <v/>
      </c>
      <c r="L47" s="49">
        <v>210</v>
      </c>
      <c r="M47" s="48">
        <f>$B111+$B110*COS(RADIANS(L47))+$B109*SIN(RADIANS(L47))</f>
        <v>-2.3766220181299751E-3</v>
      </c>
      <c r="N47" s="48">
        <f>$B137+$B136*COS(RADIANS(L47))+$B135*SIN(RADIANS(L47))</f>
        <v>-1.115020494893788E-3</v>
      </c>
      <c r="T47" s="28"/>
      <c r="U47" s="28"/>
      <c r="V47" s="28"/>
      <c r="W47" s="28"/>
      <c r="Z47" s="45"/>
      <c r="AA47" s="45" t="str">
        <f t="shared" si="6"/>
        <v/>
      </c>
    </row>
    <row r="48" spans="1:27" x14ac:dyDescent="0.25">
      <c r="A48" s="46"/>
      <c r="B48" s="47"/>
      <c r="C48" s="47"/>
      <c r="E48" s="46" t="str">
        <f t="shared" si="7"/>
        <v/>
      </c>
      <c r="F48" s="46" t="str">
        <f t="shared" si="8"/>
        <v/>
      </c>
      <c r="G48" s="46" t="str">
        <f t="shared" si="9"/>
        <v/>
      </c>
      <c r="H48" s="46" t="str">
        <f t="shared" si="10"/>
        <v/>
      </c>
      <c r="I48" s="46" t="str">
        <f t="shared" si="11"/>
        <v/>
      </c>
      <c r="J48" s="46" t="str">
        <f t="shared" si="12"/>
        <v/>
      </c>
      <c r="L48" s="49">
        <v>215</v>
      </c>
      <c r="M48" s="48">
        <f>$B111+$B110*COS(RADIANS(L48))+$B109*SIN(RADIANS(L48))</f>
        <v>-2.2517719620200371E-3</v>
      </c>
      <c r="N48" s="48">
        <f>$B137+$B136*COS(RADIANS(L48))+$B135*SIN(RADIANS(L48))</f>
        <v>-1.3475476350301493E-3</v>
      </c>
      <c r="T48" s="28"/>
      <c r="U48" s="28"/>
      <c r="V48" s="28"/>
      <c r="W48" s="28"/>
      <c r="Z48" s="45"/>
      <c r="AA48" s="45" t="str">
        <f t="shared" si="6"/>
        <v/>
      </c>
    </row>
    <row r="49" spans="1:27" x14ac:dyDescent="0.25">
      <c r="A49" s="46"/>
      <c r="B49" s="47"/>
      <c r="C49" s="47"/>
      <c r="E49" s="46" t="str">
        <f t="shared" si="7"/>
        <v/>
      </c>
      <c r="F49" s="46" t="str">
        <f t="shared" si="8"/>
        <v/>
      </c>
      <c r="G49" s="46" t="str">
        <f t="shared" si="9"/>
        <v/>
      </c>
      <c r="H49" s="46" t="str">
        <f t="shared" si="10"/>
        <v/>
      </c>
      <c r="I49" s="46" t="str">
        <f t="shared" si="11"/>
        <v/>
      </c>
      <c r="J49" s="46" t="str">
        <f t="shared" si="12"/>
        <v/>
      </c>
      <c r="L49" s="49">
        <v>220</v>
      </c>
      <c r="M49" s="48">
        <f>$B111+$B110*COS(RADIANS(L49))+$B109*SIN(RADIANS(L49))</f>
        <v>-2.1109390415977036E-3</v>
      </c>
      <c r="N49" s="48">
        <f>$B137+$B136*COS(RADIANS(L49))+$B135*SIN(RADIANS(L49))</f>
        <v>-1.5699549278183297E-3</v>
      </c>
      <c r="T49" s="28"/>
      <c r="U49" s="28"/>
      <c r="V49" s="28"/>
      <c r="W49" s="28"/>
      <c r="Z49" s="45"/>
      <c r="AA49" s="45" t="str">
        <f t="shared" ref="AA49:AA80" si="13">IF(Q49="","",Q49-S49)</f>
        <v/>
      </c>
    </row>
    <row r="50" spans="1:27" x14ac:dyDescent="0.25">
      <c r="A50" s="46"/>
      <c r="B50" s="47"/>
      <c r="C50" s="47"/>
      <c r="E50" s="46" t="str">
        <f t="shared" si="7"/>
        <v/>
      </c>
      <c r="F50" s="46" t="str">
        <f t="shared" si="8"/>
        <v/>
      </c>
      <c r="G50" s="46" t="str">
        <f t="shared" si="9"/>
        <v/>
      </c>
      <c r="H50" s="46" t="str">
        <f t="shared" si="10"/>
        <v/>
      </c>
      <c r="I50" s="46" t="str">
        <f t="shared" si="11"/>
        <v/>
      </c>
      <c r="J50" s="46" t="str">
        <f t="shared" si="12"/>
        <v/>
      </c>
      <c r="L50" s="49">
        <v>225</v>
      </c>
      <c r="M50" s="48">
        <f>$B111+$B110*COS(RADIANS(L50))+$B109*SIN(RADIANS(L50))</f>
        <v>-1.9551950804246316E-3</v>
      </c>
      <c r="N50" s="48">
        <f>$B137+$B136*COS(RADIANS(L50))+$B135*SIN(RADIANS(L50))</f>
        <v>-1.7805497194670168E-3</v>
      </c>
      <c r="T50" s="28"/>
      <c r="U50" s="28"/>
      <c r="V50" s="28"/>
      <c r="W50" s="28"/>
      <c r="Z50" s="45"/>
      <c r="AA50" s="45" t="str">
        <f t="shared" si="13"/>
        <v/>
      </c>
    </row>
    <row r="51" spans="1:27" x14ac:dyDescent="0.25">
      <c r="A51" s="46"/>
      <c r="B51" s="47"/>
      <c r="C51" s="47"/>
      <c r="E51" s="46" t="str">
        <f t="shared" si="7"/>
        <v/>
      </c>
      <c r="F51" s="46" t="str">
        <f t="shared" si="8"/>
        <v/>
      </c>
      <c r="G51" s="46" t="str">
        <f t="shared" si="9"/>
        <v/>
      </c>
      <c r="H51" s="46" t="str">
        <f t="shared" si="10"/>
        <v/>
      </c>
      <c r="I51" s="46" t="str">
        <f t="shared" si="11"/>
        <v/>
      </c>
      <c r="J51" s="46" t="str">
        <f t="shared" si="12"/>
        <v/>
      </c>
      <c r="L51" s="49">
        <v>230</v>
      </c>
      <c r="M51" s="48">
        <f>$B111+$B110*COS(RADIANS(L51))+$B109*SIN(RADIANS(L51))</f>
        <v>-1.7857253840861222E-3</v>
      </c>
      <c r="N51" s="48">
        <f>$B137+$B136*COS(RADIANS(L51))+$B135*SIN(RADIANS(L51))</f>
        <v>-1.9777292564511517E-3</v>
      </c>
      <c r="T51" s="28"/>
      <c r="U51" s="28"/>
      <c r="V51" s="28"/>
      <c r="W51" s="28"/>
      <c r="Z51" s="45"/>
      <c r="AA51" s="45" t="str">
        <f t="shared" si="13"/>
        <v/>
      </c>
    </row>
    <row r="52" spans="1:27" x14ac:dyDescent="0.25">
      <c r="A52" s="46"/>
      <c r="B52" s="47"/>
      <c r="C52" s="47"/>
      <c r="E52" s="46" t="str">
        <f t="shared" si="7"/>
        <v/>
      </c>
      <c r="F52" s="46" t="str">
        <f t="shared" si="8"/>
        <v/>
      </c>
      <c r="G52" s="46" t="str">
        <f t="shared" si="9"/>
        <v/>
      </c>
      <c r="H52" s="46" t="str">
        <f t="shared" si="10"/>
        <v/>
      </c>
      <c r="I52" s="46" t="str">
        <f t="shared" si="11"/>
        <v/>
      </c>
      <c r="J52" s="46" t="str">
        <f t="shared" si="12"/>
        <v/>
      </c>
      <c r="L52" s="49">
        <v>235</v>
      </c>
      <c r="M52" s="48">
        <f>$B111+$B110*COS(RADIANS(L52))+$B109*SIN(RADIANS(L52))</f>
        <v>-1.6038197192999129E-3</v>
      </c>
      <c r="N52" s="48">
        <f>$B137+$B136*COS(RADIANS(L52))+$B135*SIN(RADIANS(L52))</f>
        <v>-2.1599928834340251E-3</v>
      </c>
      <c r="T52" s="28"/>
      <c r="U52" s="28"/>
      <c r="V52" s="28"/>
      <c r="W52" s="28"/>
      <c r="Z52" s="45"/>
      <c r="AA52" s="45" t="str">
        <f t="shared" si="13"/>
        <v/>
      </c>
    </row>
    <row r="53" spans="1:27" x14ac:dyDescent="0.25">
      <c r="A53" s="46"/>
      <c r="B53" s="47"/>
      <c r="C53" s="47"/>
      <c r="E53" s="46" t="str">
        <f t="shared" si="7"/>
        <v/>
      </c>
      <c r="F53" s="46" t="str">
        <f t="shared" si="8"/>
        <v/>
      </c>
      <c r="G53" s="46" t="str">
        <f t="shared" si="9"/>
        <v/>
      </c>
      <c r="H53" s="46" t="str">
        <f t="shared" si="10"/>
        <v/>
      </c>
      <c r="I53" s="46" t="str">
        <f t="shared" si="11"/>
        <v/>
      </c>
      <c r="J53" s="46" t="str">
        <f t="shared" si="12"/>
        <v/>
      </c>
      <c r="L53" s="49">
        <v>240</v>
      </c>
      <c r="M53" s="48">
        <f>$B111+$B110*COS(RADIANS(L53))+$B109*SIN(RADIANS(L53))</f>
        <v>-1.4108624980126694E-3</v>
      </c>
      <c r="N53" s="48">
        <f>$B137+$B136*COS(RADIANS(L53))+$B135*SIN(RADIANS(L53))</f>
        <v>-2.3259534641605108E-3</v>
      </c>
      <c r="T53" s="28"/>
      <c r="U53" s="28"/>
      <c r="V53" s="28"/>
      <c r="W53" s="28"/>
      <c r="Z53" s="45"/>
      <c r="AA53" s="45" t="str">
        <f t="shared" si="13"/>
        <v/>
      </c>
    </row>
    <row r="54" spans="1:27" x14ac:dyDescent="0.25">
      <c r="A54" s="46"/>
      <c r="B54" s="47"/>
      <c r="C54" s="47"/>
      <c r="E54" s="46" t="str">
        <f t="shared" si="7"/>
        <v/>
      </c>
      <c r="F54" s="46" t="str">
        <f t="shared" si="8"/>
        <v/>
      </c>
      <c r="G54" s="46" t="str">
        <f t="shared" si="9"/>
        <v/>
      </c>
      <c r="H54" s="46" t="str">
        <f t="shared" si="10"/>
        <v/>
      </c>
      <c r="I54" s="46" t="str">
        <f t="shared" si="11"/>
        <v/>
      </c>
      <c r="J54" s="46" t="str">
        <f t="shared" si="12"/>
        <v/>
      </c>
      <c r="L54" s="49">
        <v>245</v>
      </c>
      <c r="M54" s="48">
        <f>$B111+$B110*COS(RADIANS(L54))+$B109*SIN(RADIANS(L54))</f>
        <v>-1.2083222411891415E-3</v>
      </c>
      <c r="N54" s="48">
        <f>$B137+$B136*COS(RADIANS(L54))+$B135*SIN(RADIANS(L54))</f>
        <v>-2.474347938401544E-3</v>
      </c>
      <c r="T54" s="28"/>
      <c r="U54" s="28"/>
      <c r="V54" s="28"/>
      <c r="W54" s="28"/>
      <c r="Z54" s="45"/>
      <c r="AA54" s="45" t="str">
        <f t="shared" si="13"/>
        <v/>
      </c>
    </row>
    <row r="55" spans="1:27" x14ac:dyDescent="0.25">
      <c r="A55" s="46"/>
      <c r="B55" s="47"/>
      <c r="C55" s="47"/>
      <c r="E55" s="46" t="str">
        <f t="shared" si="7"/>
        <v/>
      </c>
      <c r="F55" s="46" t="str">
        <f t="shared" si="8"/>
        <v/>
      </c>
      <c r="G55" s="46" t="str">
        <f t="shared" si="9"/>
        <v/>
      </c>
      <c r="H55" s="46" t="str">
        <f t="shared" si="10"/>
        <v/>
      </c>
      <c r="I55" s="46" t="str">
        <f t="shared" si="11"/>
        <v/>
      </c>
      <c r="J55" s="46" t="str">
        <f t="shared" si="12"/>
        <v/>
      </c>
      <c r="L55" s="49">
        <v>250</v>
      </c>
      <c r="M55" s="48">
        <f>$B111+$B110*COS(RADIANS(L55))+$B109*SIN(RADIANS(L55))</f>
        <v>-9.9774040248091123E-4</v>
      </c>
      <c r="N55" s="48">
        <f>$B137+$B136*COS(RADIANS(L55))+$B135*SIN(RADIANS(L55))</f>
        <v>-2.6040469346051125E-3</v>
      </c>
      <c r="T55" s="28"/>
      <c r="U55" s="28"/>
      <c r="V55" s="28"/>
      <c r="W55" s="28"/>
      <c r="Z55" s="45"/>
      <c r="AA55" s="45" t="str">
        <f t="shared" si="13"/>
        <v/>
      </c>
    </row>
    <row r="56" spans="1:27" x14ac:dyDescent="0.25">
      <c r="A56" s="46"/>
      <c r="B56" s="47"/>
      <c r="C56" s="47"/>
      <c r="E56" s="46" t="str">
        <f t="shared" si="7"/>
        <v/>
      </c>
      <c r="F56" s="46" t="str">
        <f t="shared" si="8"/>
        <v/>
      </c>
      <c r="G56" s="46" t="str">
        <f t="shared" si="9"/>
        <v/>
      </c>
      <c r="H56" s="46" t="str">
        <f t="shared" si="10"/>
        <v/>
      </c>
      <c r="I56" s="46" t="str">
        <f t="shared" si="11"/>
        <v/>
      </c>
      <c r="J56" s="46" t="str">
        <f t="shared" si="12"/>
        <v/>
      </c>
      <c r="L56" s="49">
        <v>255</v>
      </c>
      <c r="M56" s="48">
        <f>$B111+$B110*COS(RADIANS(L56))+$B109*SIN(RADIANS(L56))</f>
        <v>-7.8071963683333675E-4</v>
      </c>
      <c r="N56" s="48">
        <f>$B137+$B136*COS(RADIANS(L56))+$B135*SIN(RADIANS(L56))</f>
        <v>-2.714063365095715E-3</v>
      </c>
      <c r="T56" s="28"/>
      <c r="U56" s="28"/>
      <c r="V56" s="28"/>
      <c r="W56" s="28"/>
      <c r="Z56" s="45"/>
      <c r="AA56" s="45" t="str">
        <f t="shared" si="13"/>
        <v/>
      </c>
    </row>
    <row r="57" spans="1:27" x14ac:dyDescent="0.25">
      <c r="A57" s="46"/>
      <c r="B57" s="47"/>
      <c r="C57" s="47"/>
      <c r="E57" s="46" t="str">
        <f t="shared" si="7"/>
        <v/>
      </c>
      <c r="F57" s="46" t="str">
        <f t="shared" si="8"/>
        <v/>
      </c>
      <c r="G57" s="46" t="str">
        <f t="shared" si="9"/>
        <v/>
      </c>
      <c r="H57" s="46" t="str">
        <f t="shared" si="10"/>
        <v/>
      </c>
      <c r="I57" s="46" t="str">
        <f t="shared" si="11"/>
        <v/>
      </c>
      <c r="J57" s="46" t="str">
        <f t="shared" si="12"/>
        <v/>
      </c>
      <c r="L57" s="49">
        <v>260</v>
      </c>
      <c r="M57" s="48">
        <f>$B111+$B110*COS(RADIANS(L57))+$B109*SIN(RADIANS(L57))</f>
        <v>-5.5891160331371728E-4</v>
      </c>
      <c r="N57" s="48">
        <f>$B137+$B136*COS(RADIANS(L57))+$B135*SIN(RADIANS(L57))</f>
        <v>-2.8035599384075805E-3</v>
      </c>
      <c r="T57" s="28"/>
      <c r="U57" s="28"/>
      <c r="V57" s="28"/>
      <c r="W57" s="28"/>
      <c r="Z57" s="45"/>
      <c r="AA57" s="45" t="str">
        <f t="shared" si="13"/>
        <v/>
      </c>
    </row>
    <row r="58" spans="1:27" x14ac:dyDescent="0.25">
      <c r="A58" s="46"/>
      <c r="B58" s="47"/>
      <c r="C58" s="47"/>
      <c r="E58" s="46" t="str">
        <f t="shared" si="7"/>
        <v/>
      </c>
      <c r="F58" s="46" t="str">
        <f t="shared" si="8"/>
        <v/>
      </c>
      <c r="G58" s="46" t="str">
        <f t="shared" si="9"/>
        <v/>
      </c>
      <c r="H58" s="46" t="str">
        <f t="shared" si="10"/>
        <v/>
      </c>
      <c r="I58" s="46" t="str">
        <f t="shared" si="11"/>
        <v/>
      </c>
      <c r="J58" s="46" t="str">
        <f t="shared" si="12"/>
        <v/>
      </c>
      <c r="L58" s="49">
        <v>265</v>
      </c>
      <c r="M58" s="48">
        <f>$B111+$B110*COS(RADIANS(L58))+$B109*SIN(RADIANS(L58))</f>
        <v>-3.3400439498848945E-4</v>
      </c>
      <c r="N58" s="48">
        <f>$B137+$B136*COS(RADIANS(L58))+$B135*SIN(RADIANS(L58))</f>
        <v>-2.8718555315782974E-3</v>
      </c>
      <c r="T58" s="28"/>
      <c r="U58" s="28"/>
      <c r="V58" s="28"/>
      <c r="W58" s="28"/>
      <c r="Z58" s="45"/>
      <c r="AA58" s="45" t="str">
        <f t="shared" si="13"/>
        <v/>
      </c>
    </row>
    <row r="59" spans="1:27" x14ac:dyDescent="0.25">
      <c r="A59" s="46"/>
      <c r="B59" s="47"/>
      <c r="C59" s="47"/>
      <c r="E59" s="46" t="str">
        <f t="shared" si="7"/>
        <v/>
      </c>
      <c r="F59" s="46" t="str">
        <f t="shared" si="8"/>
        <v/>
      </c>
      <c r="G59" s="46" t="str">
        <f t="shared" si="9"/>
        <v/>
      </c>
      <c r="H59" s="46" t="str">
        <f t="shared" si="10"/>
        <v/>
      </c>
      <c r="I59" s="46" t="str">
        <f t="shared" si="11"/>
        <v/>
      </c>
      <c r="J59" s="46" t="str">
        <f t="shared" si="12"/>
        <v/>
      </c>
      <c r="L59" s="49">
        <v>270</v>
      </c>
      <c r="M59" s="48">
        <f>$B111+$B110*COS(RADIANS(L59))+$B109*SIN(RADIANS(L59))</f>
        <v>-1.0770969151569382E-4</v>
      </c>
      <c r="N59" s="48">
        <f>$B137+$B136*COS(RADIANS(L59))+$B135*SIN(RADIANS(L59))</f>
        <v>-2.9184303739058291E-3</v>
      </c>
      <c r="T59" s="28"/>
      <c r="U59" s="28"/>
      <c r="V59" s="28"/>
      <c r="W59" s="28"/>
      <c r="Z59" s="45"/>
      <c r="AA59" s="45" t="str">
        <f t="shared" si="13"/>
        <v/>
      </c>
    </row>
    <row r="60" spans="1:27" x14ac:dyDescent="0.25">
      <c r="A60" s="46"/>
      <c r="B60" s="47"/>
      <c r="C60" s="47"/>
      <c r="E60" s="46" t="str">
        <f t="shared" si="7"/>
        <v/>
      </c>
      <c r="F60" s="46" t="str">
        <f t="shared" si="8"/>
        <v/>
      </c>
      <c r="G60" s="46" t="str">
        <f t="shared" si="9"/>
        <v/>
      </c>
      <c r="H60" s="46" t="str">
        <f t="shared" si="10"/>
        <v/>
      </c>
      <c r="I60" s="46" t="str">
        <f t="shared" si="11"/>
        <v/>
      </c>
      <c r="J60" s="46" t="str">
        <f t="shared" si="12"/>
        <v/>
      </c>
      <c r="L60" s="49">
        <v>275</v>
      </c>
      <c r="M60" s="48">
        <f>$B111+$B110*COS(RADIANS(L60))+$B109*SIN(RADIANS(L60))</f>
        <v>1.1825026777076398E-4</v>
      </c>
      <c r="N60" s="48">
        <f>$B137+$B136*COS(RADIANS(L60))+$B135*SIN(RADIANS(L60))</f>
        <v>-2.9429300027174056E-3</v>
      </c>
      <c r="T60" s="28"/>
      <c r="U60" s="28"/>
      <c r="V60" s="28"/>
      <c r="W60" s="28"/>
      <c r="Z60" s="45"/>
      <c r="AA60" s="45" t="str">
        <f t="shared" si="13"/>
        <v/>
      </c>
    </row>
    <row r="61" spans="1:27" x14ac:dyDescent="0.25">
      <c r="A61" s="46"/>
      <c r="B61" s="47"/>
      <c r="C61" s="47"/>
      <c r="E61" s="46" t="str">
        <f t="shared" si="7"/>
        <v/>
      </c>
      <c r="F61" s="46" t="str">
        <f t="shared" si="8"/>
        <v/>
      </c>
      <c r="G61" s="46" t="str">
        <f t="shared" si="9"/>
        <v/>
      </c>
      <c r="H61" s="46" t="str">
        <f t="shared" si="10"/>
        <v/>
      </c>
      <c r="I61" s="46" t="str">
        <f t="shared" si="11"/>
        <v/>
      </c>
      <c r="J61" s="46" t="str">
        <f t="shared" si="12"/>
        <v/>
      </c>
      <c r="L61" s="49">
        <v>280</v>
      </c>
      <c r="M61" s="48">
        <f>$B111+$B110*COS(RADIANS(L61))+$B109*SIN(RADIANS(L61))</f>
        <v>3.4215579114236009E-4</v>
      </c>
      <c r="N61" s="48">
        <f>$B137+$B136*COS(RADIANS(L61))+$B135*SIN(RADIANS(L61))</f>
        <v>-2.9451679610444895E-3</v>
      </c>
      <c r="T61" s="28"/>
      <c r="U61" s="28"/>
      <c r="V61" s="28"/>
      <c r="W61" s="28"/>
      <c r="Z61" s="45"/>
      <c r="AA61" s="45" t="str">
        <f t="shared" si="13"/>
        <v/>
      </c>
    </row>
    <row r="62" spans="1:27" x14ac:dyDescent="0.25">
      <c r="A62" s="46"/>
      <c r="B62" s="47"/>
      <c r="C62" s="47"/>
      <c r="E62" s="46" t="str">
        <f t="shared" si="7"/>
        <v/>
      </c>
      <c r="F62" s="46" t="str">
        <f t="shared" si="8"/>
        <v/>
      </c>
      <c r="G62" s="46" t="str">
        <f t="shared" si="9"/>
        <v/>
      </c>
      <c r="H62" s="46" t="str">
        <f t="shared" si="10"/>
        <v/>
      </c>
      <c r="I62" s="46" t="str">
        <f t="shared" si="11"/>
        <v/>
      </c>
      <c r="J62" s="46" t="str">
        <f t="shared" si="12"/>
        <v/>
      </c>
      <c r="L62" s="49">
        <v>285</v>
      </c>
      <c r="M62" s="48">
        <f>$B111+$B110*COS(RADIANS(L62))+$B109*SIN(RADIANS(L62))</f>
        <v>5.623028223683854E-4</v>
      </c>
      <c r="N62" s="48">
        <f>$B137+$B136*COS(RADIANS(L62))+$B135*SIN(RADIANS(L62))</f>
        <v>-2.9251272166728958E-3</v>
      </c>
      <c r="T62" s="28"/>
      <c r="U62" s="28"/>
      <c r="V62" s="28"/>
      <c r="W62" s="28"/>
      <c r="Z62" s="45"/>
      <c r="AA62" s="45" t="str">
        <f t="shared" si="13"/>
        <v/>
      </c>
    </row>
    <row r="63" spans="1:27" x14ac:dyDescent="0.25">
      <c r="A63" s="46"/>
      <c r="B63" s="47"/>
      <c r="C63" s="47"/>
      <c r="E63" s="46" t="str">
        <f t="shared" si="7"/>
        <v/>
      </c>
      <c r="F63" s="46" t="str">
        <f t="shared" si="8"/>
        <v/>
      </c>
      <c r="G63" s="46" t="str">
        <f t="shared" si="9"/>
        <v/>
      </c>
      <c r="H63" s="46" t="str">
        <f t="shared" si="10"/>
        <v/>
      </c>
      <c r="I63" s="46" t="str">
        <f t="shared" si="11"/>
        <v/>
      </c>
      <c r="J63" s="46" t="str">
        <f t="shared" si="12"/>
        <v/>
      </c>
      <c r="L63" s="49">
        <v>290</v>
      </c>
      <c r="M63" s="48">
        <f>$B111+$B110*COS(RADIANS(L63))+$B109*SIN(RADIANS(L63))</f>
        <v>7.7701590961279994E-4</v>
      </c>
      <c r="N63" s="48">
        <f>$B137+$B136*COS(RADIANS(L63))+$B135*SIN(RADIANS(L63))</f>
        <v>-2.8829602917682245E-3</v>
      </c>
      <c r="T63" s="28"/>
      <c r="U63" s="28"/>
      <c r="V63" s="28"/>
      <c r="W63" s="28"/>
      <c r="Z63" s="45"/>
      <c r="AA63" s="45" t="str">
        <f t="shared" si="13"/>
        <v/>
      </c>
    </row>
    <row r="64" spans="1:27" x14ac:dyDescent="0.25">
      <c r="A64" s="46"/>
      <c r="B64" s="47"/>
      <c r="C64" s="47"/>
      <c r="E64" s="46" t="str">
        <f t="shared" si="7"/>
        <v/>
      </c>
      <c r="F64" s="46" t="str">
        <f t="shared" si="8"/>
        <v/>
      </c>
      <c r="G64" s="46" t="str">
        <f t="shared" si="9"/>
        <v/>
      </c>
      <c r="H64" s="46" t="str">
        <f t="shared" si="10"/>
        <v/>
      </c>
      <c r="I64" s="46" t="str">
        <f t="shared" si="11"/>
        <v/>
      </c>
      <c r="J64" s="46" t="str">
        <f t="shared" si="12"/>
        <v/>
      </c>
      <c r="L64" s="49">
        <v>295</v>
      </c>
      <c r="M64" s="48">
        <f>$B111+$B110*COS(RADIANS(L64))+$B109*SIN(RADIANS(L64))</f>
        <v>9.8466095663436292E-4</v>
      </c>
      <c r="N64" s="48">
        <f>$B137+$B136*COS(RADIANS(L64))+$B135*SIN(RADIANS(L64))</f>
        <v>-2.8189881020900861E-3</v>
      </c>
      <c r="T64" s="28"/>
      <c r="U64" s="28"/>
      <c r="V64" s="28"/>
      <c r="W64" s="28"/>
      <c r="Z64" s="45"/>
      <c r="AA64" s="45" t="str">
        <f t="shared" si="13"/>
        <v/>
      </c>
    </row>
    <row r="65" spans="1:27" x14ac:dyDescent="0.25">
      <c r="A65" s="46"/>
      <c r="B65" s="47"/>
      <c r="C65" s="47"/>
      <c r="E65" s="46" t="str">
        <f t="shared" si="7"/>
        <v/>
      </c>
      <c r="F65" s="46" t="str">
        <f t="shared" si="8"/>
        <v/>
      </c>
      <c r="G65" s="46" t="str">
        <f t="shared" si="9"/>
        <v/>
      </c>
      <c r="H65" s="46" t="str">
        <f t="shared" si="10"/>
        <v/>
      </c>
      <c r="I65" s="46" t="str">
        <f t="shared" si="11"/>
        <v/>
      </c>
      <c r="J65" s="46" t="str">
        <f t="shared" si="12"/>
        <v/>
      </c>
      <c r="L65" s="49">
        <v>300</v>
      </c>
      <c r="M65" s="48">
        <f>$B111+$B110*COS(RADIANS(L65))+$B109*SIN(RADIANS(L65))</f>
        <v>1.1836576592457347E-3</v>
      </c>
      <c r="N65" s="48">
        <f>$B137+$B136*COS(RADIANS(L65))+$B135*SIN(RADIANS(L65))</f>
        <v>-2.7336975146293949E-3</v>
      </c>
      <c r="T65" s="28"/>
      <c r="U65" s="28"/>
      <c r="V65" s="28"/>
      <c r="W65" s="28"/>
      <c r="Z65" s="45"/>
      <c r="AA65" s="45" t="str">
        <f t="shared" si="13"/>
        <v/>
      </c>
    </row>
    <row r="66" spans="1:27" x14ac:dyDescent="0.25">
      <c r="A66" s="46"/>
      <c r="B66" s="47"/>
      <c r="C66" s="47"/>
      <c r="E66" s="46" t="str">
        <f t="shared" si="7"/>
        <v/>
      </c>
      <c r="F66" s="46" t="str">
        <f t="shared" si="8"/>
        <v/>
      </c>
      <c r="G66" s="46" t="str">
        <f t="shared" si="9"/>
        <v/>
      </c>
      <c r="H66" s="46" t="str">
        <f t="shared" si="10"/>
        <v/>
      </c>
      <c r="I66" s="46" t="str">
        <f t="shared" si="11"/>
        <v/>
      </c>
      <c r="J66" s="46" t="str">
        <f t="shared" si="12"/>
        <v/>
      </c>
      <c r="L66" s="49">
        <v>305</v>
      </c>
      <c r="M66" s="48">
        <f>$B111+$B110*COS(RADIANS(L66))+$B109*SIN(RADIANS(L66))</f>
        <v>1.3724915323825486E-3</v>
      </c>
      <c r="N66" s="48">
        <f>$B137+$B136*COS(RADIANS(L66))+$B135*SIN(RADIANS(L66))</f>
        <v>-2.6277376422565919E-3</v>
      </c>
      <c r="T66" s="28"/>
      <c r="U66" s="28"/>
      <c r="V66" s="28"/>
      <c r="W66" s="28"/>
      <c r="Z66" s="45"/>
      <c r="AA66" s="45" t="str">
        <f t="shared" si="13"/>
        <v/>
      </c>
    </row>
    <row r="67" spans="1:27" x14ac:dyDescent="0.25">
      <c r="A67" s="46"/>
      <c r="B67" s="47"/>
      <c r="C67" s="47"/>
      <c r="E67" s="46" t="str">
        <f t="shared" si="7"/>
        <v/>
      </c>
      <c r="F67" s="46" t="str">
        <f t="shared" si="8"/>
        <v/>
      </c>
      <c r="G67" s="46" t="str">
        <f t="shared" si="9"/>
        <v/>
      </c>
      <c r="H67" s="46" t="str">
        <f t="shared" si="10"/>
        <v/>
      </c>
      <c r="I67" s="46" t="str">
        <f t="shared" si="11"/>
        <v/>
      </c>
      <c r="J67" s="46" t="str">
        <f t="shared" si="12"/>
        <v/>
      </c>
      <c r="L67" s="49">
        <v>310</v>
      </c>
      <c r="M67" s="48">
        <f>$B111+$B110*COS(RADIANS(L67))+$B109*SIN(RADIANS(L67))</f>
        <v>1.5497254362492237E-3</v>
      </c>
      <c r="N67" s="48">
        <f>$B137+$B136*COS(RADIANS(L67))+$B135*SIN(RADIANS(L67))</f>
        <v>-2.5019149035807537E-3</v>
      </c>
      <c r="T67" s="28"/>
      <c r="U67" s="28"/>
      <c r="V67" s="28"/>
      <c r="W67" s="28"/>
      <c r="Z67" s="45"/>
      <c r="AA67" s="45" t="str">
        <f t="shared" si="13"/>
        <v/>
      </c>
    </row>
    <row r="68" spans="1:27" x14ac:dyDescent="0.25">
      <c r="A68" s="46"/>
      <c r="B68" s="47"/>
      <c r="C68" s="47"/>
      <c r="E68" s="46" t="str">
        <f t="shared" si="7"/>
        <v/>
      </c>
      <c r="F68" s="46" t="str">
        <f t="shared" si="8"/>
        <v/>
      </c>
      <c r="G68" s="46" t="str">
        <f t="shared" si="9"/>
        <v/>
      </c>
      <c r="H68" s="46" t="str">
        <f t="shared" si="10"/>
        <v/>
      </c>
      <c r="I68" s="46" t="str">
        <f t="shared" si="11"/>
        <v/>
      </c>
      <c r="J68" s="46" t="str">
        <f t="shared" si="12"/>
        <v/>
      </c>
      <c r="L68" s="49">
        <v>315</v>
      </c>
      <c r="M68" s="48">
        <f>$B111+$B110*COS(RADIANS(L68))+$B109*SIN(RADIANS(L68))</f>
        <v>1.714010513820577E-3</v>
      </c>
      <c r="N68" s="48">
        <f>$B137+$B136*COS(RADIANS(L68))+$B135*SIN(RADIANS(L68))</f>
        <v>-2.3571868856170513E-3</v>
      </c>
      <c r="T68" s="28"/>
      <c r="U68" s="28"/>
      <c r="V68" s="28"/>
      <c r="W68" s="28"/>
      <c r="Z68" s="45"/>
      <c r="AA68" s="45" t="str">
        <f t="shared" si="13"/>
        <v/>
      </c>
    </row>
    <row r="69" spans="1:27" x14ac:dyDescent="0.25">
      <c r="A69" s="46"/>
      <c r="B69" s="47"/>
      <c r="C69" s="47"/>
      <c r="E69" s="46" t="str">
        <f t="shared" ref="E69:E104" si="14">IF(A69="","",A69)</f>
        <v/>
      </c>
      <c r="F69" s="46" t="str">
        <f t="shared" ref="F69:F100" si="15">IF(E69="","",RADIANS(E69))</f>
        <v/>
      </c>
      <c r="G69" s="46" t="str">
        <f t="shared" ref="G69:G100" si="16">IF(E69="","",COS(F69))</f>
        <v/>
      </c>
      <c r="H69" s="46" t="str">
        <f t="shared" ref="H69:H104" si="17">IF(E69="","",SIN(F69))</f>
        <v/>
      </c>
      <c r="I69" s="46" t="str">
        <f t="shared" ref="I69:I104" si="18">IF(E69="","",COS(2*F69))</f>
        <v/>
      </c>
      <c r="J69" s="46" t="str">
        <f t="shared" ref="J69:J104" si="19">IF(E69="","",SIN(2*F69))</f>
        <v/>
      </c>
      <c r="L69" s="49">
        <v>320</v>
      </c>
      <c r="M69" s="48">
        <f>$B111+$B110*COS(RADIANS(L69))+$B109*SIN(RADIANS(L69))</f>
        <v>1.8640964564582488E-3</v>
      </c>
      <c r="N69" s="48">
        <f>$B137+$B136*COS(RADIANS(L69))+$B135*SIN(RADIANS(L69))</f>
        <v>-2.1946550559713545E-3</v>
      </c>
      <c r="T69" s="28"/>
      <c r="U69" s="28"/>
      <c r="V69" s="28"/>
      <c r="W69" s="28"/>
      <c r="Z69" s="45"/>
      <c r="AA69" s="45" t="str">
        <f t="shared" si="13"/>
        <v/>
      </c>
    </row>
    <row r="70" spans="1:27" x14ac:dyDescent="0.25">
      <c r="A70" s="46"/>
      <c r="B70" s="47"/>
      <c r="C70" s="47"/>
      <c r="E70" s="46" t="str">
        <f t="shared" si="14"/>
        <v/>
      </c>
      <c r="F70" s="46" t="str">
        <f t="shared" si="15"/>
        <v/>
      </c>
      <c r="G70" s="46" t="str">
        <f t="shared" si="16"/>
        <v/>
      </c>
      <c r="H70" s="46" t="str">
        <f t="shared" si="17"/>
        <v/>
      </c>
      <c r="I70" s="46" t="str">
        <f t="shared" si="18"/>
        <v/>
      </c>
      <c r="J70" s="46" t="str">
        <f t="shared" si="19"/>
        <v/>
      </c>
      <c r="L70" s="49">
        <v>325</v>
      </c>
      <c r="M70" s="48">
        <f>$B111+$B110*COS(RADIANS(L70))+$B109*SIN(RADIANS(L70))</f>
        <v>1.9988410195143969E-3</v>
      </c>
      <c r="N70" s="48">
        <f>$B137+$B136*COS(RADIANS(L70))+$B135*SIN(RADIANS(L70))</f>
        <v>-2.0155563800066689E-3</v>
      </c>
      <c r="T70" s="28"/>
      <c r="U70" s="28"/>
      <c r="V70" s="28"/>
      <c r="W70" s="28"/>
      <c r="Z70" s="45"/>
      <c r="AA70" s="45" t="str">
        <f t="shared" si="13"/>
        <v/>
      </c>
    </row>
    <row r="71" spans="1:27" x14ac:dyDescent="0.25">
      <c r="A71" s="46"/>
      <c r="B71" s="47"/>
      <c r="C71" s="47"/>
      <c r="E71" s="46" t="str">
        <f t="shared" si="14"/>
        <v/>
      </c>
      <c r="F71" s="46" t="str">
        <f t="shared" si="15"/>
        <v/>
      </c>
      <c r="G71" s="46" t="str">
        <f t="shared" si="16"/>
        <v/>
      </c>
      <c r="H71" s="46" t="str">
        <f t="shared" si="17"/>
        <v/>
      </c>
      <c r="I71" s="46" t="str">
        <f t="shared" si="18"/>
        <v/>
      </c>
      <c r="J71" s="46" t="str">
        <f t="shared" si="19"/>
        <v/>
      </c>
      <c r="L71" s="49">
        <v>330</v>
      </c>
      <c r="M71" s="48">
        <f>$B111+$B110*COS(RADIANS(L71))+$B109*SIN(RADIANS(L71))</f>
        <v>2.1172187155031712E-3</v>
      </c>
      <c r="N71" s="48">
        <f>$B137+$B136*COS(RADIANS(L71))+$B135*SIN(RADIANS(L71))</f>
        <v>-1.8212539067898228E-3</v>
      </c>
      <c r="T71" s="28"/>
      <c r="U71" s="28"/>
      <c r="V71" s="28"/>
      <c r="W71" s="28"/>
      <c r="Z71" s="45"/>
      <c r="AA71" s="45" t="str">
        <f t="shared" si="13"/>
        <v/>
      </c>
    </row>
    <row r="72" spans="1:27" x14ac:dyDescent="0.25">
      <c r="A72" s="46"/>
      <c r="B72" s="47"/>
      <c r="C72" s="47"/>
      <c r="E72" s="46" t="str">
        <f t="shared" si="14"/>
        <v/>
      </c>
      <c r="F72" s="46" t="str">
        <f t="shared" si="15"/>
        <v/>
      </c>
      <c r="G72" s="46" t="str">
        <f t="shared" si="16"/>
        <v/>
      </c>
      <c r="H72" s="46" t="str">
        <f t="shared" si="17"/>
        <v/>
      </c>
      <c r="I72" s="46" t="str">
        <f t="shared" si="18"/>
        <v/>
      </c>
      <c r="J72" s="46" t="str">
        <f t="shared" si="19"/>
        <v/>
      </c>
      <c r="L72" s="49">
        <v>335</v>
      </c>
      <c r="M72" s="48">
        <f>$B111+$B110*COS(RADIANS(L72))+$B109*SIN(RADIANS(L72))</f>
        <v>2.2183286186796924E-3</v>
      </c>
      <c r="N72" s="48">
        <f>$B137+$B136*COS(RADIANS(L72))+$B135*SIN(RADIANS(L72))</f>
        <v>-1.6132263954650359E-3</v>
      </c>
      <c r="T72" s="28"/>
      <c r="U72" s="28"/>
      <c r="V72" s="28"/>
      <c r="W72" s="28"/>
      <c r="Z72" s="45"/>
      <c r="AA72" s="45" t="str">
        <f t="shared" si="13"/>
        <v/>
      </c>
    </row>
    <row r="73" spans="1:27" x14ac:dyDescent="0.25">
      <c r="A73" s="46"/>
      <c r="B73" s="47"/>
      <c r="C73" s="47"/>
      <c r="E73" s="46" t="str">
        <f t="shared" si="14"/>
        <v/>
      </c>
      <c r="F73" s="46" t="str">
        <f t="shared" si="15"/>
        <v/>
      </c>
      <c r="G73" s="46" t="str">
        <f t="shared" si="16"/>
        <v/>
      </c>
      <c r="H73" s="46" t="str">
        <f t="shared" si="17"/>
        <v/>
      </c>
      <c r="I73" s="46" t="str">
        <f t="shared" si="18"/>
        <v/>
      </c>
      <c r="J73" s="46" t="str">
        <f t="shared" si="19"/>
        <v/>
      </c>
      <c r="L73" s="49">
        <v>340</v>
      </c>
      <c r="M73" s="48">
        <f>$B111+$B110*COS(RADIANS(L73))+$B109*SIN(RADIANS(L73))</f>
        <v>2.301401221628955E-3</v>
      </c>
      <c r="N73" s="48">
        <f>$B137+$B136*COS(RADIANS(L73))+$B135*SIN(RADIANS(L73))</f>
        <v>-1.3930570610039392E-3</v>
      </c>
      <c r="T73" s="28"/>
      <c r="U73" s="28"/>
      <c r="V73" s="28"/>
      <c r="W73" s="28"/>
      <c r="Z73" s="45"/>
      <c r="AA73" s="45" t="str">
        <f t="shared" si="13"/>
        <v/>
      </c>
    </row>
    <row r="74" spans="1:27" x14ac:dyDescent="0.25">
      <c r="A74" s="46"/>
      <c r="B74" s="47"/>
      <c r="C74" s="47"/>
      <c r="E74" s="46" t="str">
        <f t="shared" si="14"/>
        <v/>
      </c>
      <c r="F74" s="46" t="str">
        <f t="shared" si="15"/>
        <v/>
      </c>
      <c r="G74" s="46" t="str">
        <f t="shared" si="16"/>
        <v/>
      </c>
      <c r="H74" s="46" t="str">
        <f t="shared" si="17"/>
        <v/>
      </c>
      <c r="I74" s="46" t="str">
        <f t="shared" si="18"/>
        <v/>
      </c>
      <c r="J74" s="46" t="str">
        <f t="shared" si="19"/>
        <v/>
      </c>
      <c r="L74" s="49">
        <v>345</v>
      </c>
      <c r="M74" s="48">
        <f>$B111+$B110*COS(RADIANS(L74))+$B109*SIN(RADIANS(L74))</f>
        <v>2.3658042916819082E-3</v>
      </c>
      <c r="N74" s="48">
        <f>$B137+$B136*COS(RADIANS(L74))+$B135*SIN(RADIANS(L74))</f>
        <v>-1.1624215249836588E-3</v>
      </c>
      <c r="T74" s="28"/>
      <c r="U74" s="28"/>
      <c r="V74" s="28"/>
      <c r="W74" s="28"/>
      <c r="Z74" s="45"/>
      <c r="AA74" s="45" t="str">
        <f t="shared" si="13"/>
        <v/>
      </c>
    </row>
    <row r="75" spans="1:27" x14ac:dyDescent="0.25">
      <c r="A75" s="46"/>
      <c r="B75" s="47"/>
      <c r="C75" s="47"/>
      <c r="E75" s="46" t="str">
        <f t="shared" si="14"/>
        <v/>
      </c>
      <c r="F75" s="46" t="str">
        <f t="shared" si="15"/>
        <v/>
      </c>
      <c r="G75" s="46" t="str">
        <f t="shared" si="16"/>
        <v/>
      </c>
      <c r="H75" s="46" t="str">
        <f t="shared" si="17"/>
        <v/>
      </c>
      <c r="I75" s="46" t="str">
        <f t="shared" si="18"/>
        <v/>
      </c>
      <c r="J75" s="46" t="str">
        <f t="shared" si="19"/>
        <v/>
      </c>
      <c r="L75" s="49">
        <v>350</v>
      </c>
      <c r="M75" s="48">
        <f>$B111+$B110*COS(RADIANS(L75))+$B109*SIN(RADIANS(L75))</f>
        <v>2.4110476825878117E-3</v>
      </c>
      <c r="N75" s="48">
        <f>$B137+$B136*COS(RADIANS(L75))+$B135*SIN(RADIANS(L75))</f>
        <v>-9.2307506309485289E-4</v>
      </c>
      <c r="T75" s="28"/>
      <c r="U75" s="28"/>
      <c r="V75" s="28"/>
      <c r="W75" s="28"/>
      <c r="Z75" s="45"/>
      <c r="AA75" s="45" t="str">
        <f t="shared" si="13"/>
        <v/>
      </c>
    </row>
    <row r="76" spans="1:27" x14ac:dyDescent="0.25">
      <c r="A76" s="46"/>
      <c r="B76" s="47"/>
      <c r="C76" s="47"/>
      <c r="E76" s="46" t="str">
        <f t="shared" si="14"/>
        <v/>
      </c>
      <c r="F76" s="46" t="str">
        <f t="shared" si="15"/>
        <v/>
      </c>
      <c r="G76" s="46" t="str">
        <f t="shared" si="16"/>
        <v/>
      </c>
      <c r="H76" s="46" t="str">
        <f t="shared" si="17"/>
        <v/>
      </c>
      <c r="I76" s="46" t="str">
        <f t="shared" si="18"/>
        <v/>
      </c>
      <c r="J76" s="46" t="str">
        <f t="shared" si="19"/>
        <v/>
      </c>
      <c r="L76" s="49">
        <v>355</v>
      </c>
      <c r="M76" s="48">
        <f>$B111+$B110*COS(RADIANS(L76))+$B109*SIN(RADIANS(L76))</f>
        <v>2.4367870648231652E-3</v>
      </c>
      <c r="N76" s="48">
        <f>$B137+$B136*COS(RADIANS(L76))+$B135*SIN(RADIANS(L76))</f>
        <v>-6.7683924643384082E-4</v>
      </c>
      <c r="T76" s="28"/>
      <c r="U76" s="28"/>
      <c r="V76" s="28"/>
      <c r="W76" s="28"/>
      <c r="Z76" s="45"/>
      <c r="AA76" s="45" t="str">
        <f t="shared" si="13"/>
        <v/>
      </c>
    </row>
    <row r="77" spans="1:27" x14ac:dyDescent="0.25">
      <c r="A77" s="46"/>
      <c r="B77" s="47"/>
      <c r="C77" s="47"/>
      <c r="E77" s="46" t="str">
        <f t="shared" si="14"/>
        <v/>
      </c>
      <c r="F77" s="46" t="str">
        <f t="shared" si="15"/>
        <v/>
      </c>
      <c r="G77" s="46" t="str">
        <f t="shared" si="16"/>
        <v/>
      </c>
      <c r="H77" s="46" t="str">
        <f t="shared" si="17"/>
        <v/>
      </c>
      <c r="I77" s="46" t="str">
        <f t="shared" si="18"/>
        <v/>
      </c>
      <c r="J77" s="46" t="str">
        <f t="shared" si="19"/>
        <v/>
      </c>
      <c r="L77" s="49">
        <v>360</v>
      </c>
      <c r="M77" s="48">
        <f>$B111+$B110*COS(RADIANS(L77))+$B109*SIN(RADIANS(L77))</f>
        <v>2.4428265461472931E-3</v>
      </c>
      <c r="N77" s="48">
        <f>$B137+$B136*COS(RADIANS(L77))+$B135*SIN(RADIANS(L77))</f>
        <v>-4.2558807824666378E-4</v>
      </c>
      <c r="T77" s="28"/>
      <c r="U77" s="28"/>
      <c r="V77" s="28"/>
      <c r="W77" s="28"/>
      <c r="Z77" s="45"/>
      <c r="AA77" s="45" t="str">
        <f t="shared" si="13"/>
        <v/>
      </c>
    </row>
    <row r="78" spans="1:27" x14ac:dyDescent="0.25">
      <c r="A78" s="46"/>
      <c r="B78" s="47"/>
      <c r="C78" s="47"/>
      <c r="E78" s="46" t="str">
        <f t="shared" si="14"/>
        <v/>
      </c>
      <c r="F78" s="46" t="str">
        <f t="shared" si="15"/>
        <v/>
      </c>
      <c r="G78" s="46" t="str">
        <f t="shared" si="16"/>
        <v/>
      </c>
      <c r="H78" s="46" t="str">
        <f t="shared" si="17"/>
        <v/>
      </c>
      <c r="I78" s="46" t="str">
        <f t="shared" si="18"/>
        <v/>
      </c>
      <c r="J78" s="46" t="str">
        <f t="shared" si="19"/>
        <v/>
      </c>
      <c r="T78" s="28"/>
      <c r="U78" s="28"/>
      <c r="V78" s="28"/>
      <c r="W78" s="28"/>
      <c r="Z78" s="45"/>
      <c r="AA78" s="45" t="str">
        <f t="shared" si="13"/>
        <v/>
      </c>
    </row>
    <row r="79" spans="1:27" x14ac:dyDescent="0.25">
      <c r="A79" s="46"/>
      <c r="B79" s="47"/>
      <c r="C79" s="47"/>
      <c r="E79" s="46" t="str">
        <f t="shared" si="14"/>
        <v/>
      </c>
      <c r="F79" s="46" t="str">
        <f t="shared" si="15"/>
        <v/>
      </c>
      <c r="G79" s="46" t="str">
        <f t="shared" si="16"/>
        <v/>
      </c>
      <c r="H79" s="46" t="str">
        <f t="shared" si="17"/>
        <v/>
      </c>
      <c r="I79" s="46" t="str">
        <f t="shared" si="18"/>
        <v/>
      </c>
      <c r="J79" s="46" t="str">
        <f t="shared" si="19"/>
        <v/>
      </c>
      <c r="T79" s="28"/>
      <c r="U79" s="28"/>
      <c r="V79" s="28"/>
      <c r="W79" s="28"/>
      <c r="Z79" s="45"/>
      <c r="AA79" s="45" t="str">
        <f t="shared" si="13"/>
        <v/>
      </c>
    </row>
    <row r="80" spans="1:27" x14ac:dyDescent="0.25">
      <c r="A80" s="46"/>
      <c r="B80" s="47"/>
      <c r="C80" s="47"/>
      <c r="E80" s="46" t="str">
        <f t="shared" si="14"/>
        <v/>
      </c>
      <c r="F80" s="46" t="str">
        <f t="shared" si="15"/>
        <v/>
      </c>
      <c r="G80" s="46" t="str">
        <f t="shared" si="16"/>
        <v/>
      </c>
      <c r="H80" s="46" t="str">
        <f t="shared" si="17"/>
        <v/>
      </c>
      <c r="I80" s="46" t="str">
        <f t="shared" si="18"/>
        <v/>
      </c>
      <c r="J80" s="46" t="str">
        <f t="shared" si="19"/>
        <v/>
      </c>
      <c r="T80" s="28"/>
      <c r="U80" s="28"/>
      <c r="V80" s="28"/>
      <c r="W80" s="28"/>
      <c r="Z80" s="45"/>
      <c r="AA80" s="45" t="str">
        <f t="shared" si="13"/>
        <v/>
      </c>
    </row>
    <row r="81" spans="1:27" x14ac:dyDescent="0.25">
      <c r="A81" s="46"/>
      <c r="B81" s="47"/>
      <c r="C81" s="47"/>
      <c r="E81" s="46" t="str">
        <f t="shared" si="14"/>
        <v/>
      </c>
      <c r="F81" s="46" t="str">
        <f t="shared" si="15"/>
        <v/>
      </c>
      <c r="G81" s="46" t="str">
        <f t="shared" si="16"/>
        <v/>
      </c>
      <c r="H81" s="46" t="str">
        <f t="shared" si="17"/>
        <v/>
      </c>
      <c r="I81" s="46" t="str">
        <f t="shared" si="18"/>
        <v/>
      </c>
      <c r="J81" s="46" t="str">
        <f t="shared" si="19"/>
        <v/>
      </c>
      <c r="T81" s="28"/>
      <c r="U81" s="28"/>
      <c r="V81" s="28"/>
      <c r="W81" s="28"/>
      <c r="Z81" s="45"/>
      <c r="AA81" s="45" t="str">
        <f t="shared" ref="AA81:AA104" si="20">IF(Q81="","",Q81-S81)</f>
        <v/>
      </c>
    </row>
    <row r="82" spans="1:27" x14ac:dyDescent="0.25">
      <c r="A82" s="46"/>
      <c r="B82" s="47"/>
      <c r="C82" s="47"/>
      <c r="E82" s="46" t="str">
        <f t="shared" si="14"/>
        <v/>
      </c>
      <c r="F82" s="46" t="str">
        <f t="shared" si="15"/>
        <v/>
      </c>
      <c r="G82" s="46" t="str">
        <f t="shared" si="16"/>
        <v/>
      </c>
      <c r="H82" s="46" t="str">
        <f t="shared" si="17"/>
        <v/>
      </c>
      <c r="I82" s="46" t="str">
        <f t="shared" si="18"/>
        <v/>
      </c>
      <c r="J82" s="46" t="str">
        <f t="shared" si="19"/>
        <v/>
      </c>
      <c r="T82" s="28"/>
      <c r="U82" s="28"/>
      <c r="V82" s="28"/>
      <c r="W82" s="28"/>
      <c r="Z82" s="45"/>
      <c r="AA82" s="45" t="str">
        <f t="shared" si="20"/>
        <v/>
      </c>
    </row>
    <row r="83" spans="1:27" x14ac:dyDescent="0.25">
      <c r="A83" s="46"/>
      <c r="B83" s="47"/>
      <c r="C83" s="47"/>
      <c r="E83" s="46" t="str">
        <f t="shared" si="14"/>
        <v/>
      </c>
      <c r="F83" s="46" t="str">
        <f t="shared" si="15"/>
        <v/>
      </c>
      <c r="G83" s="46" t="str">
        <f t="shared" si="16"/>
        <v/>
      </c>
      <c r="H83" s="46" t="str">
        <f t="shared" si="17"/>
        <v/>
      </c>
      <c r="I83" s="46" t="str">
        <f t="shared" si="18"/>
        <v/>
      </c>
      <c r="J83" s="46" t="str">
        <f t="shared" si="19"/>
        <v/>
      </c>
      <c r="T83" s="28"/>
      <c r="U83" s="28"/>
      <c r="V83" s="28"/>
      <c r="W83" s="28"/>
      <c r="Z83" s="45"/>
      <c r="AA83" s="45" t="str">
        <f t="shared" si="20"/>
        <v/>
      </c>
    </row>
    <row r="84" spans="1:27" x14ac:dyDescent="0.25">
      <c r="A84" s="46"/>
      <c r="B84" s="47"/>
      <c r="C84" s="47"/>
      <c r="E84" s="46" t="str">
        <f t="shared" si="14"/>
        <v/>
      </c>
      <c r="F84" s="46" t="str">
        <f t="shared" si="15"/>
        <v/>
      </c>
      <c r="G84" s="46" t="str">
        <f t="shared" si="16"/>
        <v/>
      </c>
      <c r="H84" s="46" t="str">
        <f t="shared" si="17"/>
        <v/>
      </c>
      <c r="I84" s="46" t="str">
        <f t="shared" si="18"/>
        <v/>
      </c>
      <c r="J84" s="46" t="str">
        <f t="shared" si="19"/>
        <v/>
      </c>
      <c r="T84" s="28"/>
      <c r="U84" s="28"/>
      <c r="V84" s="28"/>
      <c r="W84" s="28"/>
      <c r="Z84" s="45"/>
      <c r="AA84" s="45" t="str">
        <f t="shared" si="20"/>
        <v/>
      </c>
    </row>
    <row r="85" spans="1:27" x14ac:dyDescent="0.25">
      <c r="A85" s="46"/>
      <c r="B85" s="47"/>
      <c r="C85" s="47"/>
      <c r="E85" s="46" t="str">
        <f t="shared" si="14"/>
        <v/>
      </c>
      <c r="F85" s="46" t="str">
        <f t="shared" si="15"/>
        <v/>
      </c>
      <c r="G85" s="46" t="str">
        <f t="shared" si="16"/>
        <v/>
      </c>
      <c r="H85" s="46" t="str">
        <f t="shared" si="17"/>
        <v/>
      </c>
      <c r="I85" s="46" t="str">
        <f t="shared" si="18"/>
        <v/>
      </c>
      <c r="J85" s="46" t="str">
        <f t="shared" si="19"/>
        <v/>
      </c>
      <c r="T85" s="28"/>
      <c r="U85" s="28"/>
      <c r="V85" s="28"/>
      <c r="W85" s="28"/>
      <c r="Z85" s="45"/>
      <c r="AA85" s="45" t="str">
        <f t="shared" si="20"/>
        <v/>
      </c>
    </row>
    <row r="86" spans="1:27" x14ac:dyDescent="0.25">
      <c r="A86" s="46"/>
      <c r="B86" s="47"/>
      <c r="C86" s="47"/>
      <c r="E86" s="46" t="str">
        <f t="shared" si="14"/>
        <v/>
      </c>
      <c r="F86" s="46" t="str">
        <f t="shared" si="15"/>
        <v/>
      </c>
      <c r="G86" s="46" t="str">
        <f t="shared" si="16"/>
        <v/>
      </c>
      <c r="H86" s="46" t="str">
        <f t="shared" si="17"/>
        <v/>
      </c>
      <c r="I86" s="46" t="str">
        <f t="shared" si="18"/>
        <v/>
      </c>
      <c r="J86" s="46" t="str">
        <f t="shared" si="19"/>
        <v/>
      </c>
      <c r="T86" s="28"/>
      <c r="U86" s="28"/>
      <c r="V86" s="28"/>
      <c r="W86" s="28"/>
      <c r="Z86" s="45"/>
      <c r="AA86" s="45" t="str">
        <f t="shared" si="20"/>
        <v/>
      </c>
    </row>
    <row r="87" spans="1:27" x14ac:dyDescent="0.25">
      <c r="A87" s="46"/>
      <c r="B87" s="47"/>
      <c r="C87" s="47"/>
      <c r="E87" s="46" t="str">
        <f t="shared" si="14"/>
        <v/>
      </c>
      <c r="F87" s="46" t="str">
        <f t="shared" si="15"/>
        <v/>
      </c>
      <c r="G87" s="46" t="str">
        <f t="shared" si="16"/>
        <v/>
      </c>
      <c r="H87" s="46" t="str">
        <f t="shared" si="17"/>
        <v/>
      </c>
      <c r="I87" s="46" t="str">
        <f t="shared" si="18"/>
        <v/>
      </c>
      <c r="J87" s="46" t="str">
        <f t="shared" si="19"/>
        <v/>
      </c>
      <c r="T87" s="28"/>
      <c r="U87" s="28"/>
      <c r="V87" s="28"/>
      <c r="W87" s="28"/>
      <c r="Z87" s="45"/>
      <c r="AA87" s="45" t="str">
        <f t="shared" si="20"/>
        <v/>
      </c>
    </row>
    <row r="88" spans="1:27" x14ac:dyDescent="0.25">
      <c r="A88" s="46"/>
      <c r="B88" s="47"/>
      <c r="C88" s="47"/>
      <c r="E88" s="46" t="str">
        <f t="shared" si="14"/>
        <v/>
      </c>
      <c r="F88" s="46" t="str">
        <f t="shared" si="15"/>
        <v/>
      </c>
      <c r="G88" s="46" t="str">
        <f t="shared" si="16"/>
        <v/>
      </c>
      <c r="H88" s="46" t="str">
        <f t="shared" si="17"/>
        <v/>
      </c>
      <c r="I88" s="46" t="str">
        <f t="shared" si="18"/>
        <v/>
      </c>
      <c r="J88" s="46" t="str">
        <f t="shared" si="19"/>
        <v/>
      </c>
      <c r="T88" s="28"/>
      <c r="U88" s="28"/>
      <c r="V88" s="28"/>
      <c r="W88" s="28"/>
      <c r="Z88" s="45"/>
      <c r="AA88" s="45" t="str">
        <f t="shared" si="20"/>
        <v/>
      </c>
    </row>
    <row r="89" spans="1:27" x14ac:dyDescent="0.25">
      <c r="A89" s="46"/>
      <c r="B89" s="47"/>
      <c r="C89" s="47"/>
      <c r="E89" s="46" t="str">
        <f t="shared" si="14"/>
        <v/>
      </c>
      <c r="F89" s="46" t="str">
        <f t="shared" si="15"/>
        <v/>
      </c>
      <c r="G89" s="46" t="str">
        <f t="shared" si="16"/>
        <v/>
      </c>
      <c r="H89" s="46" t="str">
        <f t="shared" si="17"/>
        <v/>
      </c>
      <c r="I89" s="46" t="str">
        <f t="shared" si="18"/>
        <v/>
      </c>
      <c r="J89" s="46" t="str">
        <f t="shared" si="19"/>
        <v/>
      </c>
      <c r="T89" s="28"/>
      <c r="U89" s="28"/>
      <c r="V89" s="28"/>
      <c r="W89" s="28"/>
      <c r="Z89" s="45"/>
      <c r="AA89" s="45" t="str">
        <f t="shared" si="20"/>
        <v/>
      </c>
    </row>
    <row r="90" spans="1:27" x14ac:dyDescent="0.25">
      <c r="A90" s="46"/>
      <c r="B90" s="47"/>
      <c r="C90" s="47"/>
      <c r="E90" s="46" t="str">
        <f t="shared" si="14"/>
        <v/>
      </c>
      <c r="F90" s="46" t="str">
        <f t="shared" si="15"/>
        <v/>
      </c>
      <c r="G90" s="46" t="str">
        <f t="shared" si="16"/>
        <v/>
      </c>
      <c r="H90" s="46" t="str">
        <f t="shared" si="17"/>
        <v/>
      </c>
      <c r="I90" s="46" t="str">
        <f t="shared" si="18"/>
        <v/>
      </c>
      <c r="J90" s="46" t="str">
        <f t="shared" si="19"/>
        <v/>
      </c>
      <c r="T90" s="28"/>
      <c r="U90" s="28"/>
      <c r="V90" s="28"/>
      <c r="W90" s="28"/>
      <c r="Z90" s="45"/>
      <c r="AA90" s="45" t="str">
        <f t="shared" si="20"/>
        <v/>
      </c>
    </row>
    <row r="91" spans="1:27" x14ac:dyDescent="0.25">
      <c r="A91" s="46"/>
      <c r="B91" s="47"/>
      <c r="C91" s="47"/>
      <c r="E91" s="46" t="str">
        <f t="shared" si="14"/>
        <v/>
      </c>
      <c r="F91" s="46" t="str">
        <f t="shared" si="15"/>
        <v/>
      </c>
      <c r="G91" s="46" t="str">
        <f t="shared" si="16"/>
        <v/>
      </c>
      <c r="H91" s="46" t="str">
        <f t="shared" si="17"/>
        <v/>
      </c>
      <c r="I91" s="46" t="str">
        <f t="shared" si="18"/>
        <v/>
      </c>
      <c r="J91" s="46" t="str">
        <f t="shared" si="19"/>
        <v/>
      </c>
      <c r="T91" s="28"/>
      <c r="U91" s="28"/>
      <c r="V91" s="28"/>
      <c r="W91" s="28"/>
      <c r="Z91" s="45"/>
      <c r="AA91" s="45" t="str">
        <f t="shared" si="20"/>
        <v/>
      </c>
    </row>
    <row r="92" spans="1:27" x14ac:dyDescent="0.25">
      <c r="A92" s="46"/>
      <c r="B92" s="47"/>
      <c r="C92" s="47"/>
      <c r="E92" s="46" t="str">
        <f t="shared" si="14"/>
        <v/>
      </c>
      <c r="F92" s="46" t="str">
        <f t="shared" si="15"/>
        <v/>
      </c>
      <c r="G92" s="46" t="str">
        <f t="shared" si="16"/>
        <v/>
      </c>
      <c r="H92" s="46" t="str">
        <f t="shared" si="17"/>
        <v/>
      </c>
      <c r="I92" s="46" t="str">
        <f t="shared" si="18"/>
        <v/>
      </c>
      <c r="J92" s="46" t="str">
        <f t="shared" si="19"/>
        <v/>
      </c>
      <c r="T92" s="28"/>
      <c r="U92" s="28"/>
      <c r="V92" s="28"/>
      <c r="W92" s="28"/>
      <c r="Z92" s="45"/>
      <c r="AA92" s="45" t="str">
        <f t="shared" si="20"/>
        <v/>
      </c>
    </row>
    <row r="93" spans="1:27" x14ac:dyDescent="0.25">
      <c r="A93" s="46"/>
      <c r="B93" s="47"/>
      <c r="C93" s="47"/>
      <c r="E93" s="46" t="str">
        <f t="shared" si="14"/>
        <v/>
      </c>
      <c r="F93" s="46" t="str">
        <f t="shared" si="15"/>
        <v/>
      </c>
      <c r="G93" s="46" t="str">
        <f t="shared" si="16"/>
        <v/>
      </c>
      <c r="H93" s="46" t="str">
        <f t="shared" si="17"/>
        <v/>
      </c>
      <c r="I93" s="46" t="str">
        <f t="shared" si="18"/>
        <v/>
      </c>
      <c r="J93" s="46" t="str">
        <f t="shared" si="19"/>
        <v/>
      </c>
      <c r="T93" s="28"/>
      <c r="U93" s="28"/>
      <c r="V93" s="28"/>
      <c r="W93" s="28"/>
      <c r="Z93" s="45"/>
      <c r="AA93" s="45" t="str">
        <f t="shared" si="20"/>
        <v/>
      </c>
    </row>
    <row r="94" spans="1:27" x14ac:dyDescent="0.25">
      <c r="A94" s="46"/>
      <c r="B94" s="47"/>
      <c r="C94" s="47"/>
      <c r="E94" s="46" t="str">
        <f t="shared" si="14"/>
        <v/>
      </c>
      <c r="F94" s="46" t="str">
        <f t="shared" si="15"/>
        <v/>
      </c>
      <c r="G94" s="46" t="str">
        <f t="shared" si="16"/>
        <v/>
      </c>
      <c r="H94" s="46" t="str">
        <f t="shared" si="17"/>
        <v/>
      </c>
      <c r="I94" s="46" t="str">
        <f t="shared" si="18"/>
        <v/>
      </c>
      <c r="J94" s="46" t="str">
        <f t="shared" si="19"/>
        <v/>
      </c>
      <c r="T94" s="28"/>
      <c r="U94" s="28"/>
      <c r="V94" s="28"/>
      <c r="W94" s="28"/>
      <c r="Z94" s="45"/>
      <c r="AA94" s="45" t="str">
        <f t="shared" si="20"/>
        <v/>
      </c>
    </row>
    <row r="95" spans="1:27" x14ac:dyDescent="0.25">
      <c r="A95" s="46"/>
      <c r="B95" s="47"/>
      <c r="C95" s="47"/>
      <c r="E95" s="46" t="str">
        <f t="shared" si="14"/>
        <v/>
      </c>
      <c r="F95" s="46" t="str">
        <f t="shared" si="15"/>
        <v/>
      </c>
      <c r="G95" s="46" t="str">
        <f t="shared" si="16"/>
        <v/>
      </c>
      <c r="H95" s="46" t="str">
        <f t="shared" si="17"/>
        <v/>
      </c>
      <c r="I95" s="46" t="str">
        <f t="shared" si="18"/>
        <v/>
      </c>
      <c r="J95" s="46" t="str">
        <f t="shared" si="19"/>
        <v/>
      </c>
      <c r="T95" s="28"/>
      <c r="U95" s="28"/>
      <c r="V95" s="28"/>
      <c r="W95" s="28"/>
      <c r="Z95" s="45"/>
      <c r="AA95" s="45" t="str">
        <f t="shared" si="20"/>
        <v/>
      </c>
    </row>
    <row r="96" spans="1:27" x14ac:dyDescent="0.25">
      <c r="A96" s="46"/>
      <c r="B96" s="47"/>
      <c r="C96" s="47"/>
      <c r="E96" s="46" t="str">
        <f t="shared" si="14"/>
        <v/>
      </c>
      <c r="F96" s="46" t="str">
        <f t="shared" si="15"/>
        <v/>
      </c>
      <c r="G96" s="46" t="str">
        <f t="shared" si="16"/>
        <v/>
      </c>
      <c r="H96" s="46" t="str">
        <f t="shared" si="17"/>
        <v/>
      </c>
      <c r="I96" s="46" t="str">
        <f t="shared" si="18"/>
        <v/>
      </c>
      <c r="J96" s="46" t="str">
        <f t="shared" si="19"/>
        <v/>
      </c>
      <c r="T96" s="28"/>
      <c r="U96" s="28"/>
      <c r="V96" s="28"/>
      <c r="W96" s="28"/>
      <c r="Z96" s="45"/>
      <c r="AA96" s="45" t="str">
        <f t="shared" si="20"/>
        <v/>
      </c>
    </row>
    <row r="97" spans="1:27" x14ac:dyDescent="0.25">
      <c r="A97" s="46"/>
      <c r="B97" s="47"/>
      <c r="C97" s="47"/>
      <c r="E97" s="46" t="str">
        <f t="shared" si="14"/>
        <v/>
      </c>
      <c r="F97" s="46" t="str">
        <f t="shared" si="15"/>
        <v/>
      </c>
      <c r="G97" s="46" t="str">
        <f t="shared" si="16"/>
        <v/>
      </c>
      <c r="H97" s="46" t="str">
        <f t="shared" si="17"/>
        <v/>
      </c>
      <c r="I97" s="46" t="str">
        <f t="shared" si="18"/>
        <v/>
      </c>
      <c r="J97" s="46" t="str">
        <f t="shared" si="19"/>
        <v/>
      </c>
      <c r="T97" s="28"/>
      <c r="U97" s="28"/>
      <c r="V97" s="28"/>
      <c r="W97" s="28"/>
      <c r="Z97" s="45"/>
      <c r="AA97" s="45" t="str">
        <f t="shared" si="20"/>
        <v/>
      </c>
    </row>
    <row r="98" spans="1:27" x14ac:dyDescent="0.25">
      <c r="A98" s="46"/>
      <c r="B98" s="47"/>
      <c r="C98" s="47"/>
      <c r="E98" s="46" t="str">
        <f t="shared" si="14"/>
        <v/>
      </c>
      <c r="F98" s="46" t="str">
        <f t="shared" si="15"/>
        <v/>
      </c>
      <c r="G98" s="46" t="str">
        <f t="shared" si="16"/>
        <v/>
      </c>
      <c r="H98" s="46" t="str">
        <f t="shared" si="17"/>
        <v/>
      </c>
      <c r="I98" s="46" t="str">
        <f t="shared" si="18"/>
        <v/>
      </c>
      <c r="J98" s="46" t="str">
        <f t="shared" si="19"/>
        <v/>
      </c>
      <c r="T98" s="28"/>
      <c r="U98" s="28"/>
      <c r="V98" s="28"/>
      <c r="W98" s="28"/>
      <c r="Z98" s="45"/>
      <c r="AA98" s="45" t="str">
        <f t="shared" si="20"/>
        <v/>
      </c>
    </row>
    <row r="99" spans="1:27" x14ac:dyDescent="0.25">
      <c r="A99" s="46"/>
      <c r="B99" s="47"/>
      <c r="C99" s="47"/>
      <c r="E99" s="46" t="str">
        <f t="shared" si="14"/>
        <v/>
      </c>
      <c r="F99" s="46" t="str">
        <f t="shared" si="15"/>
        <v/>
      </c>
      <c r="G99" s="46" t="str">
        <f t="shared" si="16"/>
        <v/>
      </c>
      <c r="H99" s="46" t="str">
        <f t="shared" si="17"/>
        <v/>
      </c>
      <c r="I99" s="46" t="str">
        <f t="shared" si="18"/>
        <v/>
      </c>
      <c r="J99" s="46" t="str">
        <f t="shared" si="19"/>
        <v/>
      </c>
      <c r="T99" s="28"/>
      <c r="U99" s="28"/>
      <c r="V99" s="28"/>
      <c r="W99" s="28"/>
      <c r="Z99" s="45"/>
      <c r="AA99" s="45" t="str">
        <f t="shared" si="20"/>
        <v/>
      </c>
    </row>
    <row r="100" spans="1:27" x14ac:dyDescent="0.25">
      <c r="A100" s="46"/>
      <c r="B100" s="47"/>
      <c r="C100" s="47"/>
      <c r="E100" s="46" t="str">
        <f t="shared" si="14"/>
        <v/>
      </c>
      <c r="F100" s="46" t="str">
        <f t="shared" si="15"/>
        <v/>
      </c>
      <c r="G100" s="46" t="str">
        <f t="shared" si="16"/>
        <v/>
      </c>
      <c r="H100" s="46" t="str">
        <f t="shared" si="17"/>
        <v/>
      </c>
      <c r="I100" s="46" t="str">
        <f t="shared" si="18"/>
        <v/>
      </c>
      <c r="J100" s="46" t="str">
        <f t="shared" si="19"/>
        <v/>
      </c>
      <c r="T100" s="28"/>
      <c r="U100" s="28"/>
      <c r="V100" s="28"/>
      <c r="W100" s="28"/>
      <c r="Z100" s="45"/>
      <c r="AA100" s="45" t="str">
        <f t="shared" si="20"/>
        <v/>
      </c>
    </row>
    <row r="101" spans="1:27" x14ac:dyDescent="0.25">
      <c r="A101" s="46"/>
      <c r="B101" s="47"/>
      <c r="C101" s="47"/>
      <c r="E101" s="46" t="str">
        <f t="shared" si="14"/>
        <v/>
      </c>
      <c r="F101" s="46" t="str">
        <f t="shared" ref="F101:F104" si="21">IF(E101="","",RADIANS(E101))</f>
        <v/>
      </c>
      <c r="G101" s="46" t="str">
        <f t="shared" ref="G101:G104" si="22">IF(E101="","",COS(F101))</f>
        <v/>
      </c>
      <c r="H101" s="46" t="str">
        <f t="shared" si="17"/>
        <v/>
      </c>
      <c r="I101" s="46" t="str">
        <f t="shared" si="18"/>
        <v/>
      </c>
      <c r="J101" s="46" t="str">
        <f t="shared" si="19"/>
        <v/>
      </c>
      <c r="T101" s="28"/>
      <c r="U101" s="28"/>
      <c r="V101" s="28"/>
      <c r="W101" s="28"/>
      <c r="Z101" s="45"/>
      <c r="AA101" s="45" t="str">
        <f t="shared" si="20"/>
        <v/>
      </c>
    </row>
    <row r="102" spans="1:27" x14ac:dyDescent="0.25">
      <c r="A102" s="46"/>
      <c r="B102" s="47"/>
      <c r="C102" s="47"/>
      <c r="E102" s="46" t="str">
        <f t="shared" si="14"/>
        <v/>
      </c>
      <c r="F102" s="46" t="str">
        <f t="shared" si="21"/>
        <v/>
      </c>
      <c r="G102" s="46" t="str">
        <f t="shared" si="22"/>
        <v/>
      </c>
      <c r="H102" s="46" t="str">
        <f t="shared" si="17"/>
        <v/>
      </c>
      <c r="I102" s="46" t="str">
        <f t="shared" si="18"/>
        <v/>
      </c>
      <c r="J102" s="46" t="str">
        <f t="shared" si="19"/>
        <v/>
      </c>
      <c r="T102" s="28"/>
      <c r="U102" s="28"/>
      <c r="V102" s="28"/>
      <c r="W102" s="28"/>
      <c r="Z102" s="45"/>
      <c r="AA102" s="45" t="str">
        <f t="shared" si="20"/>
        <v/>
      </c>
    </row>
    <row r="103" spans="1:27" x14ac:dyDescent="0.25">
      <c r="A103" s="46"/>
      <c r="B103" s="47"/>
      <c r="C103" s="47"/>
      <c r="E103" s="46" t="str">
        <f t="shared" si="14"/>
        <v/>
      </c>
      <c r="F103" s="46" t="str">
        <f t="shared" si="21"/>
        <v/>
      </c>
      <c r="G103" s="46" t="str">
        <f t="shared" si="22"/>
        <v/>
      </c>
      <c r="H103" s="46" t="str">
        <f t="shared" si="17"/>
        <v/>
      </c>
      <c r="I103" s="46" t="str">
        <f t="shared" si="18"/>
        <v/>
      </c>
      <c r="J103" s="46" t="str">
        <f t="shared" si="19"/>
        <v/>
      </c>
      <c r="T103" s="28"/>
      <c r="U103" s="28"/>
      <c r="V103" s="28"/>
      <c r="W103" s="28"/>
      <c r="Z103" s="45"/>
      <c r="AA103" s="45" t="str">
        <f t="shared" si="20"/>
        <v/>
      </c>
    </row>
    <row r="104" spans="1:27" x14ac:dyDescent="0.25">
      <c r="A104" s="46"/>
      <c r="B104" s="47"/>
      <c r="C104" s="47"/>
      <c r="E104" s="46" t="str">
        <f t="shared" si="14"/>
        <v/>
      </c>
      <c r="F104" s="46" t="str">
        <f t="shared" si="21"/>
        <v/>
      </c>
      <c r="G104" s="46" t="str">
        <f t="shared" si="22"/>
        <v/>
      </c>
      <c r="H104" s="46" t="str">
        <f t="shared" si="17"/>
        <v/>
      </c>
      <c r="I104" s="46" t="str">
        <f t="shared" si="18"/>
        <v/>
      </c>
      <c r="J104" s="46" t="str">
        <f t="shared" si="19"/>
        <v/>
      </c>
      <c r="T104" s="28"/>
      <c r="U104" s="28"/>
      <c r="V104" s="28"/>
      <c r="W104" s="28"/>
      <c r="Z104" s="45"/>
      <c r="AA104" s="45" t="str">
        <f t="shared" si="20"/>
        <v/>
      </c>
    </row>
    <row r="106" spans="1:27" x14ac:dyDescent="0.25">
      <c r="P106" s="25"/>
      <c r="Q106" s="25"/>
      <c r="R106" s="25"/>
      <c r="S106" s="25"/>
      <c r="T106" s="25"/>
      <c r="U106" s="25"/>
      <c r="V106" s="25"/>
      <c r="W106" s="25"/>
    </row>
    <row r="107" spans="1:27" x14ac:dyDescent="0.25">
      <c r="A107" s="35" t="s">
        <v>77</v>
      </c>
      <c r="P107" s="25"/>
      <c r="Q107" s="25"/>
      <c r="R107" s="25"/>
      <c r="S107" s="25"/>
      <c r="T107" s="25"/>
      <c r="U107" s="25"/>
      <c r="V107" s="25"/>
      <c r="W107" s="25"/>
    </row>
    <row r="108" spans="1:27" x14ac:dyDescent="0.25">
      <c r="A108" s="44" t="s">
        <v>75</v>
      </c>
      <c r="B108" s="44" t="s">
        <v>74</v>
      </c>
      <c r="P108" s="25"/>
      <c r="Q108" s="25"/>
      <c r="R108" s="25"/>
      <c r="S108" s="25"/>
      <c r="T108" s="25"/>
      <c r="U108" s="25"/>
      <c r="V108" s="25"/>
      <c r="W108" s="25"/>
    </row>
    <row r="109" spans="1:27" x14ac:dyDescent="0.25">
      <c r="A109" s="42" t="s">
        <v>73</v>
      </c>
      <c r="B109" s="41">
        <f>INDEX(LINEST($B$5:INDEX($B$5:$B$104,$O$1),$G$5:INDEX($G$5:$H$104,$O$1,2),TRUE(),TRUE()),1,1)</f>
        <v>-4.3983919595416406E-5</v>
      </c>
    </row>
    <row r="110" spans="1:27" x14ac:dyDescent="0.25">
      <c r="A110" s="42" t="s">
        <v>72</v>
      </c>
      <c r="B110" s="41">
        <f>INDEX(LINEST($B$5:INDEX($B$5:$B$104,$O$1),$G$5:INDEX($G$5:$H$104,$O$1,2),TRUE(),TRUE()),1,2)</f>
        <v>2.5945201572584028E-3</v>
      </c>
    </row>
    <row r="111" spans="1:27" x14ac:dyDescent="0.25">
      <c r="A111" s="42" t="s">
        <v>71</v>
      </c>
      <c r="B111" s="41">
        <f>INDEX(LINEST($B$5:INDEX($B$5:$B$104,$O$1),$G$5:INDEX($G$5:$H$104,$O$1,2),TRUE(),TRUE()),1,3)</f>
        <v>-1.5169361111110974E-4</v>
      </c>
    </row>
    <row r="113" spans="1:2" x14ac:dyDescent="0.25">
      <c r="A113" s="42" t="s">
        <v>70</v>
      </c>
      <c r="B113" s="43">
        <f>INDEX(LINEST($B$5:INDEX($B$5:$B$104,$O$1),$G$5:INDEX($G$5:$H$104,$O$1,2),TRUE(),TRUE()),3,1)</f>
        <v>0.7073964517998238</v>
      </c>
    </row>
    <row r="114" spans="1:2" x14ac:dyDescent="0.25">
      <c r="A114" s="42" t="s">
        <v>69</v>
      </c>
      <c r="B114" s="41">
        <f>INDEX(LINEST($B$5:INDEX($B$5:$B$104,$O$1),$G$5:INDEX($G$5:$H$104,$O$1,2),TRUE(),TRUE()),3,2)</f>
        <v>1.2325572045790891E-3</v>
      </c>
    </row>
    <row r="116" spans="1:2" x14ac:dyDescent="0.25">
      <c r="A116" s="31" t="s">
        <v>68</v>
      </c>
      <c r="B116" s="40">
        <f>SQRT(B110^2+B109^2)</f>
        <v>2.594892951858158E-3</v>
      </c>
    </row>
    <row r="117" spans="1:2" x14ac:dyDescent="0.25">
      <c r="A117" s="31" t="s">
        <v>67</v>
      </c>
      <c r="B117" s="30">
        <f>MOD(DEGREES(ATAN2(B110,B109)),360)</f>
        <v>359.02877933857837</v>
      </c>
    </row>
    <row r="119" spans="1:2" x14ac:dyDescent="0.25">
      <c r="A119" s="35"/>
    </row>
    <row r="120" spans="1:2" x14ac:dyDescent="0.25">
      <c r="A120" s="35"/>
      <c r="B120" s="35"/>
    </row>
    <row r="121" spans="1:2" x14ac:dyDescent="0.25">
      <c r="B121" s="36"/>
    </row>
    <row r="122" spans="1:2" x14ac:dyDescent="0.25">
      <c r="B122" s="36"/>
    </row>
    <row r="123" spans="1:2" x14ac:dyDescent="0.25">
      <c r="B123" s="36"/>
    </row>
    <row r="124" spans="1:2" x14ac:dyDescent="0.25">
      <c r="B124" s="36"/>
    </row>
    <row r="125" spans="1:2" x14ac:dyDescent="0.25">
      <c r="B125" s="36"/>
    </row>
    <row r="127" spans="1:2" x14ac:dyDescent="0.25">
      <c r="B127" s="37"/>
    </row>
    <row r="128" spans="1:2" x14ac:dyDescent="0.25">
      <c r="B128" s="36"/>
    </row>
    <row r="130" spans="1:17" x14ac:dyDescent="0.25">
      <c r="A130" s="35"/>
      <c r="B130" s="39"/>
      <c r="P130" s="35"/>
    </row>
    <row r="131" spans="1:17" x14ac:dyDescent="0.25">
      <c r="A131" s="35"/>
      <c r="B131" s="38"/>
      <c r="P131" s="35"/>
      <c r="Q131" s="35"/>
    </row>
    <row r="132" spans="1:17" x14ac:dyDescent="0.25">
      <c r="Q132" s="36"/>
    </row>
    <row r="133" spans="1:17" x14ac:dyDescent="0.25">
      <c r="A133" s="35" t="s">
        <v>76</v>
      </c>
      <c r="Q133" s="36"/>
    </row>
    <row r="134" spans="1:17" x14ac:dyDescent="0.25">
      <c r="A134" s="44" t="s">
        <v>75</v>
      </c>
      <c r="B134" s="44" t="s">
        <v>74</v>
      </c>
      <c r="Q134" s="36"/>
    </row>
    <row r="135" spans="1:17" x14ac:dyDescent="0.25">
      <c r="A135" s="42" t="s">
        <v>73</v>
      </c>
      <c r="B135" s="41">
        <f>INDEX(LINEST($C$5:INDEX($C$5:$C$104,$O$1),$G$5:INDEX($G$5:$H$104,$O$1,2),TRUE(),TRUE()),1,1)</f>
        <v>2.9005863461280491E-3</v>
      </c>
    </row>
    <row r="136" spans="1:17" x14ac:dyDescent="0.25">
      <c r="A136" s="42" t="s">
        <v>72</v>
      </c>
      <c r="B136" s="41">
        <f>INDEX(LINEST($C$5:INDEX($C$5:$C$104,$O$1),$G$5:INDEX($G$5:$H$104,$O$1,2),TRUE(),TRUE()),1,2)</f>
        <v>-4.0774405046888296E-4</v>
      </c>
      <c r="Q136" s="37"/>
    </row>
    <row r="137" spans="1:17" x14ac:dyDescent="0.25">
      <c r="A137" s="42" t="s">
        <v>71</v>
      </c>
      <c r="B137" s="41">
        <f>INDEX(LINEST($C$5:INDEX($C$5:$C$104,$O$1),$G$5:INDEX($G$5:$H$104,$O$1,2),TRUE(),TRUE()),1,3)</f>
        <v>-1.7844027777780114E-5</v>
      </c>
      <c r="Q137" s="36"/>
    </row>
    <row r="139" spans="1:17" x14ac:dyDescent="0.25">
      <c r="A139" s="42" t="s">
        <v>70</v>
      </c>
      <c r="B139" s="43">
        <f>INDEX(LINEST($C$5:INDEX($C$5:$C$104,$O$1),$G$5:INDEX($G$5:$H$104,$O$1,2),TRUE(),TRUE()),3,1)</f>
        <v>0.74849573193811758</v>
      </c>
      <c r="P139" s="35"/>
      <c r="Q139" s="39"/>
    </row>
    <row r="140" spans="1:17" x14ac:dyDescent="0.25">
      <c r="A140" s="42" t="s">
        <v>69</v>
      </c>
      <c r="B140" s="41">
        <f>INDEX(LINEST($C$5:INDEX($C$5:$C$104,$O$1),$G$5:INDEX($G$5:$H$104,$O$1,2),TRUE(),TRUE()),3,2)</f>
        <v>1.2539847212268249E-3</v>
      </c>
      <c r="P140" s="35"/>
      <c r="Q140" s="38"/>
    </row>
    <row r="142" spans="1:17" x14ac:dyDescent="0.25">
      <c r="A142" s="31" t="s">
        <v>68</v>
      </c>
      <c r="B142" s="40">
        <f>SQRT(B136^2+B135^2)</f>
        <v>2.929105044554947E-3</v>
      </c>
      <c r="P142" s="35"/>
    </row>
    <row r="143" spans="1:17" x14ac:dyDescent="0.25">
      <c r="A143" s="31" t="s">
        <v>67</v>
      </c>
      <c r="B143" s="30">
        <f>MOD(DEGREES(ATAN2(B136,B135)),360)</f>
        <v>98.001805798945313</v>
      </c>
      <c r="P143" s="35"/>
      <c r="Q143" s="35"/>
    </row>
    <row r="144" spans="1:17" x14ac:dyDescent="0.25">
      <c r="Q144" s="36"/>
    </row>
    <row r="145" spans="1:23" x14ac:dyDescent="0.25">
      <c r="A145" s="35"/>
      <c r="Q145" s="36"/>
    </row>
    <row r="146" spans="1:23" x14ac:dyDescent="0.25">
      <c r="A146" s="35"/>
      <c r="B146" s="35"/>
      <c r="Q146" s="36"/>
    </row>
    <row r="147" spans="1:23" x14ac:dyDescent="0.25">
      <c r="B147" s="36"/>
    </row>
    <row r="148" spans="1:23" x14ac:dyDescent="0.25">
      <c r="B148" s="36"/>
      <c r="Q148" s="37"/>
    </row>
    <row r="149" spans="1:23" x14ac:dyDescent="0.25">
      <c r="B149" s="36"/>
      <c r="Q149" s="36"/>
    </row>
    <row r="150" spans="1:23" x14ac:dyDescent="0.25">
      <c r="B150" s="36"/>
    </row>
    <row r="151" spans="1:23" x14ac:dyDescent="0.25">
      <c r="B151" s="36"/>
      <c r="P151" s="35"/>
      <c r="Q151" s="39"/>
    </row>
    <row r="152" spans="1:23" x14ac:dyDescent="0.25">
      <c r="P152" s="35"/>
      <c r="Q152" s="38"/>
    </row>
    <row r="153" spans="1:23" x14ac:dyDescent="0.25">
      <c r="B153" s="37"/>
    </row>
    <row r="154" spans="1:23" x14ac:dyDescent="0.25">
      <c r="B154" s="36"/>
      <c r="P154" s="114"/>
      <c r="Q154" s="114"/>
      <c r="R154" s="114"/>
      <c r="S154" s="114"/>
      <c r="T154" s="114"/>
      <c r="U154" s="114"/>
      <c r="V154" s="114"/>
      <c r="W154" s="114"/>
    </row>
    <row r="155" spans="1:23" x14ac:dyDescent="0.25">
      <c r="P155" s="34"/>
      <c r="Q155" s="34"/>
      <c r="R155" s="34"/>
      <c r="S155" s="34"/>
      <c r="T155" s="34"/>
    </row>
    <row r="156" spans="1:23" x14ac:dyDescent="0.25">
      <c r="A156" s="33"/>
      <c r="B156" s="32"/>
      <c r="P156" s="29"/>
      <c r="Q156" s="28"/>
      <c r="R156" s="28"/>
      <c r="S156" s="27"/>
      <c r="T156" s="26"/>
    </row>
    <row r="157" spans="1:23" x14ac:dyDescent="0.25">
      <c r="A157" s="31"/>
      <c r="B157" s="30"/>
      <c r="P157" s="29"/>
      <c r="Q157" s="28"/>
      <c r="R157" s="28"/>
      <c r="S157" s="27"/>
      <c r="T157" s="26"/>
    </row>
    <row r="159" spans="1:23" x14ac:dyDescent="0.25">
      <c r="P159" s="111"/>
      <c r="Q159" s="111"/>
      <c r="R159" s="111"/>
      <c r="S159" s="111"/>
      <c r="T159" s="111"/>
      <c r="U159" s="111"/>
      <c r="V159" s="111"/>
      <c r="W159" s="111"/>
    </row>
    <row r="160" spans="1:23" x14ac:dyDescent="0.25">
      <c r="P160" s="111"/>
      <c r="Q160" s="111"/>
      <c r="R160" s="111"/>
      <c r="S160" s="111"/>
      <c r="T160" s="111"/>
      <c r="U160" s="111"/>
      <c r="V160" s="111"/>
      <c r="W160" s="111"/>
    </row>
    <row r="161" spans="16:23" x14ac:dyDescent="0.25">
      <c r="P161" s="111"/>
      <c r="Q161" s="111"/>
      <c r="R161" s="111"/>
      <c r="S161" s="111"/>
      <c r="T161" s="111"/>
      <c r="U161" s="111"/>
      <c r="V161" s="111"/>
      <c r="W161" s="111"/>
    </row>
    <row r="162" spans="16:23" x14ac:dyDescent="0.25">
      <c r="P162" s="111"/>
      <c r="Q162" s="111"/>
      <c r="R162" s="111"/>
      <c r="S162" s="111"/>
      <c r="T162" s="111"/>
      <c r="U162" s="111"/>
      <c r="V162" s="111"/>
      <c r="W162" s="111"/>
    </row>
    <row r="163" spans="16:23" x14ac:dyDescent="0.25">
      <c r="P163" s="111"/>
      <c r="Q163" s="111"/>
      <c r="R163" s="111"/>
      <c r="S163" s="111"/>
      <c r="T163" s="111"/>
      <c r="U163" s="111"/>
      <c r="V163" s="111"/>
      <c r="W163" s="111"/>
    </row>
    <row r="164" spans="16:23" x14ac:dyDescent="0.25">
      <c r="P164" s="111"/>
      <c r="Q164" s="111"/>
      <c r="R164" s="111"/>
      <c r="S164" s="111"/>
      <c r="T164" s="111"/>
      <c r="U164" s="111"/>
      <c r="V164" s="111"/>
      <c r="W164" s="111"/>
    </row>
  </sheetData>
  <mergeCells count="5">
    <mergeCell ref="P159:W164"/>
    <mergeCell ref="A2:M2"/>
    <mergeCell ref="A3:M3"/>
    <mergeCell ref="A1:C1"/>
    <mergeCell ref="P154:W15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T19-4</vt:lpstr>
      <vt:lpstr>Regrese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2026-08-04T07:04:36Z</dcterms:modified>
</cp:coreProperties>
</file>