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2\"/>
    </mc:Choice>
  </mc:AlternateContent>
  <xr:revisionPtr revIDLastSave="0" documentId="13_ncr:1_{7948413B-A61B-47BE-82F2-1C06DAD8F547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L112" i="1"/>
  <c r="K112" i="1"/>
  <c r="M112" i="1" s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M102" i="1" s="1"/>
  <c r="K102" i="1"/>
  <c r="L101" i="1"/>
  <c r="K101" i="1"/>
  <c r="U100" i="1"/>
  <c r="L100" i="1"/>
  <c r="K100" i="1"/>
  <c r="L99" i="1"/>
  <c r="K99" i="1"/>
  <c r="L98" i="1"/>
  <c r="K98" i="1"/>
  <c r="L97" i="1"/>
  <c r="K97" i="1"/>
  <c r="L96" i="1"/>
  <c r="K96" i="1"/>
  <c r="M96" i="1" s="1"/>
  <c r="L95" i="1"/>
  <c r="K95" i="1"/>
  <c r="L94" i="1"/>
  <c r="M94" i="1" s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M87" i="1"/>
  <c r="L87" i="1"/>
  <c r="K87" i="1"/>
  <c r="L86" i="1"/>
  <c r="K86" i="1"/>
  <c r="L85" i="1"/>
  <c r="K85" i="1"/>
  <c r="M85" i="1" s="1"/>
  <c r="L84" i="1"/>
  <c r="K84" i="1"/>
  <c r="L83" i="1"/>
  <c r="K83" i="1"/>
  <c r="M83" i="1" s="1"/>
  <c r="L82" i="1"/>
  <c r="M82" i="1" s="1"/>
  <c r="K82" i="1"/>
  <c r="L81" i="1"/>
  <c r="K81" i="1"/>
  <c r="L80" i="1"/>
  <c r="K80" i="1"/>
  <c r="L79" i="1"/>
  <c r="K79" i="1"/>
  <c r="M79" i="1" s="1"/>
  <c r="L78" i="1"/>
  <c r="M78" i="1" s="1"/>
  <c r="K78" i="1"/>
  <c r="L77" i="1"/>
  <c r="K77" i="1"/>
  <c r="M77" i="1" s="1"/>
  <c r="AD74" i="1"/>
  <c r="AB74" i="1"/>
  <c r="AA74" i="1"/>
  <c r="Z74" i="1"/>
  <c r="Y74" i="1"/>
  <c r="V74" i="1"/>
  <c r="U74" i="1"/>
  <c r="AB73" i="1"/>
  <c r="AA73" i="1"/>
  <c r="AD73" i="1" s="1"/>
  <c r="Z73" i="1"/>
  <c r="Y73" i="1"/>
  <c r="V73" i="1"/>
  <c r="U73" i="1"/>
  <c r="AC72" i="1"/>
  <c r="AB72" i="1"/>
  <c r="AA72" i="1"/>
  <c r="AD72" i="1" s="1"/>
  <c r="Z72" i="1"/>
  <c r="Y72" i="1"/>
  <c r="V72" i="1"/>
  <c r="U72" i="1"/>
  <c r="AB71" i="1"/>
  <c r="AA71" i="1"/>
  <c r="Z71" i="1"/>
  <c r="Y71" i="1"/>
  <c r="V71" i="1"/>
  <c r="U71" i="1"/>
  <c r="AB70" i="1"/>
  <c r="AA70" i="1"/>
  <c r="AD70" i="1" s="1"/>
  <c r="Z70" i="1"/>
  <c r="Y70" i="1"/>
  <c r="V70" i="1"/>
  <c r="U70" i="1"/>
  <c r="AB69" i="1"/>
  <c r="AA69" i="1"/>
  <c r="Z69" i="1"/>
  <c r="Y69" i="1"/>
  <c r="AE69" i="1" s="1"/>
  <c r="AF69" i="1" s="1"/>
  <c r="V69" i="1"/>
  <c r="U69" i="1"/>
  <c r="AB68" i="1"/>
  <c r="AD68" i="1" s="1"/>
  <c r="AA68" i="1"/>
  <c r="Z68" i="1"/>
  <c r="Y68" i="1"/>
  <c r="AE68" i="1" s="1"/>
  <c r="V68" i="1"/>
  <c r="U68" i="1"/>
  <c r="AE67" i="1"/>
  <c r="AF67" i="1" s="1"/>
  <c r="AC67" i="1"/>
  <c r="AB67" i="1"/>
  <c r="AA67" i="1"/>
  <c r="Z67" i="1"/>
  <c r="Y67" i="1"/>
  <c r="V67" i="1"/>
  <c r="U67" i="1"/>
  <c r="AB66" i="1"/>
  <c r="AA66" i="1"/>
  <c r="AD66" i="1" s="1"/>
  <c r="Z66" i="1"/>
  <c r="Y66" i="1"/>
  <c r="AC66" i="1" s="1"/>
  <c r="V66" i="1"/>
  <c r="U66" i="1"/>
  <c r="U104" i="1" s="1"/>
  <c r="AB65" i="1"/>
  <c r="AA65" i="1"/>
  <c r="Z65" i="1"/>
  <c r="Y65" i="1"/>
  <c r="V65" i="1"/>
  <c r="U65" i="1"/>
  <c r="AB64" i="1"/>
  <c r="AA64" i="1"/>
  <c r="AD64" i="1" s="1"/>
  <c r="Z64" i="1"/>
  <c r="Y64" i="1"/>
  <c r="V64" i="1"/>
  <c r="U64" i="1"/>
  <c r="AB63" i="1"/>
  <c r="AA63" i="1"/>
  <c r="Z63" i="1"/>
  <c r="Y63" i="1"/>
  <c r="V63" i="1"/>
  <c r="U63" i="1"/>
  <c r="AB62" i="1"/>
  <c r="AA62" i="1"/>
  <c r="AD62" i="1" s="1"/>
  <c r="Z62" i="1"/>
  <c r="Y62" i="1"/>
  <c r="V62" i="1"/>
  <c r="U62" i="1"/>
  <c r="AE61" i="1"/>
  <c r="AF61" i="1" s="1"/>
  <c r="AB61" i="1"/>
  <c r="AA61" i="1"/>
  <c r="Z61" i="1"/>
  <c r="Y61" i="1"/>
  <c r="AC61" i="1" s="1"/>
  <c r="V61" i="1"/>
  <c r="U61" i="1"/>
  <c r="AB60" i="1"/>
  <c r="AA60" i="1"/>
  <c r="Z60" i="1"/>
  <c r="AC60" i="1" s="1"/>
  <c r="Y60" i="1"/>
  <c r="V60" i="1"/>
  <c r="U60" i="1"/>
  <c r="AB59" i="1"/>
  <c r="AA59" i="1"/>
  <c r="Z59" i="1"/>
  <c r="Y59" i="1"/>
  <c r="V59" i="1"/>
  <c r="U59" i="1"/>
  <c r="AB58" i="1"/>
  <c r="AA58" i="1"/>
  <c r="Z58" i="1"/>
  <c r="Y58" i="1"/>
  <c r="V58" i="1"/>
  <c r="U58" i="1"/>
  <c r="AB57" i="1"/>
  <c r="AA57" i="1"/>
  <c r="Z57" i="1"/>
  <c r="Y57" i="1"/>
  <c r="V57" i="1"/>
  <c r="U57" i="1"/>
  <c r="AE56" i="1"/>
  <c r="AB56" i="1"/>
  <c r="AA56" i="1"/>
  <c r="Z56" i="1"/>
  <c r="Y56" i="1"/>
  <c r="V56" i="1"/>
  <c r="U56" i="1"/>
  <c r="AB55" i="1"/>
  <c r="AA55" i="1"/>
  <c r="AD55" i="1" s="1"/>
  <c r="Z55" i="1"/>
  <c r="AE55" i="1" s="1"/>
  <c r="AF55" i="1" s="1"/>
  <c r="Y55" i="1"/>
  <c r="V55" i="1"/>
  <c r="U55" i="1"/>
  <c r="AB54" i="1"/>
  <c r="AA54" i="1"/>
  <c r="Z54" i="1"/>
  <c r="Y54" i="1"/>
  <c r="AC54" i="1" s="1"/>
  <c r="V54" i="1"/>
  <c r="U54" i="1"/>
  <c r="AB53" i="1"/>
  <c r="AA53" i="1"/>
  <c r="AD53" i="1" s="1"/>
  <c r="Z53" i="1"/>
  <c r="Y53" i="1"/>
  <c r="V53" i="1"/>
  <c r="U53" i="1"/>
  <c r="AB52" i="1"/>
  <c r="AA52" i="1"/>
  <c r="Z52" i="1"/>
  <c r="Y52" i="1"/>
  <c r="V52" i="1"/>
  <c r="U52" i="1"/>
  <c r="AB51" i="1"/>
  <c r="AA51" i="1"/>
  <c r="AD51" i="1" s="1"/>
  <c r="Z51" i="1"/>
  <c r="Y51" i="1"/>
  <c r="V51" i="1"/>
  <c r="U51" i="1"/>
  <c r="AD50" i="1"/>
  <c r="AB50" i="1"/>
  <c r="AA50" i="1"/>
  <c r="Z50" i="1"/>
  <c r="Y50" i="1"/>
  <c r="V50" i="1"/>
  <c r="U50" i="1"/>
  <c r="AB49" i="1"/>
  <c r="AA49" i="1"/>
  <c r="Z49" i="1"/>
  <c r="Y49" i="1"/>
  <c r="AE49" i="1" s="1"/>
  <c r="AF49" i="1" s="1"/>
  <c r="V49" i="1"/>
  <c r="U49" i="1"/>
  <c r="AB48" i="1"/>
  <c r="AA48" i="1"/>
  <c r="Z48" i="1"/>
  <c r="AE48" i="1" s="1"/>
  <c r="AF48" i="1" s="1"/>
  <c r="Y48" i="1"/>
  <c r="V48" i="1"/>
  <c r="U48" i="1"/>
  <c r="AB47" i="1"/>
  <c r="AA47" i="1"/>
  <c r="Z47" i="1"/>
  <c r="Y47" i="1"/>
  <c r="V47" i="1"/>
  <c r="U47" i="1"/>
  <c r="AB46" i="1"/>
  <c r="AA46" i="1"/>
  <c r="Z46" i="1"/>
  <c r="Y46" i="1"/>
  <c r="V46" i="1"/>
  <c r="U46" i="1"/>
  <c r="AB45" i="1"/>
  <c r="AA45" i="1"/>
  <c r="Z45" i="1"/>
  <c r="Y45" i="1"/>
  <c r="V45" i="1"/>
  <c r="U45" i="1"/>
  <c r="AE44" i="1"/>
  <c r="AB44" i="1"/>
  <c r="AA44" i="1"/>
  <c r="Z44" i="1"/>
  <c r="Y44" i="1"/>
  <c r="V44" i="1"/>
  <c r="U44" i="1"/>
  <c r="AB43" i="1"/>
  <c r="AA43" i="1"/>
  <c r="Z43" i="1"/>
  <c r="Y43" i="1"/>
  <c r="AE43" i="1" s="1"/>
  <c r="AF43" i="1" s="1"/>
  <c r="V43" i="1"/>
  <c r="U43" i="1"/>
  <c r="AB42" i="1"/>
  <c r="AA42" i="1"/>
  <c r="Z42" i="1"/>
  <c r="Y42" i="1"/>
  <c r="V42" i="1"/>
  <c r="U42" i="1"/>
  <c r="AB41" i="1"/>
  <c r="AA41" i="1"/>
  <c r="Z41" i="1"/>
  <c r="Y41" i="1"/>
  <c r="AC41" i="1" s="1"/>
  <c r="V41" i="1"/>
  <c r="U41" i="1"/>
  <c r="AB40" i="1"/>
  <c r="AA40" i="1"/>
  <c r="Z40" i="1"/>
  <c r="Y40" i="1"/>
  <c r="V40" i="1"/>
  <c r="U40" i="1"/>
  <c r="AB39" i="1"/>
  <c r="AA39" i="1"/>
  <c r="Z39" i="1"/>
  <c r="Y39" i="1"/>
  <c r="AE39" i="1" s="1"/>
  <c r="AF39" i="1" s="1"/>
  <c r="V39" i="1"/>
  <c r="U39" i="1"/>
  <c r="AE38" i="1"/>
  <c r="AB38" i="1"/>
  <c r="AD38" i="1" s="1"/>
  <c r="AD112" i="1" s="1"/>
  <c r="AA38" i="1"/>
  <c r="Z38" i="1"/>
  <c r="Y38" i="1"/>
  <c r="V38" i="1"/>
  <c r="V112" i="1" s="1"/>
  <c r="U38" i="1"/>
  <c r="U112" i="1" s="1"/>
  <c r="AB37" i="1"/>
  <c r="AA37" i="1"/>
  <c r="AD37" i="1" s="1"/>
  <c r="Z37" i="1"/>
  <c r="Y37" i="1"/>
  <c r="AE37" i="1" s="1"/>
  <c r="AF37" i="1" s="1"/>
  <c r="V37" i="1"/>
  <c r="V111" i="1" s="1"/>
  <c r="U37" i="1"/>
  <c r="U111" i="1" s="1"/>
  <c r="AB36" i="1"/>
  <c r="AA36" i="1"/>
  <c r="Z36" i="1"/>
  <c r="Y36" i="1"/>
  <c r="AC36" i="1" s="1"/>
  <c r="AC110" i="1" s="1"/>
  <c r="V36" i="1"/>
  <c r="V110" i="1" s="1"/>
  <c r="U36" i="1"/>
  <c r="AB35" i="1"/>
  <c r="AA35" i="1"/>
  <c r="Z35" i="1"/>
  <c r="Y35" i="1"/>
  <c r="V35" i="1"/>
  <c r="V109" i="1" s="1"/>
  <c r="U35" i="1"/>
  <c r="U109" i="1" s="1"/>
  <c r="U34" i="1"/>
  <c r="U33" i="1"/>
  <c r="U107" i="1" s="1"/>
  <c r="U32" i="1"/>
  <c r="U31" i="1"/>
  <c r="U105" i="1" s="1"/>
  <c r="U30" i="1"/>
  <c r="U29" i="1"/>
  <c r="U103" i="1" s="1"/>
  <c r="U28" i="1"/>
  <c r="U102" i="1" s="1"/>
  <c r="U27" i="1"/>
  <c r="U101" i="1" s="1"/>
  <c r="U26" i="1"/>
  <c r="U25" i="1"/>
  <c r="U99" i="1" s="1"/>
  <c r="U24" i="1"/>
  <c r="U98" i="1" s="1"/>
  <c r="U23" i="1"/>
  <c r="U22" i="1"/>
  <c r="U96" i="1" s="1"/>
  <c r="U21" i="1"/>
  <c r="U20" i="1"/>
  <c r="U94" i="1" s="1"/>
  <c r="U19" i="1"/>
  <c r="U18" i="1"/>
  <c r="U17" i="1"/>
  <c r="U16" i="1"/>
  <c r="U90" i="1" s="1"/>
  <c r="U15" i="1"/>
  <c r="U89" i="1" s="1"/>
  <c r="U14" i="1"/>
  <c r="U88" i="1" s="1"/>
  <c r="U13" i="1"/>
  <c r="U12" i="1"/>
  <c r="U86" i="1" s="1"/>
  <c r="U11" i="1"/>
  <c r="U10" i="1"/>
  <c r="U84" i="1" s="1"/>
  <c r="U9" i="1"/>
  <c r="U8" i="1"/>
  <c r="U82" i="1" s="1"/>
  <c r="U7" i="1"/>
  <c r="U6" i="1"/>
  <c r="U5" i="1"/>
  <c r="U4" i="1"/>
  <c r="U78" i="1" s="1"/>
  <c r="U3" i="1"/>
  <c r="U77" i="1" s="1"/>
  <c r="V34" i="1"/>
  <c r="V108" i="1" s="1"/>
  <c r="V33" i="1"/>
  <c r="V107" i="1" s="1"/>
  <c r="V32" i="1"/>
  <c r="V106" i="1" s="1"/>
  <c r="V31" i="1"/>
  <c r="V105" i="1" s="1"/>
  <c r="V30" i="1"/>
  <c r="V29" i="1"/>
  <c r="V103" i="1" s="1"/>
  <c r="V28" i="1"/>
  <c r="V27" i="1"/>
  <c r="V101" i="1" s="1"/>
  <c r="V26" i="1"/>
  <c r="V25" i="1"/>
  <c r="V99" i="1" s="1"/>
  <c r="V24" i="1"/>
  <c r="V98" i="1" s="1"/>
  <c r="V23" i="1"/>
  <c r="V97" i="1" s="1"/>
  <c r="V22" i="1"/>
  <c r="V96" i="1" s="1"/>
  <c r="V21" i="1"/>
  <c r="V95" i="1" s="1"/>
  <c r="V20" i="1"/>
  <c r="V94" i="1" s="1"/>
  <c r="V19" i="1"/>
  <c r="V18" i="1"/>
  <c r="V92" i="1" s="1"/>
  <c r="V17" i="1"/>
  <c r="V16" i="1"/>
  <c r="V90" i="1" s="1"/>
  <c r="V15" i="1"/>
  <c r="V14" i="1"/>
  <c r="V13" i="1"/>
  <c r="V12" i="1"/>
  <c r="V86" i="1" s="1"/>
  <c r="V11" i="1"/>
  <c r="V85" i="1" s="1"/>
  <c r="V10" i="1"/>
  <c r="V84" i="1" s="1"/>
  <c r="V9" i="1"/>
  <c r="V8" i="1"/>
  <c r="V82" i="1" s="1"/>
  <c r="V7" i="1"/>
  <c r="V6" i="1"/>
  <c r="V80" i="1" s="1"/>
  <c r="V5" i="1"/>
  <c r="V4" i="1"/>
  <c r="V78" i="1" s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E62" i="1" l="1"/>
  <c r="U91" i="1"/>
  <c r="M106" i="1"/>
  <c r="AD34" i="1"/>
  <c r="AD108" i="1" s="1"/>
  <c r="V88" i="1"/>
  <c r="V100" i="1"/>
  <c r="U80" i="1"/>
  <c r="U92" i="1"/>
  <c r="U110" i="1"/>
  <c r="AD39" i="1"/>
  <c r="AD41" i="1"/>
  <c r="AD43" i="1"/>
  <c r="AE51" i="1"/>
  <c r="AF51" i="1" s="1"/>
  <c r="M97" i="1"/>
  <c r="M107" i="1"/>
  <c r="U79" i="1"/>
  <c r="V89" i="1"/>
  <c r="U81" i="1"/>
  <c r="U93" i="1"/>
  <c r="AD45" i="1"/>
  <c r="AD47" i="1"/>
  <c r="AE57" i="1"/>
  <c r="AF57" i="1" s="1"/>
  <c r="M81" i="1"/>
  <c r="M98" i="1"/>
  <c r="AD8" i="1"/>
  <c r="U106" i="1"/>
  <c r="V79" i="1"/>
  <c r="V91" i="1"/>
  <c r="U83" i="1"/>
  <c r="U95" i="1"/>
  <c r="AD111" i="1"/>
  <c r="M90" i="1"/>
  <c r="V87" i="1"/>
  <c r="V104" i="1"/>
  <c r="U108" i="1"/>
  <c r="AD36" i="1"/>
  <c r="AD110" i="1" s="1"/>
  <c r="AC42" i="1"/>
  <c r="AD61" i="1"/>
  <c r="M109" i="1"/>
  <c r="V102" i="1"/>
  <c r="V81" i="1"/>
  <c r="V93" i="1"/>
  <c r="U85" i="1"/>
  <c r="U97" i="1"/>
  <c r="AD63" i="1"/>
  <c r="AD101" i="1" s="1"/>
  <c r="AD65" i="1"/>
  <c r="AD67" i="1"/>
  <c r="M99" i="1"/>
  <c r="V83" i="1"/>
  <c r="U87" i="1"/>
  <c r="AD44" i="1"/>
  <c r="AD46" i="1"/>
  <c r="AD48" i="1"/>
  <c r="AE73" i="1"/>
  <c r="AF73" i="1" s="1"/>
  <c r="M95" i="1"/>
  <c r="AC37" i="1"/>
  <c r="AD52" i="1"/>
  <c r="AD54" i="1"/>
  <c r="AD56" i="1"/>
  <c r="AD69" i="1"/>
  <c r="AD71" i="1"/>
  <c r="M111" i="1"/>
  <c r="AD82" i="1"/>
  <c r="M84" i="1"/>
  <c r="M86" i="1"/>
  <c r="M88" i="1"/>
  <c r="M92" i="1"/>
  <c r="AE36" i="1"/>
  <c r="AF36" i="1" s="1"/>
  <c r="AE28" i="1"/>
  <c r="AF28" i="1" s="1"/>
  <c r="AF44" i="1"/>
  <c r="AC49" i="1"/>
  <c r="AE60" i="1"/>
  <c r="AF60" i="1" s="1"/>
  <c r="X17" i="2"/>
  <c r="T17" i="2"/>
  <c r="AD58" i="1"/>
  <c r="AD60" i="1"/>
  <c r="AF62" i="1"/>
  <c r="M100" i="1"/>
  <c r="M104" i="1"/>
  <c r="M108" i="1"/>
  <c r="M110" i="1"/>
  <c r="M89" i="1"/>
  <c r="M91" i="1"/>
  <c r="M93" i="1"/>
  <c r="AF38" i="1"/>
  <c r="AC48" i="1"/>
  <c r="AC55" i="1"/>
  <c r="AE66" i="1"/>
  <c r="AC43" i="1"/>
  <c r="AE45" i="1"/>
  <c r="AF45" i="1" s="1"/>
  <c r="AC47" i="1"/>
  <c r="AE54" i="1"/>
  <c r="AF54" i="1" s="1"/>
  <c r="AD57" i="1"/>
  <c r="AD59" i="1"/>
  <c r="AF68" i="1"/>
  <c r="AC73" i="1"/>
  <c r="AC111" i="1" s="1"/>
  <c r="M101" i="1"/>
  <c r="M103" i="1"/>
  <c r="M105" i="1"/>
  <c r="R17" i="2"/>
  <c r="V17" i="2"/>
  <c r="AC38" i="1"/>
  <c r="AC112" i="1" s="1"/>
  <c r="AE42" i="1"/>
  <c r="AF42" i="1" s="1"/>
  <c r="AE50" i="1"/>
  <c r="AF50" i="1" s="1"/>
  <c r="AF56" i="1"/>
  <c r="AD35" i="1"/>
  <c r="AD109" i="1" s="1"/>
  <c r="AD40" i="1"/>
  <c r="AD42" i="1"/>
  <c r="AD49" i="1"/>
  <c r="AE63" i="1"/>
  <c r="AF63" i="1" s="1"/>
  <c r="AE72" i="1"/>
  <c r="AF72" i="1" s="1"/>
  <c r="M80" i="1"/>
  <c r="V77" i="1"/>
  <c r="AF71" i="1"/>
  <c r="AF66" i="1"/>
  <c r="AC53" i="1"/>
  <c r="AC59" i="1"/>
  <c r="AC65" i="1"/>
  <c r="AC71" i="1"/>
  <c r="AE35" i="1"/>
  <c r="AF35" i="1" s="1"/>
  <c r="AC40" i="1"/>
  <c r="AC46" i="1"/>
  <c r="AE47" i="1"/>
  <c r="AF47" i="1" s="1"/>
  <c r="AC52" i="1"/>
  <c r="AE53" i="1"/>
  <c r="AF53" i="1" s="1"/>
  <c r="AC58" i="1"/>
  <c r="AE59" i="1"/>
  <c r="AF59" i="1" s="1"/>
  <c r="AC64" i="1"/>
  <c r="AE65" i="1"/>
  <c r="AF65" i="1" s="1"/>
  <c r="AC70" i="1"/>
  <c r="AE71" i="1"/>
  <c r="AC35" i="1"/>
  <c r="AE41" i="1"/>
  <c r="AF41" i="1"/>
  <c r="AC39" i="1"/>
  <c r="AE40" i="1"/>
  <c r="AF40" i="1" s="1"/>
  <c r="AC45" i="1"/>
  <c r="AE46" i="1"/>
  <c r="AF46" i="1" s="1"/>
  <c r="AC51" i="1"/>
  <c r="AE52" i="1"/>
  <c r="AF52" i="1" s="1"/>
  <c r="AC57" i="1"/>
  <c r="AE58" i="1"/>
  <c r="AF58" i="1" s="1"/>
  <c r="AC63" i="1"/>
  <c r="AE64" i="1"/>
  <c r="AF64" i="1" s="1"/>
  <c r="AC69" i="1"/>
  <c r="AE70" i="1"/>
  <c r="AF70" i="1" s="1"/>
  <c r="AC44" i="1"/>
  <c r="AC50" i="1"/>
  <c r="AC56" i="1"/>
  <c r="AC62" i="1"/>
  <c r="AC68" i="1"/>
  <c r="AC74" i="1"/>
  <c r="AE74" i="1"/>
  <c r="AF74" i="1" s="1"/>
  <c r="AD33" i="1"/>
  <c r="AD107" i="1" s="1"/>
  <c r="AD4" i="1"/>
  <c r="AD78" i="1" s="1"/>
  <c r="AC34" i="1"/>
  <c r="AC108" i="1" s="1"/>
  <c r="AD28" i="1"/>
  <c r="AD102" i="1" s="1"/>
  <c r="AD19" i="1"/>
  <c r="AD93" i="1" s="1"/>
  <c r="AE25" i="1"/>
  <c r="AF25" i="1" s="1"/>
  <c r="AE31" i="1"/>
  <c r="AF31" i="1" s="1"/>
  <c r="AE21" i="1"/>
  <c r="AF21" i="1" s="1"/>
  <c r="AD32" i="1"/>
  <c r="AD106" i="1" s="1"/>
  <c r="AD18" i="1"/>
  <c r="AD24" i="1"/>
  <c r="AD98" i="1" s="1"/>
  <c r="AD22" i="1"/>
  <c r="AD96" i="1" s="1"/>
  <c r="AD11" i="1"/>
  <c r="AD85" i="1" s="1"/>
  <c r="AD14" i="1"/>
  <c r="AD88" i="1" s="1"/>
  <c r="AD23" i="1"/>
  <c r="AD26" i="1"/>
  <c r="AD100" i="1" s="1"/>
  <c r="AC24" i="1"/>
  <c r="AC98" i="1" s="1"/>
  <c r="AC27" i="1"/>
  <c r="AC101" i="1" s="1"/>
  <c r="AD3" i="1"/>
  <c r="AD77" i="1" s="1"/>
  <c r="AD6" i="1"/>
  <c r="AD80" i="1" s="1"/>
  <c r="AD9" i="1"/>
  <c r="AD83" i="1" s="1"/>
  <c r="AD12" i="1"/>
  <c r="AD15" i="1"/>
  <c r="AD89" i="1" s="1"/>
  <c r="AD21" i="1"/>
  <c r="AC18" i="1"/>
  <c r="AC92" i="1" s="1"/>
  <c r="AE30" i="1"/>
  <c r="AF30" i="1" s="1"/>
  <c r="AD30" i="1"/>
  <c r="AD104" i="1" s="1"/>
  <c r="AD25" i="1"/>
  <c r="AD99" i="1" s="1"/>
  <c r="AE22" i="1"/>
  <c r="AF22" i="1" s="1"/>
  <c r="AD31" i="1"/>
  <c r="AD20" i="1"/>
  <c r="AE3" i="1"/>
  <c r="AF3" i="1" s="1"/>
  <c r="AC6" i="1"/>
  <c r="AC80" i="1" s="1"/>
  <c r="AC12" i="1"/>
  <c r="AC86" i="1" s="1"/>
  <c r="AC15" i="1"/>
  <c r="AC89" i="1" s="1"/>
  <c r="AC21" i="1"/>
  <c r="AC95" i="1" s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C93" i="1" s="1"/>
  <c r="AE20" i="1"/>
  <c r="AF20" i="1" s="1"/>
  <c r="AC30" i="1"/>
  <c r="AC104" i="1" s="1"/>
  <c r="AE32" i="1"/>
  <c r="AF32" i="1" s="1"/>
  <c r="AC33" i="1"/>
  <c r="AC107" i="1" s="1"/>
  <c r="AC20" i="1"/>
  <c r="AC23" i="1"/>
  <c r="AC97" i="1" s="1"/>
  <c r="AC26" i="1"/>
  <c r="AC29" i="1"/>
  <c r="AC103" i="1" s="1"/>
  <c r="AC32" i="1"/>
  <c r="AC106" i="1" s="1"/>
  <c r="AC22" i="1"/>
  <c r="AC25" i="1"/>
  <c r="AC99" i="1" s="1"/>
  <c r="AC28" i="1"/>
  <c r="AC102" i="1" s="1"/>
  <c r="AC31" i="1"/>
  <c r="AC105" i="1" s="1"/>
  <c r="AD13" i="1"/>
  <c r="AD87" i="1" s="1"/>
  <c r="AD16" i="1"/>
  <c r="AD7" i="1"/>
  <c r="AD10" i="1"/>
  <c r="AD84" i="1" s="1"/>
  <c r="AD5" i="1"/>
  <c r="AC9" i="1"/>
  <c r="AD17" i="1"/>
  <c r="AD91" i="1" s="1"/>
  <c r="AC5" i="1"/>
  <c r="AC79" i="1" s="1"/>
  <c r="AC8" i="1"/>
  <c r="AC11" i="1"/>
  <c r="AC14" i="1"/>
  <c r="AC17" i="1"/>
  <c r="AC91" i="1" s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8" i="1" s="1"/>
  <c r="AC7" i="1"/>
  <c r="AC81" i="1" s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AD79" i="1" l="1"/>
  <c r="AD105" i="1"/>
  <c r="AC94" i="1"/>
  <c r="AC100" i="1"/>
  <c r="AC109" i="1"/>
  <c r="AD94" i="1"/>
  <c r="AD81" i="1"/>
  <c r="AC83" i="1"/>
  <c r="AD97" i="1"/>
  <c r="AD95" i="1"/>
  <c r="AD90" i="1"/>
  <c r="AC85" i="1"/>
  <c r="AC87" i="1"/>
  <c r="AC96" i="1"/>
  <c r="AD103" i="1"/>
  <c r="AD86" i="1"/>
  <c r="AD92" i="1"/>
  <c r="AC88" i="1"/>
  <c r="AC90" i="1"/>
  <c r="AC82" i="1"/>
  <c r="AC77" i="1"/>
  <c r="AC84" i="1"/>
</calcChain>
</file>

<file path=xl/sharedStrings.xml><?xml version="1.0" encoding="utf-8"?>
<sst xmlns="http://schemas.openxmlformats.org/spreadsheetml/2006/main" count="155" uniqueCount="68">
  <si>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</si>
  <si>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</si>
  <si>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</si>
  <si>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</si>
  <si>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</si>
  <si>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</si>
  <si>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</si>
  <si>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</si>
  <si>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</si>
  <si>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</si>
  <si>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</si>
  <si>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</si>
  <si>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</si>
  <si>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</si>
  <si>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</si>
  <si>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</si>
  <si>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</si>
  <si>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</si>
  <si>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</si>
  <si>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</si>
  <si>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</si>
  <si>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</si>
  <si>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</si>
  <si>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</si>
  <si>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</si>
  <si>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</si>
  <si>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</si>
  <si>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</si>
  <si>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</si>
  <si>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</si>
  <si>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</si>
  <si>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</si>
  <si>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</si>
  <si>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</si>
  <si>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</si>
  <si>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</si>
  <si>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</si>
  <si>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</si>
  <si>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</si>
  <si>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</si>
  <si>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</si>
  <si>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</si>
  <si>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</si>
  <si>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</si>
  <si>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</si>
  <si>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</si>
  <si>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</si>
  <si>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</si>
  <si>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</si>
  <si>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</si>
  <si>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</si>
  <si>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</si>
  <si>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</si>
  <si>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</si>
  <si>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</si>
  <si>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</si>
  <si>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</si>
  <si>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</si>
  <si>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</si>
  <si>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CCW</t>
  </si>
  <si>
    <t>CW</t>
  </si>
  <si>
    <t>(xC-xA)/2</t>
  </si>
  <si>
    <t>HORIZONTAL slepý test 360-kontrola accel-lepší csv-azimut parametr-fixed trim settle-s navratem do A-antibacklash-CW-CCW-I2Coprava-název testu-teplota-oprava2-watchdog.py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</si>
  <si>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</si>
  <si>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</si>
  <si>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T19-2</t>
  </si>
  <si>
    <t>0 lehce vpravo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</si>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</sst>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2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'T19-2'!$U$2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'T19-2'!$U$3:$U$38</c:f>
              <c:numCache>
                <c:formatCode>0.000000</c:formatCode>
                <c:ptCount val="36"/>
                <c:pt idx="0">
                  <c:v>1.7250000000000043E-3</c:v>
                </c:pt>
                <c:pt idx="1">
                  <c:v>3.637499999999988E-3</c:v>
                </c:pt>
                <c:pt idx="2">
                  <c:v>2.0583500000000143E-3</c:v>
                </c:pt>
                <c:pt idx="3">
                  <c:v>3.185720000000003E-3</c:v>
                </c:pt>
                <c:pt idx="4">
                  <c:v>2.3599599999999943E-3</c:v>
                </c:pt>
                <c:pt idx="5">
                  <c:v>2.050009999999991E-3</c:v>
                </c:pt>
                <c:pt idx="6">
                  <c:v>2.4638800000000016E-3</c:v>
                </c:pt>
                <c:pt idx="7">
                  <c:v>-1.1343799999999904E-3</c:v>
                </c:pt>
                <c:pt idx="8">
                  <c:v>-2.3505999999998139E-4</c:v>
                </c:pt>
                <c:pt idx="9">
                  <c:v>-2.6200200000000007E-3</c:v>
                </c:pt>
                <c:pt idx="10">
                  <c:v>-1.0175000000000045E-3</c:v>
                </c:pt>
                <c:pt idx="11">
                  <c:v>-2.6917200000000086E-3</c:v>
                </c:pt>
                <c:pt idx="12">
                  <c:v>-5.8607200000000137E-3</c:v>
                </c:pt>
                <c:pt idx="13">
                  <c:v>8.4164000000000461E-4</c:v>
                </c:pt>
                <c:pt idx="14">
                  <c:v>-3.6874000000000628E-4</c:v>
                </c:pt>
                <c:pt idx="15">
                  <c:v>-2.0900399999999875E-3</c:v>
                </c:pt>
                <c:pt idx="16">
                  <c:v>-2.9785400000000017E-3</c:v>
                </c:pt>
                <c:pt idx="17">
                  <c:v>-5.3416200000000191E-3</c:v>
                </c:pt>
                <c:pt idx="18">
                  <c:v>-3.4041600000000172E-3</c:v>
                </c:pt>
                <c:pt idx="19">
                  <c:v>-2.8583400000000148E-3</c:v>
                </c:pt>
                <c:pt idx="20">
                  <c:v>3.3299999999999996E-3</c:v>
                </c:pt>
                <c:pt idx="21">
                  <c:v>1.5454000000000856E-4</c:v>
                </c:pt>
                <c:pt idx="22">
                  <c:v>-9.5832999999997948E-4</c:v>
                </c:pt>
                <c:pt idx="23">
                  <c:v>-2.1246000000002541E-4</c:v>
                </c:pt>
                <c:pt idx="24">
                  <c:v>-4.6876999999997948E-4</c:v>
                </c:pt>
                <c:pt idx="25">
                  <c:v>3.4124299999999941E-3</c:v>
                </c:pt>
                <c:pt idx="26">
                  <c:v>7.2142000000000039E-4</c:v>
                </c:pt>
                <c:pt idx="27">
                  <c:v>-1.3001999999998071E-4</c:v>
                </c:pt>
                <c:pt idx="28">
                  <c:v>2.7083999999999442E-4</c:v>
                </c:pt>
                <c:pt idx="29">
                  <c:v>1.3874799999999965E-3</c:v>
                </c:pt>
                <c:pt idx="30">
                  <c:v>1.920000000000005E-3</c:v>
                </c:pt>
                <c:pt idx="31">
                  <c:v>2.3437300000000161E-3</c:v>
                </c:pt>
                <c:pt idx="32">
                  <c:v>4.3312299999999915E-3</c:v>
                </c:pt>
                <c:pt idx="33">
                  <c:v>4.9150000000000027E-3</c:v>
                </c:pt>
                <c:pt idx="34">
                  <c:v>5.1931600000000022E-3</c:v>
                </c:pt>
                <c:pt idx="35">
                  <c:v>6.2499999999998668E-4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'T19-2'!$V$3:$V$38</c:f>
              <c:numCache>
                <c:formatCode>0.000000</c:formatCode>
                <c:ptCount val="36"/>
                <c:pt idx="0">
                  <c:v>1.1187799999999859E-3</c:v>
                </c:pt>
                <c:pt idx="1">
                  <c:v>1.981210000000011E-3</c:v>
                </c:pt>
                <c:pt idx="2">
                  <c:v>2.6083700000000265E-3</c:v>
                </c:pt>
                <c:pt idx="3">
                  <c:v>3.5071300000000249E-3</c:v>
                </c:pt>
                <c:pt idx="4">
                  <c:v>2.5399499999999575E-3</c:v>
                </c:pt>
                <c:pt idx="5">
                  <c:v>3.6374700000000315E-3</c:v>
                </c:pt>
                <c:pt idx="6">
                  <c:v>5.7694299999999643E-3</c:v>
                </c:pt>
                <c:pt idx="7">
                  <c:v>3.7218900000000055E-3</c:v>
                </c:pt>
                <c:pt idx="8">
                  <c:v>6.5850399999999865E-3</c:v>
                </c:pt>
                <c:pt idx="9">
                  <c:v>3.4949599999999914E-3</c:v>
                </c:pt>
                <c:pt idx="10">
                  <c:v>3.1024999999999525E-3</c:v>
                </c:pt>
                <c:pt idx="11">
                  <c:v>6.8208500000000172E-3</c:v>
                </c:pt>
                <c:pt idx="12">
                  <c:v>4.5606499999999994E-3</c:v>
                </c:pt>
                <c:pt idx="13">
                  <c:v>2.0999700000000066E-3</c:v>
                </c:pt>
                <c:pt idx="14">
                  <c:v>6.3751999999997477E-4</c:v>
                </c:pt>
                <c:pt idx="15">
                  <c:v>-4.9502000000001267E-4</c:v>
                </c:pt>
                <c:pt idx="16">
                  <c:v>-1.9392799999999877E-3</c:v>
                </c:pt>
                <c:pt idx="17">
                  <c:v>2.2958599999999829E-3</c:v>
                </c:pt>
                <c:pt idx="18">
                  <c:v>-2.0124999999999726E-3</c:v>
                </c:pt>
                <c:pt idx="19">
                  <c:v>1.3458500000000373E-3</c:v>
                </c:pt>
                <c:pt idx="20">
                  <c:v>-3.8600000000000301E-3</c:v>
                </c:pt>
                <c:pt idx="21">
                  <c:v>-8.5912999999998574E-4</c:v>
                </c:pt>
                <c:pt idx="22">
                  <c:v>-1.0874000000000161E-3</c:v>
                </c:pt>
                <c:pt idx="23">
                  <c:v>-4.0498999999999952E-3</c:v>
                </c:pt>
                <c:pt idx="24">
                  <c:v>-4.5208399999999982E-3</c:v>
                </c:pt>
                <c:pt idx="25">
                  <c:v>-5.3000700000000456E-3</c:v>
                </c:pt>
                <c:pt idx="26">
                  <c:v>-1.7535899999999716E-3</c:v>
                </c:pt>
                <c:pt idx="27">
                  <c:v>-5.0850499999999799E-3</c:v>
                </c:pt>
                <c:pt idx="28">
                  <c:v>-4.937549999999985E-3</c:v>
                </c:pt>
                <c:pt idx="29">
                  <c:v>-3.8249999999999673E-3</c:v>
                </c:pt>
                <c:pt idx="30">
                  <c:v>-3.66008000000001E-3</c:v>
                </c:pt>
                <c:pt idx="31">
                  <c:v>-1.6905499999999851E-3</c:v>
                </c:pt>
                <c:pt idx="32">
                  <c:v>-3.1218799999999935E-3</c:v>
                </c:pt>
                <c:pt idx="33">
                  <c:v>-9.9001999999998036E-4</c:v>
                </c:pt>
                <c:pt idx="34">
                  <c:v>-2.3412000000000432E-4</c:v>
                </c:pt>
                <c:pt idx="35">
                  <c:v>1.4417000000000457E-3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'T19-2'!$U$2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'T19-2'!$U$39:$U$74</c:f>
              <c:numCache>
                <c:formatCode>0.000000</c:formatCode>
                <c:ptCount val="36"/>
                <c:pt idx="0">
                  <c:v>2.7700499999999961E-3</c:v>
                </c:pt>
                <c:pt idx="1">
                  <c:v>2.8000400000000036E-3</c:v>
                </c:pt>
                <c:pt idx="2">
                  <c:v>1.9999700000000176E-3</c:v>
                </c:pt>
                <c:pt idx="3">
                  <c:v>2.6222399999999979E-3</c:v>
                </c:pt>
                <c:pt idx="4">
                  <c:v>4.5906000000000002E-3</c:v>
                </c:pt>
                <c:pt idx="5">
                  <c:v>1.3624600000000098E-3</c:v>
                </c:pt>
                <c:pt idx="6">
                  <c:v>6.1249700000000074E-3</c:v>
                </c:pt>
                <c:pt idx="7">
                  <c:v>8.6875000000000147E-4</c:v>
                </c:pt>
                <c:pt idx="8">
                  <c:v>-2.2106699999999979E-3</c:v>
                </c:pt>
                <c:pt idx="9">
                  <c:v>-9.8329999999999251E-4</c:v>
                </c:pt>
                <c:pt idx="10">
                  <c:v>-4.3126000000001663E-4</c:v>
                </c:pt>
                <c:pt idx="11">
                  <c:v>-1.0500400000000021E-3</c:v>
                </c:pt>
                <c:pt idx="12">
                  <c:v>-1.5360000000000373E-4</c:v>
                </c:pt>
                <c:pt idx="13">
                  <c:v>9.5002000000002362E-4</c:v>
                </c:pt>
                <c:pt idx="14">
                  <c:v>-4.4125299999999978E-3</c:v>
                </c:pt>
                <c:pt idx="15">
                  <c:v>-6.0749800000000076E-3</c:v>
                </c:pt>
                <c:pt idx="16">
                  <c:v>-3.7875299999999834E-3</c:v>
                </c:pt>
                <c:pt idx="17">
                  <c:v>-3.8444400000000045E-3</c:v>
                </c:pt>
                <c:pt idx="18">
                  <c:v>-5.4892900000000078E-3</c:v>
                </c:pt>
                <c:pt idx="19">
                  <c:v>-3.0833600000000072E-3</c:v>
                </c:pt>
                <c:pt idx="20">
                  <c:v>-6.8356599999999934E-3</c:v>
                </c:pt>
                <c:pt idx="21">
                  <c:v>-2.5249999999999995E-3</c:v>
                </c:pt>
                <c:pt idx="22">
                  <c:v>-1.9541399999999931E-3</c:v>
                </c:pt>
                <c:pt idx="23">
                  <c:v>-1.5041499999999819E-3</c:v>
                </c:pt>
                <c:pt idx="24">
                  <c:v>1.0950000000000126E-3</c:v>
                </c:pt>
                <c:pt idx="25">
                  <c:v>1.9361400000000029E-3</c:v>
                </c:pt>
                <c:pt idx="26">
                  <c:v>2.1749900000000155E-3</c:v>
                </c:pt>
                <c:pt idx="27">
                  <c:v>-7.8930999999998752E-4</c:v>
                </c:pt>
                <c:pt idx="28">
                  <c:v>3.0535699999999777E-3</c:v>
                </c:pt>
                <c:pt idx="29">
                  <c:v>1.6187699999999916E-3</c:v>
                </c:pt>
                <c:pt idx="30">
                  <c:v>1.457480000000011E-3</c:v>
                </c:pt>
                <c:pt idx="31">
                  <c:v>6.2937299999999974E-3</c:v>
                </c:pt>
                <c:pt idx="32">
                  <c:v>-4.4375000000002052E-4</c:v>
                </c:pt>
                <c:pt idx="33">
                  <c:v>6.2332999999999972E-3</c:v>
                </c:pt>
                <c:pt idx="34">
                  <c:v>5.2312999999999943E-3</c:v>
                </c:pt>
                <c:pt idx="35">
                  <c:v>2.4749800000000155E-3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'T19-2'!$V$2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'T19-2'!$V$39:$V$74</c:f>
              <c:numCache>
                <c:formatCode>0.000000</c:formatCode>
                <c:ptCount val="36"/>
                <c:pt idx="0">
                  <c:v>3.6949199999999627E-3</c:v>
                </c:pt>
                <c:pt idx="1">
                  <c:v>1.935039999999999E-3</c:v>
                </c:pt>
                <c:pt idx="2">
                  <c:v>7.2499999999997566E-4</c:v>
                </c:pt>
                <c:pt idx="3">
                  <c:v>5.8444000000000274E-3</c:v>
                </c:pt>
                <c:pt idx="4">
                  <c:v>2.609360000000005E-3</c:v>
                </c:pt>
                <c:pt idx="5">
                  <c:v>2.908319999999992E-3</c:v>
                </c:pt>
                <c:pt idx="6">
                  <c:v>5.5250800000000155E-3</c:v>
                </c:pt>
                <c:pt idx="7">
                  <c:v>6.4249899999999915E-3</c:v>
                </c:pt>
                <c:pt idx="8">
                  <c:v>2.6785900000000362E-3</c:v>
                </c:pt>
                <c:pt idx="9">
                  <c:v>2.0500199999999857E-3</c:v>
                </c:pt>
                <c:pt idx="10">
                  <c:v>2.5874999999999926E-3</c:v>
                </c:pt>
                <c:pt idx="11">
                  <c:v>-6.6669999999996454E-4</c:v>
                </c:pt>
                <c:pt idx="12">
                  <c:v>2.9071199999999853E-3</c:v>
                </c:pt>
                <c:pt idx="13">
                  <c:v>2.7124099999999984E-3</c:v>
                </c:pt>
                <c:pt idx="14">
                  <c:v>4.3625200000000086E-3</c:v>
                </c:pt>
                <c:pt idx="15">
                  <c:v>2.7849900000000427E-3</c:v>
                </c:pt>
                <c:pt idx="16">
                  <c:v>-3.1800399999999673E-3</c:v>
                </c:pt>
                <c:pt idx="17">
                  <c:v>-1.252719999999985E-3</c:v>
                </c:pt>
                <c:pt idx="18">
                  <c:v>-4.0712999999997779E-4</c:v>
                </c:pt>
                <c:pt idx="19">
                  <c:v>-7.0002999999996263E-4</c:v>
                </c:pt>
                <c:pt idx="20">
                  <c:v>8.9249999999985175E-5</c:v>
                </c:pt>
                <c:pt idx="21">
                  <c:v>-1.63743999999999E-3</c:v>
                </c:pt>
                <c:pt idx="22">
                  <c:v>-3.5666800000000443E-3</c:v>
                </c:pt>
                <c:pt idx="23">
                  <c:v>-6.0457700000000059E-3</c:v>
                </c:pt>
                <c:pt idx="24">
                  <c:v>-3.6699300000000157E-3</c:v>
                </c:pt>
                <c:pt idx="25">
                  <c:v>-3.0943299999999785E-3</c:v>
                </c:pt>
                <c:pt idx="26">
                  <c:v>-6.1312600000000272E-3</c:v>
                </c:pt>
                <c:pt idx="27">
                  <c:v>-4.2495000000003502E-4</c:v>
                </c:pt>
                <c:pt idx="28">
                  <c:v>-4.6178500000000344E-3</c:v>
                </c:pt>
                <c:pt idx="29">
                  <c:v>-1.1187700000000467E-3</c:v>
                </c:pt>
                <c:pt idx="30">
                  <c:v>-3.7975299999999934E-3</c:v>
                </c:pt>
                <c:pt idx="31">
                  <c:v>2.4368000000002388E-4</c:v>
                </c:pt>
                <c:pt idx="32">
                  <c:v>-8.9998000000002243E-4</c:v>
                </c:pt>
                <c:pt idx="33">
                  <c:v>4.5827999999997759E-4</c:v>
                </c:pt>
                <c:pt idx="34">
                  <c:v>-2.2062599999999599E-3</c:v>
                </c:pt>
                <c:pt idx="35">
                  <c:v>-1.1067999999997413E-4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'T19-2'!$AC$2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'T19-2'!$AC$77:$AC$112</c:f>
              <c:numCache>
                <c:formatCode>General</c:formatCode>
                <c:ptCount val="36"/>
                <c:pt idx="0">
                  <c:v>3.2333763463091696</c:v>
                </c:pt>
                <c:pt idx="1">
                  <c:v>3.3800305889276716</c:v>
                </c:pt>
                <c:pt idx="2">
                  <c:v>3.520926272793893</c:v>
                </c:pt>
                <c:pt idx="3">
                  <c:v>3.57004720184033</c:v>
                </c:pt>
                <c:pt idx="4">
                  <c:v>3.5982518564136408</c:v>
                </c:pt>
                <c:pt idx="5">
                  <c:v>3.5968346748847444</c:v>
                </c:pt>
                <c:pt idx="6">
                  <c:v>3.6263990469882064</c:v>
                </c:pt>
                <c:pt idx="7">
                  <c:v>3.527777765105625</c:v>
                </c:pt>
                <c:pt idx="8">
                  <c:v>3.4862966031654885</c:v>
                </c:pt>
                <c:pt idx="9">
                  <c:v>3.4074766027594316</c:v>
                </c:pt>
                <c:pt idx="10">
                  <c:v>3.3049513016424386</c:v>
                </c:pt>
                <c:pt idx="11">
                  <c:v>3.1984314353669494</c:v>
                </c:pt>
                <c:pt idx="12">
                  <c:v>3.0127834510325671</c:v>
                </c:pt>
                <c:pt idx="13">
                  <c:v>2.8251099338322692</c:v>
                </c:pt>
                <c:pt idx="14">
                  <c:v>2.5982520236474373</c:v>
                </c:pt>
                <c:pt idx="15">
                  <c:v>2.3962614669844062</c:v>
                </c:pt>
                <c:pt idx="16">
                  <c:v>2.1563398337902013</c:v>
                </c:pt>
                <c:pt idx="17">
                  <c:v>1.9020868892085978</c:v>
                </c:pt>
                <c:pt idx="18">
                  <c:v>1.6217009695831641</c:v>
                </c:pt>
                <c:pt idx="19">
                  <c:v>1.3552987849709612</c:v>
                </c:pt>
                <c:pt idx="20">
                  <c:v>1.1286033441505983</c:v>
                </c:pt>
                <c:pt idx="21">
                  <c:v>0.83935936199853378</c:v>
                </c:pt>
                <c:pt idx="22">
                  <c:v>0.63420970515055952</c:v>
                </c:pt>
                <c:pt idx="23">
                  <c:v>0.52733931193668959</c:v>
                </c:pt>
                <c:pt idx="24">
                  <c:v>0.52497855486165557</c:v>
                </c:pt>
                <c:pt idx="25">
                  <c:v>0.79982575377029486</c:v>
                </c:pt>
                <c:pt idx="26">
                  <c:v>0.98643172245465549</c:v>
                </c:pt>
                <c:pt idx="27">
                  <c:v>1.2867793133054559</c:v>
                </c:pt>
                <c:pt idx="28">
                  <c:v>1.5626312074398614</c:v>
                </c:pt>
                <c:pt idx="29">
                  <c:v>1.8670834095599678</c:v>
                </c:pt>
                <c:pt idx="30">
                  <c:v>2.0970830715629187</c:v>
                </c:pt>
                <c:pt idx="31">
                  <c:v>2.3278186124908302</c:v>
                </c:pt>
                <c:pt idx="32">
                  <c:v>2.5585166365822691</c:v>
                </c:pt>
                <c:pt idx="33">
                  <c:v>2.7702922462940807</c:v>
                </c:pt>
                <c:pt idx="34">
                  <c:v>2.9647827897506298</c:v>
                </c:pt>
                <c:pt idx="35">
                  <c:v>3.123000855468856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'T19-2'!$AD$2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'T19-2'!$AD$77:$AD$112</c:f>
              <c:numCache>
                <c:formatCode>General</c:formatCode>
                <c:ptCount val="36"/>
                <c:pt idx="0">
                  <c:v>1.6232249804681786</c:v>
                </c:pt>
                <c:pt idx="1">
                  <c:v>1.3943757680178488</c:v>
                </c:pt>
                <c:pt idx="2">
                  <c:v>1.1279559609605956</c:v>
                </c:pt>
                <c:pt idx="3">
                  <c:v>0.85119108049064152</c:v>
                </c:pt>
                <c:pt idx="4">
                  <c:v>0.63197329412897618</c:v>
                </c:pt>
                <c:pt idx="5">
                  <c:v>0.50840223958225161</c:v>
                </c:pt>
                <c:pt idx="6">
                  <c:v>0.56159507959645127</c:v>
                </c:pt>
                <c:pt idx="7">
                  <c:v>0.77095421815318033</c:v>
                </c:pt>
                <c:pt idx="8">
                  <c:v>1.0074007610634887</c:v>
                </c:pt>
                <c:pt idx="9">
                  <c:v>1.2805684829857749</c:v>
                </c:pt>
                <c:pt idx="10">
                  <c:v>1.5404991799601819</c:v>
                </c:pt>
                <c:pt idx="11">
                  <c:v>1.8035852199404463</c:v>
                </c:pt>
                <c:pt idx="12">
                  <c:v>2.0939827285158437</c:v>
                </c:pt>
                <c:pt idx="13">
                  <c:v>2.3568570284155497</c:v>
                </c:pt>
                <c:pt idx="14">
                  <c:v>2.5441665717256052</c:v>
                </c:pt>
                <c:pt idx="15">
                  <c:v>2.8150571953001737</c:v>
                </c:pt>
                <c:pt idx="16">
                  <c:v>2.9521603884354093</c:v>
                </c:pt>
                <c:pt idx="17">
                  <c:v>3.1463367613438242</c:v>
                </c:pt>
                <c:pt idx="18">
                  <c:v>3.2808357243206592</c:v>
                </c:pt>
                <c:pt idx="19">
                  <c:v>3.4116018815394713</c:v>
                </c:pt>
                <c:pt idx="20">
                  <c:v>3.5413012993850401</c:v>
                </c:pt>
                <c:pt idx="21">
                  <c:v>3.5855684326935977</c:v>
                </c:pt>
                <c:pt idx="22">
                  <c:v>3.6563357658014697</c:v>
                </c:pt>
                <c:pt idx="23">
                  <c:v>3.6399935051666445</c:v>
                </c:pt>
                <c:pt idx="24">
                  <c:v>3.5704607389076681</c:v>
                </c:pt>
                <c:pt idx="25">
                  <c:v>3.6551071564811504</c:v>
                </c:pt>
                <c:pt idx="26">
                  <c:v>3.489669402217638</c:v>
                </c:pt>
                <c:pt idx="27">
                  <c:v>3.4430528341618656</c:v>
                </c:pt>
                <c:pt idx="28">
                  <c:v>3.3368521773518474</c:v>
                </c:pt>
                <c:pt idx="29">
                  <c:v>3.2460874594371925</c:v>
                </c:pt>
                <c:pt idx="30">
                  <c:v>3.0676447507492526</c:v>
                </c:pt>
                <c:pt idx="31">
                  <c:v>2.850121182587392</c:v>
                </c:pt>
                <c:pt idx="32">
                  <c:v>2.6229314637405077</c:v>
                </c:pt>
                <c:pt idx="33">
                  <c:v>2.4184585850017348</c:v>
                </c:pt>
                <c:pt idx="34">
                  <c:v>2.1948868791963454</c:v>
                </c:pt>
                <c:pt idx="35">
                  <c:v>1.9216245723017771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'T19-2'!$K$2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'T19-2'!$K$77:$K$112</c:f>
              <c:numCache>
                <c:formatCode>General</c:formatCode>
                <c:ptCount val="36"/>
                <c:pt idx="0">
                  <c:v>26.299999999999997</c:v>
                </c:pt>
                <c:pt idx="1">
                  <c:v>25.950000000000003</c:v>
                </c:pt>
                <c:pt idx="2">
                  <c:v>25.9</c:v>
                </c:pt>
                <c:pt idx="3">
                  <c:v>25.79</c:v>
                </c:pt>
                <c:pt idx="4">
                  <c:v>25.939999999999998</c:v>
                </c:pt>
                <c:pt idx="5">
                  <c:v>25.925000000000001</c:v>
                </c:pt>
                <c:pt idx="6">
                  <c:v>25.700000000000003</c:v>
                </c:pt>
                <c:pt idx="7">
                  <c:v>26.03</c:v>
                </c:pt>
                <c:pt idx="8">
                  <c:v>25.954999999999998</c:v>
                </c:pt>
                <c:pt idx="9">
                  <c:v>25.94</c:v>
                </c:pt>
                <c:pt idx="10">
                  <c:v>26.04</c:v>
                </c:pt>
                <c:pt idx="11">
                  <c:v>25.835000000000001</c:v>
                </c:pt>
                <c:pt idx="12">
                  <c:v>25.884999999999998</c:v>
                </c:pt>
                <c:pt idx="13">
                  <c:v>25.704999999999998</c:v>
                </c:pt>
                <c:pt idx="14">
                  <c:v>26.145</c:v>
                </c:pt>
                <c:pt idx="15">
                  <c:v>25.645</c:v>
                </c:pt>
                <c:pt idx="16">
                  <c:v>26.174999999999997</c:v>
                </c:pt>
                <c:pt idx="17">
                  <c:v>26</c:v>
                </c:pt>
                <c:pt idx="18">
                  <c:v>25.954999999999998</c:v>
                </c:pt>
                <c:pt idx="19">
                  <c:v>25.82</c:v>
                </c:pt>
                <c:pt idx="20">
                  <c:v>25.38</c:v>
                </c:pt>
                <c:pt idx="21">
                  <c:v>25.810000000000002</c:v>
                </c:pt>
                <c:pt idx="22">
                  <c:v>25.700000000000003</c:v>
                </c:pt>
                <c:pt idx="23">
                  <c:v>25.66</c:v>
                </c:pt>
                <c:pt idx="24">
                  <c:v>26.25</c:v>
                </c:pt>
                <c:pt idx="25">
                  <c:v>25.369999999999997</c:v>
                </c:pt>
                <c:pt idx="26">
                  <c:v>25.954999999999998</c:v>
                </c:pt>
                <c:pt idx="27">
                  <c:v>25.93</c:v>
                </c:pt>
                <c:pt idx="28">
                  <c:v>25.954999999999998</c:v>
                </c:pt>
                <c:pt idx="29">
                  <c:v>25.48</c:v>
                </c:pt>
                <c:pt idx="30">
                  <c:v>25.704999999999998</c:v>
                </c:pt>
                <c:pt idx="31">
                  <c:v>26.045000000000002</c:v>
                </c:pt>
                <c:pt idx="32">
                  <c:v>25.86</c:v>
                </c:pt>
                <c:pt idx="33">
                  <c:v>25.93</c:v>
                </c:pt>
                <c:pt idx="34">
                  <c:v>25.87</c:v>
                </c:pt>
                <c:pt idx="35">
                  <c:v>25.965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'T19-2'!$L$2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'T19-2'!$L$77:$L$112</c:f>
              <c:numCache>
                <c:formatCode>General</c:formatCode>
                <c:ptCount val="36"/>
                <c:pt idx="0">
                  <c:v>26.29</c:v>
                </c:pt>
                <c:pt idx="1">
                  <c:v>25.92</c:v>
                </c:pt>
                <c:pt idx="2">
                  <c:v>25.895000000000003</c:v>
                </c:pt>
                <c:pt idx="3">
                  <c:v>25.78</c:v>
                </c:pt>
                <c:pt idx="4">
                  <c:v>25.945</c:v>
                </c:pt>
                <c:pt idx="5">
                  <c:v>25.93</c:v>
                </c:pt>
                <c:pt idx="6">
                  <c:v>25.695</c:v>
                </c:pt>
                <c:pt idx="7">
                  <c:v>26</c:v>
                </c:pt>
                <c:pt idx="8">
                  <c:v>25.975000000000001</c:v>
                </c:pt>
                <c:pt idx="9">
                  <c:v>25.94</c:v>
                </c:pt>
                <c:pt idx="10">
                  <c:v>26.05</c:v>
                </c:pt>
                <c:pt idx="11">
                  <c:v>25.844999999999999</c:v>
                </c:pt>
                <c:pt idx="12">
                  <c:v>25.884999999999998</c:v>
                </c:pt>
                <c:pt idx="13">
                  <c:v>25.715</c:v>
                </c:pt>
                <c:pt idx="14">
                  <c:v>26.18</c:v>
                </c:pt>
                <c:pt idx="15">
                  <c:v>25.645</c:v>
                </c:pt>
                <c:pt idx="16">
                  <c:v>26.175000000000001</c:v>
                </c:pt>
                <c:pt idx="17">
                  <c:v>26.004999999999999</c:v>
                </c:pt>
                <c:pt idx="18">
                  <c:v>25.945</c:v>
                </c:pt>
                <c:pt idx="19">
                  <c:v>25.824999999999999</c:v>
                </c:pt>
                <c:pt idx="20">
                  <c:v>25.369999999999997</c:v>
                </c:pt>
                <c:pt idx="21">
                  <c:v>25.815000000000001</c:v>
                </c:pt>
                <c:pt idx="22">
                  <c:v>25.704999999999998</c:v>
                </c:pt>
                <c:pt idx="23">
                  <c:v>25.655000000000001</c:v>
                </c:pt>
                <c:pt idx="24">
                  <c:v>26.225000000000001</c:v>
                </c:pt>
                <c:pt idx="25">
                  <c:v>25.39</c:v>
                </c:pt>
                <c:pt idx="26">
                  <c:v>25.954999999999998</c:v>
                </c:pt>
                <c:pt idx="27">
                  <c:v>25.945</c:v>
                </c:pt>
                <c:pt idx="28">
                  <c:v>25.954999999999998</c:v>
                </c:pt>
                <c:pt idx="29">
                  <c:v>25.475000000000001</c:v>
                </c:pt>
                <c:pt idx="30">
                  <c:v>25.725000000000001</c:v>
                </c:pt>
                <c:pt idx="31">
                  <c:v>26.05</c:v>
                </c:pt>
                <c:pt idx="32">
                  <c:v>25.85</c:v>
                </c:pt>
                <c:pt idx="33">
                  <c:v>25.934999999999999</c:v>
                </c:pt>
                <c:pt idx="34">
                  <c:v>25.865000000000002</c:v>
                </c:pt>
                <c:pt idx="35">
                  <c:v>25.954999999999998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'T19-2'!$D$3:$D$38</c:f>
              <c:numCache>
                <c:formatCode>General</c:formatCode>
                <c:ptCount val="36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5</c:v>
                </c:pt>
                <c:pt idx="9">
                  <c:v>10</c:v>
                </c:pt>
                <c:pt idx="10">
                  <c:v>10</c:v>
                </c:pt>
                <c:pt idx="11">
                  <c:v>6</c:v>
                </c:pt>
                <c:pt idx="12">
                  <c:v>7</c:v>
                </c:pt>
                <c:pt idx="13">
                  <c:v>9</c:v>
                </c:pt>
                <c:pt idx="14">
                  <c:v>4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11</c:v>
                </c:pt>
                <c:pt idx="22">
                  <c:v>6</c:v>
                </c:pt>
                <c:pt idx="23">
                  <c:v>8</c:v>
                </c:pt>
                <c:pt idx="24">
                  <c:v>12</c:v>
                </c:pt>
                <c:pt idx="25">
                  <c:v>4</c:v>
                </c:pt>
                <c:pt idx="26">
                  <c:v>7</c:v>
                </c:pt>
                <c:pt idx="27">
                  <c:v>5</c:v>
                </c:pt>
                <c:pt idx="28">
                  <c:v>6</c:v>
                </c:pt>
                <c:pt idx="29">
                  <c:v>8</c:v>
                </c:pt>
                <c:pt idx="30">
                  <c:v>5</c:v>
                </c:pt>
                <c:pt idx="31">
                  <c:v>8</c:v>
                </c:pt>
                <c:pt idx="32">
                  <c:v>8</c:v>
                </c:pt>
                <c:pt idx="33">
                  <c:v>10</c:v>
                </c:pt>
                <c:pt idx="34">
                  <c:v>11</c:v>
                </c:pt>
                <c:pt idx="3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'T19-2'!$C$3:$C$38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'T19-2'!$D$39:$D$74</c:f>
              <c:numCache>
                <c:formatCode>General</c:formatCode>
                <c:ptCount val="36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10</c:v>
                </c:pt>
                <c:pt idx="17">
                  <c:v>9</c:v>
                </c:pt>
                <c:pt idx="18">
                  <c:v>7</c:v>
                </c:pt>
                <c:pt idx="19">
                  <c:v>3</c:v>
                </c:pt>
                <c:pt idx="20">
                  <c:v>7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9</c:v>
                </c:pt>
                <c:pt idx="26">
                  <c:v>4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  <c:pt idx="30">
                  <c:v>10</c:v>
                </c:pt>
                <c:pt idx="31">
                  <c:v>4</c:v>
                </c:pt>
                <c:pt idx="32">
                  <c:v>4</c:v>
                </c:pt>
                <c:pt idx="33">
                  <c:v>9</c:v>
                </c:pt>
                <c:pt idx="34">
                  <c:v>8</c:v>
                </c:pt>
                <c:pt idx="3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'T19-2'!$M$2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'T19-2'!$M$77:$M$112</c:f>
              <c:numCache>
                <c:formatCode>General</c:formatCode>
                <c:ptCount val="36"/>
                <c:pt idx="0">
                  <c:v>9.9999999999980105E-3</c:v>
                </c:pt>
                <c:pt idx="1">
                  <c:v>3.0000000000001137E-2</c:v>
                </c:pt>
                <c:pt idx="2">
                  <c:v>4.9999999999954525E-3</c:v>
                </c:pt>
                <c:pt idx="3">
                  <c:v>9.9999999999980105E-3</c:v>
                </c:pt>
                <c:pt idx="4">
                  <c:v>-5.000000000002558E-3</c:v>
                </c:pt>
                <c:pt idx="5">
                  <c:v>-4.9999999999990052E-3</c:v>
                </c:pt>
                <c:pt idx="6">
                  <c:v>5.000000000002558E-3</c:v>
                </c:pt>
                <c:pt idx="7">
                  <c:v>3.0000000000001137E-2</c:v>
                </c:pt>
                <c:pt idx="8">
                  <c:v>-2.0000000000003126E-2</c:v>
                </c:pt>
                <c:pt idx="9">
                  <c:v>0</c:v>
                </c:pt>
                <c:pt idx="10">
                  <c:v>-1.0000000000001563E-2</c:v>
                </c:pt>
                <c:pt idx="11">
                  <c:v>-9.9999999999980105E-3</c:v>
                </c:pt>
                <c:pt idx="12">
                  <c:v>0</c:v>
                </c:pt>
                <c:pt idx="13">
                  <c:v>-1.0000000000001563E-2</c:v>
                </c:pt>
                <c:pt idx="14">
                  <c:v>-3.5000000000000142E-2</c:v>
                </c:pt>
                <c:pt idx="15">
                  <c:v>0</c:v>
                </c:pt>
                <c:pt idx="16">
                  <c:v>0</c:v>
                </c:pt>
                <c:pt idx="17">
                  <c:v>-4.9999999999990052E-3</c:v>
                </c:pt>
                <c:pt idx="18">
                  <c:v>9.9999999999980105E-3</c:v>
                </c:pt>
                <c:pt idx="19">
                  <c:v>-4.9999999999990052E-3</c:v>
                </c:pt>
                <c:pt idx="20">
                  <c:v>1.0000000000001563E-2</c:v>
                </c:pt>
                <c:pt idx="21">
                  <c:v>-4.9999999999990052E-3</c:v>
                </c:pt>
                <c:pt idx="22">
                  <c:v>-4.9999999999954525E-3</c:v>
                </c:pt>
                <c:pt idx="23">
                  <c:v>4.9999999999990052E-3</c:v>
                </c:pt>
                <c:pt idx="24">
                  <c:v>2.4999999999998579E-2</c:v>
                </c:pt>
                <c:pt idx="25">
                  <c:v>-2.0000000000003126E-2</c:v>
                </c:pt>
                <c:pt idx="26">
                  <c:v>0</c:v>
                </c:pt>
                <c:pt idx="27">
                  <c:v>-1.5000000000000568E-2</c:v>
                </c:pt>
                <c:pt idx="28">
                  <c:v>0</c:v>
                </c:pt>
                <c:pt idx="29">
                  <c:v>4.9999999999990052E-3</c:v>
                </c:pt>
                <c:pt idx="30">
                  <c:v>-2.0000000000003126E-2</c:v>
                </c:pt>
                <c:pt idx="31">
                  <c:v>-4.9999999999990052E-3</c:v>
                </c:pt>
                <c:pt idx="32">
                  <c:v>9.9999999999980105E-3</c:v>
                </c:pt>
                <c:pt idx="33">
                  <c:v>-4.9999999999990052E-3</c:v>
                </c:pt>
                <c:pt idx="34">
                  <c:v>4.9999999999990052E-3</c:v>
                </c:pt>
                <c:pt idx="35">
                  <c:v>1.0000000000001563E-2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'T19-2'!$U$77:$U$112</c:f>
              <c:numCache>
                <c:formatCode>General</c:formatCode>
                <c:ptCount val="36"/>
                <c:pt idx="0">
                  <c:v>2.2475250000000002E-3</c:v>
                </c:pt>
                <c:pt idx="1">
                  <c:v>3.2187699999999958E-3</c:v>
                </c:pt>
                <c:pt idx="2">
                  <c:v>2.029160000000016E-3</c:v>
                </c:pt>
                <c:pt idx="3">
                  <c:v>2.9039800000000004E-3</c:v>
                </c:pt>
                <c:pt idx="4">
                  <c:v>3.4752799999999973E-3</c:v>
                </c:pt>
                <c:pt idx="5">
                  <c:v>1.7062350000000004E-3</c:v>
                </c:pt>
                <c:pt idx="6">
                  <c:v>4.2944250000000045E-3</c:v>
                </c:pt>
                <c:pt idx="7">
                  <c:v>-1.3281499999999447E-4</c:v>
                </c:pt>
                <c:pt idx="8">
                  <c:v>-1.2228649999999897E-3</c:v>
                </c:pt>
                <c:pt idx="9">
                  <c:v>-1.8016599999999966E-3</c:v>
                </c:pt>
                <c:pt idx="10">
                  <c:v>-7.2438000000001057E-4</c:v>
                </c:pt>
                <c:pt idx="11">
                  <c:v>-1.8708800000000053E-3</c:v>
                </c:pt>
                <c:pt idx="12">
                  <c:v>-3.0071600000000087E-3</c:v>
                </c:pt>
                <c:pt idx="13">
                  <c:v>8.9583000000001412E-4</c:v>
                </c:pt>
                <c:pt idx="14">
                  <c:v>-2.3906350000000021E-3</c:v>
                </c:pt>
                <c:pt idx="15">
                  <c:v>-4.0825099999999975E-3</c:v>
                </c:pt>
                <c:pt idx="16">
                  <c:v>-3.3830349999999926E-3</c:v>
                </c:pt>
                <c:pt idx="17">
                  <c:v>-4.5930300000000118E-3</c:v>
                </c:pt>
                <c:pt idx="18">
                  <c:v>-4.4467250000000125E-3</c:v>
                </c:pt>
                <c:pt idx="19">
                  <c:v>-2.970850000000011E-3</c:v>
                </c:pt>
                <c:pt idx="20">
                  <c:v>-1.7528299999999969E-3</c:v>
                </c:pt>
                <c:pt idx="21">
                  <c:v>-1.1852299999999955E-3</c:v>
                </c:pt>
                <c:pt idx="22">
                  <c:v>-1.4562349999999863E-3</c:v>
                </c:pt>
                <c:pt idx="23">
                  <c:v>-8.5830500000000365E-4</c:v>
                </c:pt>
                <c:pt idx="24">
                  <c:v>3.1311500000001657E-4</c:v>
                </c:pt>
                <c:pt idx="25">
                  <c:v>2.6742849999999985E-3</c:v>
                </c:pt>
                <c:pt idx="26">
                  <c:v>1.448205000000008E-3</c:v>
                </c:pt>
                <c:pt idx="27">
                  <c:v>-4.5966499999998411E-4</c:v>
                </c:pt>
                <c:pt idx="28">
                  <c:v>1.6622049999999861E-3</c:v>
                </c:pt>
                <c:pt idx="29">
                  <c:v>1.503124999999994E-3</c:v>
                </c:pt>
                <c:pt idx="30">
                  <c:v>1.688740000000008E-3</c:v>
                </c:pt>
                <c:pt idx="31">
                  <c:v>4.3187300000000067E-3</c:v>
                </c:pt>
                <c:pt idx="32">
                  <c:v>1.9437399999999855E-3</c:v>
                </c:pt>
                <c:pt idx="33">
                  <c:v>5.5741499999999999E-3</c:v>
                </c:pt>
                <c:pt idx="34">
                  <c:v>5.2122299999999983E-3</c:v>
                </c:pt>
                <c:pt idx="35">
                  <c:v>1.5499900000000011E-3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'T19-2'!$C$77:$C$112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'T19-2'!$V$77:$V$112</c:f>
              <c:numCache>
                <c:formatCode>General</c:formatCode>
                <c:ptCount val="36"/>
                <c:pt idx="0">
                  <c:v>2.4068499999999743E-3</c:v>
                </c:pt>
                <c:pt idx="1">
                  <c:v>1.958125000000005E-3</c:v>
                </c:pt>
                <c:pt idx="2">
                  <c:v>1.6666850000000011E-3</c:v>
                </c:pt>
                <c:pt idx="3">
                  <c:v>4.6757650000000262E-3</c:v>
                </c:pt>
                <c:pt idx="4">
                  <c:v>2.5746549999999813E-3</c:v>
                </c:pt>
                <c:pt idx="5">
                  <c:v>3.2728950000000118E-3</c:v>
                </c:pt>
                <c:pt idx="6">
                  <c:v>5.6472549999999899E-3</c:v>
                </c:pt>
                <c:pt idx="7">
                  <c:v>5.0734399999999985E-3</c:v>
                </c:pt>
                <c:pt idx="8">
                  <c:v>4.6318150000000113E-3</c:v>
                </c:pt>
                <c:pt idx="9">
                  <c:v>2.7724899999999886E-3</c:v>
                </c:pt>
                <c:pt idx="10">
                  <c:v>2.8449999999999726E-3</c:v>
                </c:pt>
                <c:pt idx="11">
                  <c:v>3.0770750000000263E-3</c:v>
                </c:pt>
                <c:pt idx="12">
                  <c:v>3.7338849999999923E-3</c:v>
                </c:pt>
                <c:pt idx="13">
                  <c:v>2.4061900000000025E-3</c:v>
                </c:pt>
                <c:pt idx="14">
                  <c:v>2.5000199999999917E-3</c:v>
                </c:pt>
                <c:pt idx="15">
                  <c:v>1.144985000000015E-3</c:v>
                </c:pt>
                <c:pt idx="16">
                  <c:v>-2.5596599999999775E-3</c:v>
                </c:pt>
                <c:pt idx="17">
                  <c:v>5.2156999999999898E-4</c:v>
                </c:pt>
                <c:pt idx="18">
                  <c:v>-1.2098149999999752E-3</c:v>
                </c:pt>
                <c:pt idx="19">
                  <c:v>3.2291000000003733E-4</c:v>
                </c:pt>
                <c:pt idx="20">
                  <c:v>-1.8853750000000224E-3</c:v>
                </c:pt>
                <c:pt idx="21">
                  <c:v>-1.2482849999999879E-3</c:v>
                </c:pt>
                <c:pt idx="22">
                  <c:v>-2.3270400000000302E-3</c:v>
                </c:pt>
                <c:pt idx="23">
                  <c:v>-5.0478350000000005E-3</c:v>
                </c:pt>
                <c:pt idx="24">
                  <c:v>-4.0953850000000069E-3</c:v>
                </c:pt>
                <c:pt idx="25">
                  <c:v>-4.197200000000012E-3</c:v>
                </c:pt>
                <c:pt idx="26">
                  <c:v>-3.9424249999999994E-3</c:v>
                </c:pt>
                <c:pt idx="27">
                  <c:v>-2.7550000000000074E-3</c:v>
                </c:pt>
                <c:pt idx="28">
                  <c:v>-4.7777000000000097E-3</c:v>
                </c:pt>
                <c:pt idx="29">
                  <c:v>-2.471885000000007E-3</c:v>
                </c:pt>
                <c:pt idx="30">
                  <c:v>-3.7288050000000017E-3</c:v>
                </c:pt>
                <c:pt idx="31">
                  <c:v>-7.2343499999998062E-4</c:v>
                </c:pt>
                <c:pt idx="32">
                  <c:v>-2.010930000000008E-3</c:v>
                </c:pt>
                <c:pt idx="33">
                  <c:v>-2.6587000000000138E-4</c:v>
                </c:pt>
                <c:pt idx="34">
                  <c:v>-1.2201899999999821E-3</c:v>
                </c:pt>
                <c:pt idx="35">
                  <c:v>6.655100000000358E-4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Normal="100" workbookViewId="0">
      <selection activeCell="K5" sqref="K5:P18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73" t="s">
        <v>29</v>
      </c>
      <c r="B1" s="73"/>
      <c r="C1" s="73" t="s">
        <v>65</v>
      </c>
      <c r="D1" s="73"/>
      <c r="E1" s="73" t="s">
        <v>63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AC1" s="24" t="s">
        <v>52</v>
      </c>
      <c r="AD1" s="25"/>
      <c r="AE1" s="25"/>
      <c r="AF1" s="25"/>
      <c r="AG1" s="26"/>
    </row>
    <row r="2" spans="1:33" ht="15.7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AC2" s="27"/>
      <c r="AD2" s="28"/>
      <c r="AE2" s="28"/>
      <c r="AF2" s="28"/>
      <c r="AG2" s="29"/>
    </row>
    <row r="4" spans="1:33" x14ac:dyDescent="0.25">
      <c r="A4" s="72" t="s">
        <v>30</v>
      </c>
      <c r="B4" s="72"/>
      <c r="C4" s="72"/>
      <c r="D4" s="72"/>
      <c r="E4" s="72"/>
      <c r="F4" s="72"/>
      <c r="G4" s="35" t="s">
        <v>67</v>
      </c>
      <c r="H4" s="36"/>
      <c r="I4" s="2" t="s">
        <v>18</v>
      </c>
      <c r="K4" s="74" t="s">
        <v>45</v>
      </c>
      <c r="L4" s="74"/>
      <c r="M4" s="74"/>
      <c r="N4" s="74"/>
      <c r="O4" s="74"/>
      <c r="P4" s="74"/>
      <c r="R4" s="74" t="s">
        <v>46</v>
      </c>
      <c r="S4" s="74"/>
      <c r="T4" s="74"/>
      <c r="U4" s="74"/>
      <c r="V4" s="74"/>
      <c r="W4" s="74"/>
      <c r="X4" s="74"/>
      <c r="Y4" s="74"/>
      <c r="AC4" s="58"/>
      <c r="AD4" s="61"/>
      <c r="AE4" s="62" t="s">
        <v>67</v>
      </c>
      <c r="AF4" s="61"/>
      <c r="AG4" s="58"/>
    </row>
    <row r="5" spans="1:33" ht="15.75" customHeight="1" x14ac:dyDescent="0.25">
      <c r="A5" s="32" t="s">
        <v>31</v>
      </c>
      <c r="B5" s="33"/>
      <c r="C5" s="33"/>
      <c r="D5" s="33"/>
      <c r="E5" s="33"/>
      <c r="F5" s="34"/>
      <c r="G5" s="35" t="s">
        <v>66</v>
      </c>
      <c r="H5" s="36"/>
      <c r="I5" s="2" t="s">
        <v>18</v>
      </c>
      <c r="K5" s="44" t="s">
        <v>64</v>
      </c>
      <c r="L5" s="45"/>
      <c r="M5" s="45"/>
      <c r="N5" s="45"/>
      <c r="O5" s="45"/>
      <c r="P5" s="46"/>
      <c r="R5" s="75" t="s">
        <v>62</v>
      </c>
      <c r="S5" s="75"/>
      <c r="T5" s="75"/>
      <c r="U5" s="75"/>
      <c r="V5" s="75"/>
      <c r="W5" s="75"/>
      <c r="X5" s="75"/>
      <c r="Y5" s="75"/>
      <c r="AC5" s="58"/>
      <c r="AD5" s="61"/>
      <c r="AE5" s="62"/>
      <c r="AF5" s="61"/>
      <c r="AG5" s="58"/>
    </row>
    <row r="6" spans="1:33" x14ac:dyDescent="0.25">
      <c r="A6" s="72" t="s">
        <v>32</v>
      </c>
      <c r="B6" s="72"/>
      <c r="C6" s="72"/>
      <c r="D6" s="72"/>
      <c r="E6" s="72"/>
      <c r="F6" s="72"/>
      <c r="G6" s="71">
        <v>0</v>
      </c>
      <c r="H6" s="71"/>
      <c r="I6" s="2" t="s">
        <v>24</v>
      </c>
      <c r="K6" s="47"/>
      <c r="L6" s="48"/>
      <c r="M6" s="48"/>
      <c r="N6" s="48"/>
      <c r="O6" s="48"/>
      <c r="P6" s="49"/>
      <c r="R6" s="75"/>
      <c r="S6" s="75"/>
      <c r="T6" s="75"/>
      <c r="U6" s="75"/>
      <c r="V6" s="75"/>
      <c r="W6" s="75"/>
      <c r="X6" s="75"/>
      <c r="Y6" s="75"/>
      <c r="AC6" s="58"/>
      <c r="AD6" s="61"/>
      <c r="AE6" s="62"/>
      <c r="AF6" s="61"/>
      <c r="AG6" s="58"/>
    </row>
    <row r="7" spans="1:33" ht="15.75" customHeight="1" x14ac:dyDescent="0.25">
      <c r="A7" s="32" t="s">
        <v>51</v>
      </c>
      <c r="B7" s="33"/>
      <c r="C7" s="33"/>
      <c r="D7" s="33"/>
      <c r="E7" s="33"/>
      <c r="F7" s="34"/>
      <c r="G7" s="35" t="s">
        <v>58</v>
      </c>
      <c r="H7" s="36"/>
      <c r="I7" s="2"/>
      <c r="K7" s="47"/>
      <c r="L7" s="48"/>
      <c r="M7" s="48"/>
      <c r="N7" s="48"/>
      <c r="O7" s="48"/>
      <c r="P7" s="49"/>
      <c r="R7" s="75"/>
      <c r="S7" s="75"/>
      <c r="T7" s="75"/>
      <c r="U7" s="75"/>
      <c r="V7" s="75"/>
      <c r="W7" s="75"/>
      <c r="X7" s="75"/>
      <c r="Y7" s="75"/>
      <c r="AC7" s="61"/>
      <c r="AD7" s="61"/>
      <c r="AE7" s="61"/>
      <c r="AF7" s="61"/>
      <c r="AG7" s="61"/>
    </row>
    <row r="8" spans="1:33" x14ac:dyDescent="0.25">
      <c r="A8" s="72" t="s">
        <v>15</v>
      </c>
      <c r="B8" s="72"/>
      <c r="C8" s="72"/>
      <c r="D8" s="72"/>
      <c r="E8" s="72"/>
      <c r="F8" s="72"/>
      <c r="G8" s="76">
        <f>360/((23*60*60)+(56*60)+4.09)</f>
        <v>4.1780746480349299E-3</v>
      </c>
      <c r="H8" s="76"/>
      <c r="I8" s="2" t="s">
        <v>16</v>
      </c>
      <c r="K8" s="47"/>
      <c r="L8" s="48"/>
      <c r="M8" s="48"/>
      <c r="N8" s="48"/>
      <c r="O8" s="48"/>
      <c r="P8" s="49"/>
      <c r="R8" s="75"/>
      <c r="S8" s="75"/>
      <c r="T8" s="75"/>
      <c r="U8" s="75"/>
      <c r="V8" s="75"/>
      <c r="W8" s="75"/>
      <c r="X8" s="75"/>
      <c r="Y8" s="75"/>
      <c r="AC8" s="61"/>
      <c r="AD8" s="61"/>
      <c r="AE8" s="61"/>
      <c r="AF8" s="61"/>
      <c r="AG8" s="61"/>
    </row>
    <row r="9" spans="1:33" x14ac:dyDescent="0.25">
      <c r="A9" s="72" t="s">
        <v>17</v>
      </c>
      <c r="B9" s="72"/>
      <c r="C9" s="72"/>
      <c r="D9" s="72"/>
      <c r="E9" s="72"/>
      <c r="F9" s="72"/>
      <c r="G9" s="71">
        <v>49</v>
      </c>
      <c r="H9" s="71"/>
      <c r="I9" s="2" t="s">
        <v>18</v>
      </c>
      <c r="K9" s="47"/>
      <c r="L9" s="48"/>
      <c r="M9" s="48"/>
      <c r="N9" s="48"/>
      <c r="O9" s="48"/>
      <c r="P9" s="49"/>
      <c r="R9" s="75"/>
      <c r="S9" s="75"/>
      <c r="T9" s="75"/>
      <c r="U9" s="75"/>
      <c r="V9" s="75"/>
      <c r="W9" s="75"/>
      <c r="X9" s="75"/>
      <c r="Y9" s="75"/>
      <c r="AC9" s="61"/>
      <c r="AD9" s="81"/>
      <c r="AE9" s="81"/>
      <c r="AF9" s="81"/>
      <c r="AG9" s="61"/>
    </row>
    <row r="10" spans="1:33" ht="15.75" customHeight="1" x14ac:dyDescent="0.25">
      <c r="A10" s="66" t="s">
        <v>19</v>
      </c>
      <c r="B10" s="67"/>
      <c r="C10" s="67"/>
      <c r="D10" s="67"/>
      <c r="E10" s="67"/>
      <c r="F10" s="68"/>
      <c r="G10" s="69">
        <f>(COS(RADIANS(G9))*G8)</f>
        <v>2.7410635966396515E-3</v>
      </c>
      <c r="H10" s="70"/>
      <c r="I10" s="3" t="s">
        <v>16</v>
      </c>
      <c r="K10" s="47"/>
      <c r="L10" s="48"/>
      <c r="M10" s="48"/>
      <c r="N10" s="48"/>
      <c r="O10" s="48"/>
      <c r="P10" s="49"/>
      <c r="R10" s="13"/>
      <c r="S10" s="13"/>
      <c r="T10" s="13"/>
      <c r="U10" s="13"/>
      <c r="V10" s="13"/>
      <c r="W10" s="13"/>
      <c r="X10" s="13"/>
      <c r="Y10" s="13"/>
      <c r="AC10" s="63" t="s">
        <v>48</v>
      </c>
      <c r="AD10" s="64"/>
      <c r="AE10" s="65" t="s">
        <v>50</v>
      </c>
      <c r="AF10" s="64"/>
      <c r="AG10" s="30" t="s">
        <v>48</v>
      </c>
    </row>
    <row r="11" spans="1:33" ht="15.75" customHeight="1" x14ac:dyDescent="0.25">
      <c r="A11" s="72" t="s">
        <v>33</v>
      </c>
      <c r="B11" s="72"/>
      <c r="C11" s="72"/>
      <c r="D11" s="72"/>
      <c r="E11" s="72"/>
      <c r="F11" s="72"/>
      <c r="G11" s="71">
        <v>10</v>
      </c>
      <c r="H11" s="71"/>
      <c r="I11" s="2" t="s">
        <v>18</v>
      </c>
      <c r="K11" s="47"/>
      <c r="L11" s="48"/>
      <c r="M11" s="48"/>
      <c r="N11" s="48"/>
      <c r="O11" s="48"/>
      <c r="P11" s="49"/>
      <c r="R11" s="13"/>
      <c r="S11" s="13"/>
      <c r="T11" s="13"/>
      <c r="U11" s="13"/>
      <c r="V11" s="13"/>
      <c r="W11" s="13"/>
      <c r="X11" s="13"/>
      <c r="Y11" s="13"/>
      <c r="AC11" s="63"/>
      <c r="AD11" s="64"/>
      <c r="AE11" s="65"/>
      <c r="AF11" s="64"/>
      <c r="AG11" s="30"/>
    </row>
    <row r="12" spans="1:33" ht="15.75" customHeight="1" x14ac:dyDescent="0.25">
      <c r="A12" s="32" t="s">
        <v>34</v>
      </c>
      <c r="B12" s="33"/>
      <c r="C12" s="33"/>
      <c r="D12" s="33"/>
      <c r="E12" s="33"/>
      <c r="F12" s="34"/>
      <c r="G12" s="35">
        <f>360/G11</f>
        <v>36</v>
      </c>
      <c r="H12" s="36"/>
      <c r="I12" s="2"/>
      <c r="K12" s="47"/>
      <c r="L12" s="48"/>
      <c r="M12" s="48"/>
      <c r="N12" s="48"/>
      <c r="O12" s="48"/>
      <c r="P12" s="49"/>
      <c r="R12" s="8"/>
      <c r="S12" s="8"/>
      <c r="T12" s="8"/>
      <c r="U12" s="8"/>
      <c r="V12" s="8"/>
      <c r="W12" s="8"/>
      <c r="X12" s="8"/>
      <c r="Y12" s="8"/>
      <c r="AC12" s="63"/>
      <c r="AD12" s="64"/>
      <c r="AE12" s="65"/>
      <c r="AF12" s="64"/>
      <c r="AG12" s="30"/>
    </row>
    <row r="13" spans="1:33" ht="15.75" customHeight="1" x14ac:dyDescent="0.25">
      <c r="A13" s="72" t="s">
        <v>20</v>
      </c>
      <c r="B13" s="72"/>
      <c r="C13" s="72"/>
      <c r="D13" s="72"/>
      <c r="E13" s="72"/>
      <c r="F13" s="72"/>
      <c r="G13" s="71" t="s">
        <v>47</v>
      </c>
      <c r="H13" s="71"/>
      <c r="I13" s="2"/>
      <c r="K13" s="47"/>
      <c r="L13" s="48"/>
      <c r="M13" s="48"/>
      <c r="N13" s="48"/>
      <c r="O13" s="48"/>
      <c r="P13" s="49"/>
      <c r="R13" s="77" t="s">
        <v>25</v>
      </c>
      <c r="S13" s="77"/>
      <c r="T13" s="77" t="s">
        <v>26</v>
      </c>
      <c r="U13" s="77"/>
      <c r="V13" s="77" t="s">
        <v>27</v>
      </c>
      <c r="W13" s="77"/>
      <c r="X13" s="77" t="s">
        <v>28</v>
      </c>
      <c r="Y13" s="77"/>
      <c r="AC13" s="43" t="s">
        <v>48</v>
      </c>
      <c r="AD13" s="37"/>
      <c r="AE13" s="37" t="s">
        <v>49</v>
      </c>
      <c r="AF13" s="37"/>
      <c r="AG13" s="31" t="s">
        <v>48</v>
      </c>
    </row>
    <row r="14" spans="1:33" ht="15.75" customHeight="1" x14ac:dyDescent="0.25">
      <c r="A14" s="32" t="s">
        <v>21</v>
      </c>
      <c r="B14" s="33"/>
      <c r="C14" s="33"/>
      <c r="D14" s="33"/>
      <c r="E14" s="33"/>
      <c r="F14" s="34"/>
      <c r="G14" s="35">
        <v>480</v>
      </c>
      <c r="H14" s="36"/>
      <c r="I14" s="2"/>
      <c r="K14" s="47"/>
      <c r="L14" s="48"/>
      <c r="M14" s="48"/>
      <c r="N14" s="48"/>
      <c r="O14" s="48"/>
      <c r="P14" s="49"/>
      <c r="R14" s="77"/>
      <c r="S14" s="77"/>
      <c r="T14" s="77"/>
      <c r="U14" s="77"/>
      <c r="V14" s="77"/>
      <c r="W14" s="77"/>
      <c r="X14" s="77"/>
      <c r="Y14" s="77"/>
      <c r="AC14" s="43"/>
      <c r="AD14" s="38"/>
      <c r="AE14" s="38"/>
      <c r="AF14" s="38"/>
      <c r="AG14" s="31"/>
    </row>
    <row r="15" spans="1:33" ht="15.75" customHeight="1" x14ac:dyDescent="0.25">
      <c r="A15" s="32" t="s">
        <v>22</v>
      </c>
      <c r="B15" s="33"/>
      <c r="C15" s="33"/>
      <c r="D15" s="33"/>
      <c r="E15" s="33"/>
      <c r="F15" s="34"/>
      <c r="G15" s="35">
        <v>200</v>
      </c>
      <c r="H15" s="36"/>
      <c r="I15" s="2"/>
      <c r="K15" s="47"/>
      <c r="L15" s="48"/>
      <c r="M15" s="48"/>
      <c r="N15" s="48"/>
      <c r="O15" s="48"/>
      <c r="P15" s="49"/>
      <c r="R15" s="77"/>
      <c r="S15" s="77"/>
      <c r="T15" s="77"/>
      <c r="U15" s="77"/>
      <c r="V15" s="77"/>
      <c r="W15" s="77"/>
      <c r="X15" s="77"/>
      <c r="Y15" s="77"/>
      <c r="AC15" s="43"/>
      <c r="AD15" s="39"/>
      <c r="AE15" s="39"/>
      <c r="AF15" s="39"/>
      <c r="AG15" s="31"/>
    </row>
    <row r="16" spans="1:33" ht="15.75" customHeight="1" x14ac:dyDescent="0.25">
      <c r="A16" s="32" t="s">
        <v>23</v>
      </c>
      <c r="B16" s="33"/>
      <c r="C16" s="33"/>
      <c r="D16" s="33"/>
      <c r="E16" s="33"/>
      <c r="F16" s="34"/>
      <c r="G16" s="35">
        <v>50</v>
      </c>
      <c r="H16" s="36"/>
      <c r="I16" s="2"/>
      <c r="K16" s="47"/>
      <c r="L16" s="48"/>
      <c r="M16" s="48"/>
      <c r="N16" s="48"/>
      <c r="O16" s="48"/>
      <c r="P16" s="49"/>
      <c r="R16" s="77"/>
      <c r="S16" s="77"/>
      <c r="T16" s="77"/>
      <c r="U16" s="77"/>
      <c r="V16" s="77"/>
      <c r="W16" s="77"/>
      <c r="X16" s="77"/>
      <c r="Y16" s="77"/>
      <c r="AC16" s="43" t="s">
        <v>48</v>
      </c>
      <c r="AD16" s="40"/>
      <c r="AE16" s="37" t="s">
        <v>48</v>
      </c>
      <c r="AF16" s="37"/>
      <c r="AG16" s="31" t="s">
        <v>48</v>
      </c>
    </row>
    <row r="17" spans="1:33" ht="15.75" customHeight="1" x14ac:dyDescent="0.25">
      <c r="A17" s="53" t="s">
        <v>36</v>
      </c>
      <c r="B17" s="54"/>
      <c r="C17" s="54"/>
      <c r="D17" s="54"/>
      <c r="E17" s="54"/>
      <c r="F17" s="55"/>
      <c r="G17" s="79">
        <v>400</v>
      </c>
      <c r="H17" s="80"/>
      <c r="I17" s="4" t="s">
        <v>18</v>
      </c>
      <c r="K17" s="47"/>
      <c r="L17" s="48"/>
      <c r="M17" s="48"/>
      <c r="N17" s="48"/>
      <c r="O17" s="48"/>
      <c r="P17" s="49"/>
      <c r="R17" s="78">
        <f>MIN('T19-2'!U3:U74)</f>
        <v>-6.8356599999999934E-3</v>
      </c>
      <c r="S17" s="78"/>
      <c r="T17" s="78">
        <f>MIN('T19-2'!V3:V74)</f>
        <v>-6.1312600000000272E-3</v>
      </c>
      <c r="U17" s="78"/>
      <c r="V17" s="78">
        <f>MAX('T19-2'!U3:U74)</f>
        <v>6.2937299999999974E-3</v>
      </c>
      <c r="W17" s="78"/>
      <c r="X17" s="78">
        <f>MAX('T19-2'!V3:V74)</f>
        <v>6.8208500000000172E-3</v>
      </c>
      <c r="Y17" s="78"/>
      <c r="AC17" s="43"/>
      <c r="AD17" s="41"/>
      <c r="AE17" s="38"/>
      <c r="AF17" s="38"/>
      <c r="AG17" s="31"/>
    </row>
    <row r="18" spans="1:33" ht="15.75" customHeight="1" x14ac:dyDescent="0.25">
      <c r="A18" s="53" t="s">
        <v>35</v>
      </c>
      <c r="B18" s="54"/>
      <c r="C18" s="54"/>
      <c r="D18" s="54"/>
      <c r="E18" s="54"/>
      <c r="F18" s="55"/>
      <c r="G18" s="79">
        <f>G14*G15*2</f>
        <v>192000</v>
      </c>
      <c r="H18" s="80"/>
      <c r="I18" s="2"/>
      <c r="K18" s="50"/>
      <c r="L18" s="51"/>
      <c r="M18" s="51"/>
      <c r="N18" s="51"/>
      <c r="O18" s="51"/>
      <c r="P18" s="52"/>
      <c r="R18" s="78"/>
      <c r="S18" s="78"/>
      <c r="T18" s="78"/>
      <c r="U18" s="78"/>
      <c r="V18" s="78"/>
      <c r="W18" s="78"/>
      <c r="X18" s="78"/>
      <c r="Y18" s="78"/>
      <c r="AC18" s="43"/>
      <c r="AD18" s="42"/>
      <c r="AE18" s="39"/>
      <c r="AF18" s="39"/>
      <c r="AG18" s="31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56" t="s">
        <v>48</v>
      </c>
      <c r="AD19" s="59" t="s">
        <v>48</v>
      </c>
      <c r="AE19" s="59" t="s">
        <v>48</v>
      </c>
      <c r="AF19" s="59" t="s">
        <v>48</v>
      </c>
      <c r="AG19" s="57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56"/>
      <c r="AD20" s="60"/>
      <c r="AE20" s="60"/>
      <c r="AF20" s="60"/>
      <c r="AG20" s="57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56"/>
      <c r="AD21" s="60"/>
      <c r="AE21" s="60"/>
      <c r="AF21" s="60"/>
      <c r="AG21" s="57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17" zoomScale="85" zoomScaleNormal="85" workbookViewId="0">
      <selection activeCell="B3" sqref="B3:S74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57</v>
      </c>
      <c r="B2" t="s">
        <v>53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54</v>
      </c>
      <c r="L2" t="s">
        <v>55</v>
      </c>
      <c r="M2" t="s">
        <v>56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61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59</v>
      </c>
      <c r="C3" s="14">
        <v>0</v>
      </c>
      <c r="D3" s="14">
        <v>4</v>
      </c>
      <c r="E3" s="15">
        <v>-0.43295</v>
      </c>
      <c r="F3" s="15">
        <v>-0.42949999999999999</v>
      </c>
      <c r="G3" s="15">
        <v>-3.4500400000000001E-3</v>
      </c>
      <c r="H3" s="15">
        <v>0.46612495999999998</v>
      </c>
      <c r="I3" s="15">
        <v>0.46388740000000001</v>
      </c>
      <c r="J3" s="15">
        <v>2.2375300000000002E-3</v>
      </c>
      <c r="K3" s="18">
        <v>26.54</v>
      </c>
      <c r="L3" s="18">
        <v>26.52</v>
      </c>
      <c r="M3" s="18">
        <v>0.02</v>
      </c>
      <c r="N3" s="15">
        <v>4.88916E-2</v>
      </c>
      <c r="O3" s="15">
        <v>2.0385739999999999E-2</v>
      </c>
      <c r="P3" s="15">
        <v>2.8505860000000001E-2</v>
      </c>
      <c r="Q3" s="15">
        <v>2.6863399999999999E-2</v>
      </c>
      <c r="R3" s="15">
        <v>-1.932068E-2</v>
      </c>
      <c r="S3" s="15">
        <v>4.6184080000000002E-2</v>
      </c>
      <c r="T3" s="14"/>
      <c r="U3" s="15">
        <f>(F3-E3)/2</f>
        <v>1.7250000000000043E-3</v>
      </c>
      <c r="V3" s="15">
        <f>(H3-I3)/2</f>
        <v>1.1187799999999859E-3</v>
      </c>
      <c r="W3" s="15"/>
      <c r="X3" s="15"/>
      <c r="Y3" s="16">
        <f t="shared" ref="Y3:Y34" si="0">N3</f>
        <v>4.88916E-2</v>
      </c>
      <c r="Z3" s="16">
        <f t="shared" ref="Z3:Z34" si="1">Q3</f>
        <v>2.6863399999999999E-2</v>
      </c>
      <c r="AA3" s="16">
        <f t="shared" ref="AA3:AA34" si="2">O3</f>
        <v>2.0385739999999999E-2</v>
      </c>
      <c r="AB3" s="16">
        <f t="shared" ref="AB3:AB34" si="3">R3</f>
        <v>-1.932068E-2</v>
      </c>
      <c r="AC3" s="17">
        <f>IF(Y3="","",DEGREES(ASIN(SQRT(Y3^2+Z3^2))))</f>
        <v>3.1979383724079007</v>
      </c>
      <c r="AD3" s="17">
        <f>IF(AA3="","",DEGREES(ASIN(SQRT(AA3^2+AB3^2))))</f>
        <v>1.6094654679300076</v>
      </c>
      <c r="AE3" s="17">
        <f>IF(Y3="","",MOD(DEGREES(ATAN2(Y3,Z3)),360))</f>
        <v>28.786513457938756</v>
      </c>
      <c r="AF3" s="17">
        <f t="shared" ref="AF3:AF34" si="4">IF(Y3="","",MOD(F3+AE3,360))</f>
        <v>28.357013457938756</v>
      </c>
    </row>
    <row r="4" spans="1:32" x14ac:dyDescent="0.25">
      <c r="A4" s="14">
        <v>2</v>
      </c>
      <c r="B4" s="14" t="s">
        <v>59</v>
      </c>
      <c r="C4" s="14">
        <v>10</v>
      </c>
      <c r="D4" s="14">
        <v>4</v>
      </c>
      <c r="E4" s="15">
        <v>-0.43209999999999998</v>
      </c>
      <c r="F4" s="15">
        <v>-0.42482500000000001</v>
      </c>
      <c r="G4" s="15">
        <v>-7.2750200000000001E-3</v>
      </c>
      <c r="H4" s="15">
        <v>0.50597491999999999</v>
      </c>
      <c r="I4" s="15">
        <v>0.50201249999999997</v>
      </c>
      <c r="J4" s="15">
        <v>3.9624600000000001E-3</v>
      </c>
      <c r="K4" s="18">
        <v>26.03</v>
      </c>
      <c r="L4" s="18">
        <v>26</v>
      </c>
      <c r="M4" s="18">
        <v>0.03</v>
      </c>
      <c r="N4" s="15">
        <v>5.3685919999999998E-2</v>
      </c>
      <c r="O4" s="15">
        <v>1.764404E-2</v>
      </c>
      <c r="P4" s="15">
        <v>3.6041869999999997E-2</v>
      </c>
      <c r="Q4" s="15">
        <v>2.417542E-2</v>
      </c>
      <c r="R4" s="15">
        <v>-1.6309810000000001E-2</v>
      </c>
      <c r="S4" s="15">
        <v>4.0485229999999997E-2</v>
      </c>
      <c r="T4" s="14"/>
      <c r="U4" s="15">
        <f t="shared" ref="U4:U34" si="5">(F4-E4)/2</f>
        <v>3.637499999999988E-3</v>
      </c>
      <c r="V4" s="15">
        <f t="shared" ref="V4:V34" si="6">(H4-I4)/2</f>
        <v>1.981210000000011E-3</v>
      </c>
      <c r="W4" s="15"/>
      <c r="X4" s="15"/>
      <c r="Y4" s="16">
        <f t="shared" si="0"/>
        <v>5.3685919999999998E-2</v>
      </c>
      <c r="Z4" s="16">
        <f t="shared" si="1"/>
        <v>2.417542E-2</v>
      </c>
      <c r="AA4" s="16">
        <f t="shared" si="2"/>
        <v>1.764404E-2</v>
      </c>
      <c r="AB4" s="16">
        <f t="shared" si="3"/>
        <v>-1.6309810000000001E-2</v>
      </c>
      <c r="AC4" s="17">
        <f t="shared" ref="AC4:AC18" si="7">IF(Y4="","",DEGREES(ASIN(SQRT(Y4^2+Z4^2))))</f>
        <v>3.375417937483312</v>
      </c>
      <c r="AD4" s="17">
        <f t="shared" ref="AD4:AD18" si="8">IF(AA4="","",DEGREES(ASIN(SQRT(AA4^2+AB4^2))))</f>
        <v>1.3768083831429281</v>
      </c>
      <c r="AE4" s="17">
        <f t="shared" ref="AE4:AE18" si="9">IF(Y4="","",MOD(DEGREES(ATAN2(Y4,Z4)),360))</f>
        <v>24.24261483172431</v>
      </c>
      <c r="AF4" s="17">
        <f t="shared" si="4"/>
        <v>23.817789831724312</v>
      </c>
    </row>
    <row r="5" spans="1:32" x14ac:dyDescent="0.25">
      <c r="A5" s="14">
        <v>3</v>
      </c>
      <c r="B5" s="14" t="s">
        <v>59</v>
      </c>
      <c r="C5" s="14">
        <v>20</v>
      </c>
      <c r="D5" s="14">
        <v>6</v>
      </c>
      <c r="E5" s="15">
        <v>-0.43735000000000002</v>
      </c>
      <c r="F5" s="15">
        <v>-0.43323329999999999</v>
      </c>
      <c r="G5" s="15">
        <v>-4.11671E-3</v>
      </c>
      <c r="H5" s="15">
        <v>0.50755830000000002</v>
      </c>
      <c r="I5" s="15">
        <v>0.50234155999999996</v>
      </c>
      <c r="J5" s="15">
        <v>5.2167200000000002E-3</v>
      </c>
      <c r="K5" s="18">
        <v>25.87</v>
      </c>
      <c r="L5" s="18">
        <v>25.87</v>
      </c>
      <c r="M5" s="18">
        <v>-0.01</v>
      </c>
      <c r="N5" s="15">
        <v>5.8100590000000001E-2</v>
      </c>
      <c r="O5" s="15">
        <v>1.437948E-2</v>
      </c>
      <c r="P5" s="15">
        <v>4.3721120000000002E-2</v>
      </c>
      <c r="Q5" s="15">
        <v>2.0415450000000002E-2</v>
      </c>
      <c r="R5" s="15">
        <v>-1.3200679999999999E-2</v>
      </c>
      <c r="S5" s="15">
        <v>3.3616130000000001E-2</v>
      </c>
      <c r="T5" s="14"/>
      <c r="U5" s="15">
        <f t="shared" si="5"/>
        <v>2.0583500000000143E-3</v>
      </c>
      <c r="V5" s="15">
        <f t="shared" si="6"/>
        <v>2.6083700000000265E-3</v>
      </c>
      <c r="W5" s="15"/>
      <c r="X5" s="15"/>
      <c r="Y5" s="16">
        <f t="shared" si="0"/>
        <v>5.8100590000000001E-2</v>
      </c>
      <c r="Z5" s="16">
        <f t="shared" si="1"/>
        <v>2.0415450000000002E-2</v>
      </c>
      <c r="AA5" s="16">
        <f t="shared" si="2"/>
        <v>1.437948E-2</v>
      </c>
      <c r="AB5" s="16">
        <f t="shared" si="3"/>
        <v>-1.3200679999999999E-2</v>
      </c>
      <c r="AC5" s="17">
        <f t="shared" si="7"/>
        <v>3.5306815795408442</v>
      </c>
      <c r="AD5" s="17">
        <f t="shared" si="8"/>
        <v>1.1184802458863432</v>
      </c>
      <c r="AE5" s="17">
        <f t="shared" si="9"/>
        <v>19.360512021559341</v>
      </c>
      <c r="AF5" s="17">
        <f t="shared" si="4"/>
        <v>18.92727872155934</v>
      </c>
    </row>
    <row r="6" spans="1:32" x14ac:dyDescent="0.25">
      <c r="A6" s="14">
        <v>4</v>
      </c>
      <c r="B6" s="14" t="s">
        <v>59</v>
      </c>
      <c r="C6" s="14">
        <v>30</v>
      </c>
      <c r="D6" s="14">
        <v>7</v>
      </c>
      <c r="E6" s="15">
        <v>-0.4370928</v>
      </c>
      <c r="F6" s="15">
        <v>-0.43072136</v>
      </c>
      <c r="G6" s="15">
        <v>-6.3714399999999999E-3</v>
      </c>
      <c r="H6" s="15">
        <v>0.51547856000000003</v>
      </c>
      <c r="I6" s="15">
        <v>0.50846429999999998</v>
      </c>
      <c r="J6" s="15">
        <v>7.0142700000000004E-3</v>
      </c>
      <c r="K6" s="18">
        <v>25.86</v>
      </c>
      <c r="L6" s="18">
        <v>25.85</v>
      </c>
      <c r="M6" s="18">
        <v>0</v>
      </c>
      <c r="N6" s="15">
        <v>5.966134E-2</v>
      </c>
      <c r="O6" s="15">
        <v>1.1345559999999999E-2</v>
      </c>
      <c r="P6" s="15">
        <v>4.8315780000000003E-2</v>
      </c>
      <c r="Q6" s="15">
        <v>1.68471E-2</v>
      </c>
      <c r="R6" s="15">
        <v>-8.6718699999999999E-3</v>
      </c>
      <c r="S6" s="15">
        <v>2.5518969999999998E-2</v>
      </c>
      <c r="T6" s="14"/>
      <c r="U6" s="15">
        <f t="shared" si="5"/>
        <v>3.185720000000003E-3</v>
      </c>
      <c r="V6" s="15">
        <f t="shared" si="6"/>
        <v>3.5071300000000249E-3</v>
      </c>
      <c r="W6" s="15"/>
      <c r="X6" s="15"/>
      <c r="Y6" s="16">
        <f t="shared" si="0"/>
        <v>5.966134E-2</v>
      </c>
      <c r="Z6" s="16">
        <f t="shared" si="1"/>
        <v>1.68471E-2</v>
      </c>
      <c r="AA6" s="16">
        <f t="shared" si="2"/>
        <v>1.1345559999999999E-2</v>
      </c>
      <c r="AB6" s="16">
        <f t="shared" si="3"/>
        <v>-8.6718699999999999E-3</v>
      </c>
      <c r="AC6" s="17">
        <f t="shared" si="7"/>
        <v>3.5542941828667716</v>
      </c>
      <c r="AD6" s="17">
        <f t="shared" si="8"/>
        <v>0.81822089272680842</v>
      </c>
      <c r="AE6" s="17">
        <f t="shared" si="9"/>
        <v>15.768556876654625</v>
      </c>
      <c r="AF6" s="17">
        <f t="shared" si="4"/>
        <v>15.337835516654625</v>
      </c>
    </row>
    <row r="7" spans="1:32" x14ac:dyDescent="0.25">
      <c r="A7" s="14">
        <v>5</v>
      </c>
      <c r="B7" s="14" t="s">
        <v>59</v>
      </c>
      <c r="C7" s="14">
        <v>40</v>
      </c>
      <c r="D7" s="14">
        <v>5</v>
      </c>
      <c r="E7" s="15">
        <v>-0.43751992000000001</v>
      </c>
      <c r="F7" s="15">
        <v>-0.43280000000000002</v>
      </c>
      <c r="G7" s="15">
        <v>-4.7199399999999997E-3</v>
      </c>
      <c r="H7" s="15">
        <v>0.52093999999999996</v>
      </c>
      <c r="I7" s="15">
        <v>0.51586010000000004</v>
      </c>
      <c r="J7" s="15">
        <v>5.0799199999999999E-3</v>
      </c>
      <c r="K7" s="18">
        <v>25.79</v>
      </c>
      <c r="L7" s="18">
        <v>25.81</v>
      </c>
      <c r="M7" s="18">
        <v>-0.01</v>
      </c>
      <c r="N7" s="15">
        <v>6.1640630000000002E-2</v>
      </c>
      <c r="O7" s="15">
        <v>9.8266599999999992E-3</v>
      </c>
      <c r="P7" s="15">
        <v>5.1813970000000001E-2</v>
      </c>
      <c r="Q7" s="15">
        <v>1.207129E-2</v>
      </c>
      <c r="R7" s="15">
        <v>-4.3481400000000003E-3</v>
      </c>
      <c r="S7" s="15">
        <v>1.6419429999999999E-2</v>
      </c>
      <c r="T7" s="14"/>
      <c r="U7" s="15">
        <f t="shared" si="5"/>
        <v>2.3599599999999943E-3</v>
      </c>
      <c r="V7" s="15">
        <f t="shared" si="6"/>
        <v>2.5399499999999575E-3</v>
      </c>
      <c r="W7" s="15"/>
      <c r="X7" s="15"/>
      <c r="Y7" s="16">
        <f t="shared" si="0"/>
        <v>6.1640630000000002E-2</v>
      </c>
      <c r="Z7" s="16">
        <f t="shared" si="1"/>
        <v>1.207129E-2</v>
      </c>
      <c r="AA7" s="16">
        <f t="shared" si="2"/>
        <v>9.8266599999999992E-3</v>
      </c>
      <c r="AB7" s="16">
        <f t="shared" si="3"/>
        <v>-4.3481400000000003E-3</v>
      </c>
      <c r="AC7" s="17">
        <f t="shared" si="7"/>
        <v>3.6012039109720591</v>
      </c>
      <c r="AD7" s="17">
        <f t="shared" si="8"/>
        <v>0.6156937735565281</v>
      </c>
      <c r="AE7" s="17">
        <f t="shared" si="9"/>
        <v>11.080199187055817</v>
      </c>
      <c r="AF7" s="17">
        <f t="shared" si="4"/>
        <v>10.647399187055816</v>
      </c>
    </row>
    <row r="8" spans="1:32" x14ac:dyDescent="0.25">
      <c r="A8" s="14">
        <v>6</v>
      </c>
      <c r="B8" s="14" t="s">
        <v>59</v>
      </c>
      <c r="C8" s="14">
        <v>50</v>
      </c>
      <c r="D8" s="14">
        <v>6</v>
      </c>
      <c r="E8" s="15">
        <v>-0.43203332</v>
      </c>
      <c r="F8" s="15">
        <v>-0.42793330000000002</v>
      </c>
      <c r="G8" s="15">
        <v>-4.1000200000000002E-3</v>
      </c>
      <c r="H8" s="15">
        <v>0.52581670000000003</v>
      </c>
      <c r="I8" s="15">
        <v>0.51854175999999996</v>
      </c>
      <c r="J8" s="15">
        <v>7.2749299999999998E-3</v>
      </c>
      <c r="K8" s="18">
        <v>25.71</v>
      </c>
      <c r="L8" s="18">
        <v>25.73</v>
      </c>
      <c r="M8" s="18">
        <v>-0.02</v>
      </c>
      <c r="N8" s="15">
        <v>6.2618400000000005E-2</v>
      </c>
      <c r="O8" s="15">
        <v>9.3668599999999994E-3</v>
      </c>
      <c r="P8" s="15">
        <v>5.325154E-2</v>
      </c>
      <c r="Q8" s="15">
        <v>7.6765899999999996E-3</v>
      </c>
      <c r="R8" s="15">
        <v>1.8148E-4</v>
      </c>
      <c r="S8" s="15">
        <v>7.4951200000000001E-3</v>
      </c>
      <c r="T8" s="14"/>
      <c r="U8" s="15">
        <f t="shared" si="5"/>
        <v>2.050009999999991E-3</v>
      </c>
      <c r="V8" s="15">
        <f t="shared" si="6"/>
        <v>3.6374700000000315E-3</v>
      </c>
      <c r="W8" s="15"/>
      <c r="X8" s="15"/>
      <c r="Y8" s="16">
        <f t="shared" si="0"/>
        <v>6.2618400000000005E-2</v>
      </c>
      <c r="Z8" s="16">
        <f t="shared" si="1"/>
        <v>7.6765899999999996E-3</v>
      </c>
      <c r="AA8" s="16">
        <f t="shared" si="2"/>
        <v>9.3668599999999994E-3</v>
      </c>
      <c r="AB8" s="16">
        <f t="shared" si="3"/>
        <v>1.8148E-4</v>
      </c>
      <c r="AC8" s="17">
        <f t="shared" si="7"/>
        <v>3.6170319655885663</v>
      </c>
      <c r="AD8" s="17">
        <f t="shared" si="8"/>
        <v>0.53679011784560815</v>
      </c>
      <c r="AE8" s="17">
        <f t="shared" si="9"/>
        <v>6.9891983879434081</v>
      </c>
      <c r="AF8" s="17">
        <f t="shared" si="4"/>
        <v>6.5612650879434078</v>
      </c>
    </row>
    <row r="9" spans="1:32" x14ac:dyDescent="0.25">
      <c r="A9" s="14">
        <v>7</v>
      </c>
      <c r="B9" s="14" t="s">
        <v>59</v>
      </c>
      <c r="C9" s="14">
        <v>60</v>
      </c>
      <c r="D9" s="14">
        <v>9</v>
      </c>
      <c r="E9" s="15">
        <v>-0.43666107999999998</v>
      </c>
      <c r="F9" s="15">
        <v>-0.43173331999999998</v>
      </c>
      <c r="G9" s="15">
        <v>-4.92772E-3</v>
      </c>
      <c r="H9" s="15">
        <v>0.52667209999999998</v>
      </c>
      <c r="I9" s="15">
        <v>0.51513324000000005</v>
      </c>
      <c r="J9" s="15">
        <v>1.153886E-2</v>
      </c>
      <c r="K9" s="18">
        <v>25.73</v>
      </c>
      <c r="L9" s="18">
        <v>25.73</v>
      </c>
      <c r="M9" s="18">
        <v>0</v>
      </c>
      <c r="N9" s="15">
        <v>6.3163789999999997E-2</v>
      </c>
      <c r="O9" s="15">
        <v>8.6753999999999998E-3</v>
      </c>
      <c r="P9" s="15">
        <v>5.4488389999999998E-2</v>
      </c>
      <c r="Q9" s="15">
        <v>3.0202900000000001E-3</v>
      </c>
      <c r="R9" s="15">
        <v>4.9796500000000004E-3</v>
      </c>
      <c r="S9" s="15">
        <v>-1.9593599999999998E-3</v>
      </c>
      <c r="T9" s="14"/>
      <c r="U9" s="15">
        <f t="shared" si="5"/>
        <v>2.4638800000000016E-3</v>
      </c>
      <c r="V9" s="15">
        <f t="shared" si="6"/>
        <v>5.7694299999999643E-3</v>
      </c>
      <c r="W9" s="15"/>
      <c r="X9" s="15"/>
      <c r="Y9" s="16">
        <f t="shared" si="0"/>
        <v>6.3163789999999997E-2</v>
      </c>
      <c r="Z9" s="16">
        <f t="shared" si="1"/>
        <v>3.0202900000000001E-3</v>
      </c>
      <c r="AA9" s="16">
        <f t="shared" si="2"/>
        <v>8.6753999999999998E-3</v>
      </c>
      <c r="AB9" s="16">
        <f t="shared" si="3"/>
        <v>4.9796500000000004E-3</v>
      </c>
      <c r="AC9" s="17">
        <f t="shared" si="7"/>
        <v>3.6255726263343737</v>
      </c>
      <c r="AD9" s="17">
        <f t="shared" si="8"/>
        <v>0.57313772364163762</v>
      </c>
      <c r="AE9" s="17">
        <f t="shared" si="9"/>
        <v>2.7376153461453696</v>
      </c>
      <c r="AF9" s="17">
        <f t="shared" si="4"/>
        <v>2.3058820261453699</v>
      </c>
    </row>
    <row r="10" spans="1:32" x14ac:dyDescent="0.25">
      <c r="A10" s="14">
        <v>8</v>
      </c>
      <c r="B10" s="14" t="s">
        <v>59</v>
      </c>
      <c r="C10" s="14">
        <v>70</v>
      </c>
      <c r="D10" s="14">
        <v>8</v>
      </c>
      <c r="E10" s="15">
        <v>-0.43437500000000001</v>
      </c>
      <c r="F10" s="15">
        <v>-0.43664375999999999</v>
      </c>
      <c r="G10" s="15">
        <v>2.2687599999999999E-3</v>
      </c>
      <c r="H10" s="15">
        <v>0.49293128000000003</v>
      </c>
      <c r="I10" s="15">
        <v>0.48548750000000002</v>
      </c>
      <c r="J10" s="15">
        <v>7.4437899999999996E-3</v>
      </c>
      <c r="K10" s="18">
        <v>26.19</v>
      </c>
      <c r="L10" s="18">
        <v>26.17</v>
      </c>
      <c r="M10" s="18">
        <v>0.01</v>
      </c>
      <c r="N10" s="15">
        <v>6.1560360000000001E-2</v>
      </c>
      <c r="O10" s="15">
        <v>9.0115400000000002E-3</v>
      </c>
      <c r="P10" s="15">
        <v>5.2548829999999998E-2</v>
      </c>
      <c r="Q10" s="15">
        <v>-1.7922999999999999E-3</v>
      </c>
      <c r="R10" s="15">
        <v>9.5815999999999991E-3</v>
      </c>
      <c r="S10" s="15">
        <v>-1.1373899999999999E-2</v>
      </c>
      <c r="T10" s="14"/>
      <c r="U10" s="15">
        <f t="shared" si="5"/>
        <v>-1.1343799999999904E-3</v>
      </c>
      <c r="V10" s="15">
        <f t="shared" si="6"/>
        <v>3.7218900000000055E-3</v>
      </c>
      <c r="W10" s="15"/>
      <c r="X10" s="15"/>
      <c r="Y10" s="16">
        <f t="shared" si="0"/>
        <v>6.1560360000000001E-2</v>
      </c>
      <c r="Z10" s="16">
        <f t="shared" si="1"/>
        <v>-1.7922999999999999E-3</v>
      </c>
      <c r="AA10" s="16">
        <f t="shared" si="2"/>
        <v>9.0115400000000002E-3</v>
      </c>
      <c r="AB10" s="16">
        <f t="shared" si="3"/>
        <v>9.5815999999999991E-3</v>
      </c>
      <c r="AC10" s="17">
        <f t="shared" si="7"/>
        <v>3.530877841293707</v>
      </c>
      <c r="AD10" s="17">
        <f t="shared" si="8"/>
        <v>0.7536625305258301</v>
      </c>
      <c r="AE10" s="17">
        <f t="shared" si="9"/>
        <v>358.33233228665506</v>
      </c>
      <c r="AF10" s="17">
        <f t="shared" si="4"/>
        <v>357.89568852665508</v>
      </c>
    </row>
    <row r="11" spans="1:32" x14ac:dyDescent="0.25">
      <c r="A11" s="14">
        <v>9</v>
      </c>
      <c r="B11" s="14" t="s">
        <v>59</v>
      </c>
      <c r="C11" s="14">
        <v>80</v>
      </c>
      <c r="D11" s="14">
        <v>5</v>
      </c>
      <c r="E11" s="15">
        <v>-0.43280992000000001</v>
      </c>
      <c r="F11" s="15">
        <v>-0.43328003999999998</v>
      </c>
      <c r="G11" s="15">
        <v>4.7013000000000003E-4</v>
      </c>
      <c r="H11" s="15">
        <v>0.51281007999999995</v>
      </c>
      <c r="I11" s="15">
        <v>0.49963999999999997</v>
      </c>
      <c r="J11" s="15">
        <v>1.3170060000000001E-2</v>
      </c>
      <c r="K11" s="18">
        <v>25.93</v>
      </c>
      <c r="L11" s="18">
        <v>25.95</v>
      </c>
      <c r="M11" s="18">
        <v>-0.02</v>
      </c>
      <c r="N11" s="15">
        <v>6.0356930000000003E-2</v>
      </c>
      <c r="O11" s="15">
        <v>1.119385E-2</v>
      </c>
      <c r="P11" s="15">
        <v>4.916309E-2</v>
      </c>
      <c r="Q11" s="15">
        <v>-6.3164099999999997E-3</v>
      </c>
      <c r="R11" s="15">
        <v>1.3646490000000001E-2</v>
      </c>
      <c r="S11" s="15">
        <v>-1.996289E-2</v>
      </c>
      <c r="T11" s="14"/>
      <c r="U11" s="15">
        <f t="shared" si="5"/>
        <v>-2.3505999999998139E-4</v>
      </c>
      <c r="V11" s="15">
        <f t="shared" si="6"/>
        <v>6.5850399999999865E-3</v>
      </c>
      <c r="W11" s="15"/>
      <c r="X11" s="15"/>
      <c r="Y11" s="16">
        <f t="shared" si="0"/>
        <v>6.0356930000000003E-2</v>
      </c>
      <c r="Z11" s="16">
        <f t="shared" si="1"/>
        <v>-6.3164099999999997E-3</v>
      </c>
      <c r="AA11" s="16">
        <f t="shared" si="2"/>
        <v>1.119385E-2</v>
      </c>
      <c r="AB11" s="16">
        <f t="shared" si="3"/>
        <v>1.3646490000000001E-2</v>
      </c>
      <c r="AC11" s="17">
        <f t="shared" si="7"/>
        <v>3.4792203773086539</v>
      </c>
      <c r="AD11" s="17">
        <f t="shared" si="8"/>
        <v>1.0113335198180367</v>
      </c>
      <c r="AE11" s="17">
        <f t="shared" si="9"/>
        <v>354.02568883315462</v>
      </c>
      <c r="AF11" s="17">
        <f t="shared" si="4"/>
        <v>353.59240879315462</v>
      </c>
    </row>
    <row r="12" spans="1:32" x14ac:dyDescent="0.25">
      <c r="A12" s="14">
        <v>10</v>
      </c>
      <c r="B12" s="14" t="s">
        <v>59</v>
      </c>
      <c r="C12" s="14">
        <v>90</v>
      </c>
      <c r="D12" s="14">
        <v>10</v>
      </c>
      <c r="E12" s="15">
        <v>-0.43279496000000001</v>
      </c>
      <c r="F12" s="15">
        <v>-0.43803500000000001</v>
      </c>
      <c r="G12" s="15">
        <v>5.2400499999999996E-3</v>
      </c>
      <c r="H12" s="15">
        <v>0.51215991999999999</v>
      </c>
      <c r="I12" s="15">
        <v>0.50517000000000001</v>
      </c>
      <c r="J12" s="15">
        <v>6.9899599999999999E-3</v>
      </c>
      <c r="K12" s="18">
        <v>25.87</v>
      </c>
      <c r="L12" s="18">
        <v>25.85</v>
      </c>
      <c r="M12" s="18">
        <v>0.02</v>
      </c>
      <c r="N12" s="15">
        <v>5.8317140000000003E-2</v>
      </c>
      <c r="O12" s="15">
        <v>1.287524E-2</v>
      </c>
      <c r="P12" s="15">
        <v>4.5441889999999999E-2</v>
      </c>
      <c r="Q12" s="15">
        <v>-1.0553470000000001E-2</v>
      </c>
      <c r="R12" s="15">
        <v>1.8456050000000002E-2</v>
      </c>
      <c r="S12" s="15">
        <v>-2.900952E-2</v>
      </c>
      <c r="T12" s="14"/>
      <c r="U12" s="15">
        <f t="shared" si="5"/>
        <v>-2.6200200000000007E-3</v>
      </c>
      <c r="V12" s="15">
        <f t="shared" si="6"/>
        <v>3.4949599999999914E-3</v>
      </c>
      <c r="W12" s="15"/>
      <c r="X12" s="15"/>
      <c r="Y12" s="16">
        <f t="shared" si="0"/>
        <v>5.8317140000000003E-2</v>
      </c>
      <c r="Z12" s="16">
        <f t="shared" si="1"/>
        <v>-1.0553470000000001E-2</v>
      </c>
      <c r="AA12" s="16">
        <f t="shared" si="2"/>
        <v>1.287524E-2</v>
      </c>
      <c r="AB12" s="16">
        <f t="shared" si="3"/>
        <v>1.8456050000000002E-2</v>
      </c>
      <c r="AC12" s="17">
        <f t="shared" si="7"/>
        <v>3.3975886453303974</v>
      </c>
      <c r="AD12" s="17">
        <f t="shared" si="8"/>
        <v>1.2894517833533927</v>
      </c>
      <c r="AE12" s="17">
        <f t="shared" si="9"/>
        <v>349.74237659871523</v>
      </c>
      <c r="AF12" s="17">
        <f t="shared" si="4"/>
        <v>349.30434159871521</v>
      </c>
    </row>
    <row r="13" spans="1:32" x14ac:dyDescent="0.25">
      <c r="A13" s="14">
        <v>11</v>
      </c>
      <c r="B13" s="14" t="s">
        <v>59</v>
      </c>
      <c r="C13" s="14">
        <v>100</v>
      </c>
      <c r="D13" s="14">
        <v>10</v>
      </c>
      <c r="E13" s="15">
        <v>-0.43339</v>
      </c>
      <c r="F13" s="15">
        <v>-0.43542500000000001</v>
      </c>
      <c r="G13" s="15">
        <v>2.03499E-3</v>
      </c>
      <c r="H13" s="15">
        <v>0.50949999999999995</v>
      </c>
      <c r="I13" s="15">
        <v>0.50329500000000005</v>
      </c>
      <c r="J13" s="15">
        <v>6.2050200000000003E-3</v>
      </c>
      <c r="K13" s="18">
        <v>25.9</v>
      </c>
      <c r="L13" s="18">
        <v>25.91</v>
      </c>
      <c r="M13" s="18">
        <v>-0.01</v>
      </c>
      <c r="N13" s="15">
        <v>5.585913E-2</v>
      </c>
      <c r="O13" s="15">
        <v>1.5156009999999999E-2</v>
      </c>
      <c r="P13" s="15">
        <v>4.0703120000000002E-2</v>
      </c>
      <c r="Q13" s="15">
        <v>-1.4468999999999999E-2</v>
      </c>
      <c r="R13" s="15">
        <v>2.231079E-2</v>
      </c>
      <c r="S13" s="15">
        <v>-3.6779779999999998E-2</v>
      </c>
      <c r="T13" s="14"/>
      <c r="U13" s="15">
        <f t="shared" si="5"/>
        <v>-1.0175000000000045E-3</v>
      </c>
      <c r="V13" s="15">
        <f t="shared" si="6"/>
        <v>3.1024999999999525E-3</v>
      </c>
      <c r="W13" s="15"/>
      <c r="X13" s="15"/>
      <c r="Y13" s="16">
        <f t="shared" si="0"/>
        <v>5.585913E-2</v>
      </c>
      <c r="Z13" s="16">
        <f t="shared" si="1"/>
        <v>-1.4468999999999999E-2</v>
      </c>
      <c r="AA13" s="16">
        <f t="shared" si="2"/>
        <v>1.5156009999999999E-2</v>
      </c>
      <c r="AB13" s="16">
        <f t="shared" si="3"/>
        <v>2.231079E-2</v>
      </c>
      <c r="AC13" s="17">
        <f t="shared" si="7"/>
        <v>3.307955017137203</v>
      </c>
      <c r="AD13" s="17">
        <f t="shared" si="8"/>
        <v>1.5455556066069556</v>
      </c>
      <c r="AE13" s="17">
        <f t="shared" si="9"/>
        <v>345.47803694656892</v>
      </c>
      <c r="AF13" s="17">
        <f t="shared" si="4"/>
        <v>345.04261194656891</v>
      </c>
    </row>
    <row r="14" spans="1:32" x14ac:dyDescent="0.25">
      <c r="A14" s="14">
        <v>12</v>
      </c>
      <c r="B14" s="14" t="s">
        <v>59</v>
      </c>
      <c r="C14" s="14">
        <v>110</v>
      </c>
      <c r="D14" s="14">
        <v>6</v>
      </c>
      <c r="E14" s="15">
        <v>-0.43035824</v>
      </c>
      <c r="F14" s="15">
        <v>-0.43574168000000002</v>
      </c>
      <c r="G14" s="15">
        <v>5.3834E-3</v>
      </c>
      <c r="H14" s="15">
        <v>0.50170000000000003</v>
      </c>
      <c r="I14" s="15">
        <v>0.4880583</v>
      </c>
      <c r="J14" s="15">
        <v>1.364169E-2</v>
      </c>
      <c r="K14" s="18">
        <v>26.08</v>
      </c>
      <c r="L14" s="18">
        <v>26.1</v>
      </c>
      <c r="M14" s="18">
        <v>-0.03</v>
      </c>
      <c r="N14" s="15">
        <v>5.2497559999999999E-2</v>
      </c>
      <c r="O14" s="15">
        <v>1.8271079999999999E-2</v>
      </c>
      <c r="P14" s="15">
        <v>3.4226479999999997E-2</v>
      </c>
      <c r="Q14" s="15">
        <v>-1.727132E-2</v>
      </c>
      <c r="R14" s="15">
        <v>2.542318E-2</v>
      </c>
      <c r="S14" s="15">
        <v>-4.2694500000000003E-2</v>
      </c>
      <c r="T14" s="14"/>
      <c r="U14" s="15">
        <f t="shared" si="5"/>
        <v>-2.6917200000000086E-3</v>
      </c>
      <c r="V14" s="15">
        <f t="shared" si="6"/>
        <v>6.8208500000000172E-3</v>
      </c>
      <c r="W14" s="15"/>
      <c r="X14" s="15"/>
      <c r="Y14" s="16">
        <f t="shared" si="0"/>
        <v>5.2497559999999999E-2</v>
      </c>
      <c r="Z14" s="16">
        <f t="shared" si="1"/>
        <v>-1.727132E-2</v>
      </c>
      <c r="AA14" s="16">
        <f t="shared" si="2"/>
        <v>1.8271079999999999E-2</v>
      </c>
      <c r="AB14" s="16">
        <f t="shared" si="3"/>
        <v>2.542318E-2</v>
      </c>
      <c r="AC14" s="17">
        <f t="shared" si="7"/>
        <v>3.1681027330138933</v>
      </c>
      <c r="AD14" s="17">
        <f t="shared" si="8"/>
        <v>1.7940907486601723</v>
      </c>
      <c r="AE14" s="17">
        <f t="shared" si="9"/>
        <v>341.78916595540335</v>
      </c>
      <c r="AF14" s="17">
        <f t="shared" si="4"/>
        <v>341.35342427540337</v>
      </c>
    </row>
    <row r="15" spans="1:32" x14ac:dyDescent="0.25">
      <c r="A15" s="14">
        <v>13</v>
      </c>
      <c r="B15" s="14" t="s">
        <v>59</v>
      </c>
      <c r="C15" s="14">
        <v>120</v>
      </c>
      <c r="D15" s="14">
        <v>7</v>
      </c>
      <c r="E15" s="15">
        <v>-0.42912855999999999</v>
      </c>
      <c r="F15" s="15">
        <v>-0.44085000000000002</v>
      </c>
      <c r="G15" s="15">
        <v>1.172143E-2</v>
      </c>
      <c r="H15" s="15">
        <v>0.51540699999999995</v>
      </c>
      <c r="I15" s="15">
        <v>0.50628569999999995</v>
      </c>
      <c r="J15" s="15">
        <v>9.1213000000000006E-3</v>
      </c>
      <c r="K15" s="18">
        <v>25.81</v>
      </c>
      <c r="L15" s="18">
        <v>25.84</v>
      </c>
      <c r="M15" s="18">
        <v>-0.03</v>
      </c>
      <c r="N15" s="15">
        <v>4.8211499999999997E-2</v>
      </c>
      <c r="O15" s="15">
        <v>2.287842E-2</v>
      </c>
      <c r="P15" s="15">
        <v>2.5333080000000001E-2</v>
      </c>
      <c r="Q15" s="15">
        <v>-2.0209609999999999E-2</v>
      </c>
      <c r="R15" s="15">
        <v>2.7992119999999999E-2</v>
      </c>
      <c r="S15" s="15">
        <v>-4.8201729999999998E-2</v>
      </c>
      <c r="T15" s="14"/>
      <c r="U15" s="15">
        <f t="shared" si="5"/>
        <v>-5.8607200000000137E-3</v>
      </c>
      <c r="V15" s="15">
        <f t="shared" si="6"/>
        <v>4.5606499999999994E-3</v>
      </c>
      <c r="W15" s="15"/>
      <c r="X15" s="15"/>
      <c r="Y15" s="16">
        <f t="shared" si="0"/>
        <v>4.8211499999999997E-2</v>
      </c>
      <c r="Z15" s="16">
        <f t="shared" si="1"/>
        <v>-2.0209609999999999E-2</v>
      </c>
      <c r="AA15" s="16">
        <f t="shared" si="2"/>
        <v>2.287842E-2</v>
      </c>
      <c r="AB15" s="16">
        <f t="shared" si="3"/>
        <v>2.7992119999999999E-2</v>
      </c>
      <c r="AC15" s="17">
        <f t="shared" si="7"/>
        <v>2.9965583461719603</v>
      </c>
      <c r="AD15" s="17">
        <f t="shared" si="8"/>
        <v>2.0718194123960596</v>
      </c>
      <c r="AE15" s="17">
        <f t="shared" si="9"/>
        <v>337.25722669448521</v>
      </c>
      <c r="AF15" s="17">
        <f t="shared" si="4"/>
        <v>336.8163766944852</v>
      </c>
    </row>
    <row r="16" spans="1:32" x14ac:dyDescent="0.25">
      <c r="A16" s="14">
        <v>14</v>
      </c>
      <c r="B16" s="14" t="s">
        <v>59</v>
      </c>
      <c r="C16" s="14">
        <v>130</v>
      </c>
      <c r="D16" s="14">
        <v>9</v>
      </c>
      <c r="E16" s="15">
        <v>-0.43413331999999999</v>
      </c>
      <c r="F16" s="15">
        <v>-0.43245003999999998</v>
      </c>
      <c r="G16" s="15">
        <v>-1.68329E-3</v>
      </c>
      <c r="H16" s="15">
        <v>0.50366104</v>
      </c>
      <c r="I16" s="15">
        <v>0.49946109999999999</v>
      </c>
      <c r="J16" s="15">
        <v>4.1999200000000002E-3</v>
      </c>
      <c r="K16" s="18">
        <v>25.95</v>
      </c>
      <c r="L16" s="18">
        <v>25.96</v>
      </c>
      <c r="M16" s="18">
        <v>-0.01</v>
      </c>
      <c r="N16" s="15">
        <v>4.361545E-2</v>
      </c>
      <c r="O16" s="15">
        <v>2.697971E-2</v>
      </c>
      <c r="P16" s="15">
        <v>1.6635750000000001E-2</v>
      </c>
      <c r="Q16" s="15">
        <v>-2.2058919999999999E-2</v>
      </c>
      <c r="R16" s="15">
        <v>3.0266379999999999E-2</v>
      </c>
      <c r="S16" s="15">
        <v>-5.2325299999999998E-2</v>
      </c>
      <c r="T16" s="14"/>
      <c r="U16" s="15">
        <f t="shared" si="5"/>
        <v>8.4164000000000461E-4</v>
      </c>
      <c r="V16" s="15">
        <f t="shared" si="6"/>
        <v>2.0999700000000066E-3</v>
      </c>
      <c r="W16" s="15"/>
      <c r="X16" s="15"/>
      <c r="Y16" s="16">
        <f t="shared" si="0"/>
        <v>4.361545E-2</v>
      </c>
      <c r="Z16" s="16">
        <f t="shared" si="1"/>
        <v>-2.2058919999999999E-2</v>
      </c>
      <c r="AA16" s="16">
        <f t="shared" si="2"/>
        <v>2.697971E-2</v>
      </c>
      <c r="AB16" s="16">
        <f t="shared" si="3"/>
        <v>3.0266379999999999E-2</v>
      </c>
      <c r="AC16" s="17">
        <f t="shared" si="7"/>
        <v>2.8015281825169129</v>
      </c>
      <c r="AD16" s="17">
        <f t="shared" si="8"/>
        <v>2.3237378083173597</v>
      </c>
      <c r="AE16" s="17">
        <f t="shared" si="9"/>
        <v>333.17157000209261</v>
      </c>
      <c r="AF16" s="17">
        <f t="shared" si="4"/>
        <v>332.73911996209262</v>
      </c>
    </row>
    <row r="17" spans="1:32" x14ac:dyDescent="0.25">
      <c r="A17" s="14">
        <v>15</v>
      </c>
      <c r="B17" s="14" t="s">
        <v>59</v>
      </c>
      <c r="C17" s="14">
        <v>140</v>
      </c>
      <c r="D17" s="14">
        <v>4</v>
      </c>
      <c r="E17" s="15">
        <v>-0.43853744</v>
      </c>
      <c r="F17" s="15">
        <v>-0.43927492000000001</v>
      </c>
      <c r="G17" s="15">
        <v>7.3749000000000004E-4</v>
      </c>
      <c r="H17" s="15">
        <v>0.48948747999999997</v>
      </c>
      <c r="I17" s="15">
        <v>0.48821244000000003</v>
      </c>
      <c r="J17" s="15">
        <v>1.2750299999999999E-3</v>
      </c>
      <c r="K17" s="18">
        <v>26.16</v>
      </c>
      <c r="L17" s="18">
        <v>26.2</v>
      </c>
      <c r="M17" s="18">
        <v>-0.03</v>
      </c>
      <c r="N17" s="15">
        <v>3.8975219999999998E-2</v>
      </c>
      <c r="O17" s="15">
        <v>3.0670780000000002E-2</v>
      </c>
      <c r="P17" s="15">
        <v>8.3044399999999997E-3</v>
      </c>
      <c r="Q17" s="15">
        <v>-2.3174440000000001E-2</v>
      </c>
      <c r="R17" s="15">
        <v>3.1519779999999997E-2</v>
      </c>
      <c r="S17" s="15">
        <v>-5.4694220000000002E-2</v>
      </c>
      <c r="T17" s="14"/>
      <c r="U17" s="15">
        <f t="shared" si="5"/>
        <v>-3.6874000000000628E-4</v>
      </c>
      <c r="V17" s="15">
        <f t="shared" si="6"/>
        <v>6.3751999999997477E-4</v>
      </c>
      <c r="W17" s="15"/>
      <c r="X17" s="15"/>
      <c r="Y17" s="16">
        <f t="shared" si="0"/>
        <v>3.8975219999999998E-2</v>
      </c>
      <c r="Z17" s="16">
        <f t="shared" si="1"/>
        <v>-2.3174440000000001E-2</v>
      </c>
      <c r="AA17" s="16">
        <f t="shared" si="2"/>
        <v>3.0670780000000002E-2</v>
      </c>
      <c r="AB17" s="16">
        <f t="shared" si="3"/>
        <v>3.1519779999999997E-2</v>
      </c>
      <c r="AC17" s="17">
        <f t="shared" si="7"/>
        <v>2.5989388348278157</v>
      </c>
      <c r="AD17" s="17">
        <f t="shared" si="8"/>
        <v>2.5206507043347739</v>
      </c>
      <c r="AE17" s="17">
        <f t="shared" si="9"/>
        <v>329.26452873606047</v>
      </c>
      <c r="AF17" s="17">
        <f t="shared" si="4"/>
        <v>328.82525381606047</v>
      </c>
    </row>
    <row r="18" spans="1:32" x14ac:dyDescent="0.25">
      <c r="A18" s="14">
        <v>16</v>
      </c>
      <c r="B18" s="14" t="s">
        <v>59</v>
      </c>
      <c r="C18" s="14">
        <v>150</v>
      </c>
      <c r="D18" s="14">
        <v>5</v>
      </c>
      <c r="E18" s="15">
        <v>-0.43196992000000001</v>
      </c>
      <c r="F18" s="15">
        <v>-0.43614999999999998</v>
      </c>
      <c r="G18" s="15">
        <v>4.1800400000000003E-3</v>
      </c>
      <c r="H18" s="15">
        <v>0.52932995999999999</v>
      </c>
      <c r="I18" s="15">
        <v>0.53032000000000001</v>
      </c>
      <c r="J18" s="15">
        <v>-9.9003000000000003E-4</v>
      </c>
      <c r="K18" s="18">
        <v>25.52</v>
      </c>
      <c r="L18" s="18">
        <v>25.52</v>
      </c>
      <c r="M18" s="18">
        <v>0.01</v>
      </c>
      <c r="N18" s="15">
        <v>3.4958009999999998E-2</v>
      </c>
      <c r="O18" s="15">
        <v>3.7409669999999999E-2</v>
      </c>
      <c r="P18" s="15">
        <v>-2.45166E-3</v>
      </c>
      <c r="Q18" s="15">
        <v>-2.3000980000000001E-2</v>
      </c>
      <c r="R18" s="15">
        <v>3.1721190000000003E-2</v>
      </c>
      <c r="S18" s="15">
        <v>-5.4722170000000001E-2</v>
      </c>
      <c r="T18" s="14"/>
      <c r="U18" s="15">
        <f t="shared" si="5"/>
        <v>-2.0900399999999875E-3</v>
      </c>
      <c r="V18" s="15">
        <f t="shared" si="6"/>
        <v>-4.9502000000001267E-4</v>
      </c>
      <c r="W18" s="15"/>
      <c r="X18" s="15"/>
      <c r="Y18" s="16">
        <f t="shared" si="0"/>
        <v>3.4958009999999998E-2</v>
      </c>
      <c r="Z18" s="16">
        <f t="shared" si="1"/>
        <v>-2.3000980000000001E-2</v>
      </c>
      <c r="AA18" s="16">
        <f t="shared" si="2"/>
        <v>3.7409669999999999E-2</v>
      </c>
      <c r="AB18" s="16">
        <f t="shared" si="3"/>
        <v>3.1721190000000003E-2</v>
      </c>
      <c r="AC18" s="17">
        <f t="shared" si="7"/>
        <v>2.3983130621274587</v>
      </c>
      <c r="AD18" s="17">
        <f t="shared" si="8"/>
        <v>2.8113778180605258</v>
      </c>
      <c r="AE18" s="17">
        <f t="shared" si="9"/>
        <v>326.65667413706109</v>
      </c>
      <c r="AF18" s="17">
        <f t="shared" si="4"/>
        <v>326.22052413706109</v>
      </c>
    </row>
    <row r="19" spans="1:32" x14ac:dyDescent="0.25">
      <c r="A19" s="14">
        <v>17</v>
      </c>
      <c r="B19" s="14" t="s">
        <v>59</v>
      </c>
      <c r="C19" s="14">
        <v>160</v>
      </c>
      <c r="D19" s="14">
        <v>7</v>
      </c>
      <c r="E19" s="15">
        <v>-0.43325712</v>
      </c>
      <c r="F19" s="15">
        <v>-0.4392142</v>
      </c>
      <c r="G19" s="15">
        <v>5.9570700000000001E-3</v>
      </c>
      <c r="H19" s="15">
        <v>0.4819214</v>
      </c>
      <c r="I19" s="15">
        <v>0.48579995999999998</v>
      </c>
      <c r="J19" s="15">
        <v>-3.8785600000000001E-3</v>
      </c>
      <c r="K19" s="18">
        <v>26.31</v>
      </c>
      <c r="L19" s="18">
        <v>26.32</v>
      </c>
      <c r="M19" s="18">
        <v>-0.01</v>
      </c>
      <c r="N19" s="15">
        <v>2.9620529999999999E-2</v>
      </c>
      <c r="O19" s="15">
        <v>4.1029929999999999E-2</v>
      </c>
      <c r="P19" s="15">
        <v>-1.140939E-2</v>
      </c>
      <c r="Q19" s="15">
        <v>-2.3002229999999999E-2</v>
      </c>
      <c r="R19" s="15">
        <v>3.0669640000000001E-2</v>
      </c>
      <c r="S19" s="15">
        <v>-5.3671870000000003E-2</v>
      </c>
      <c r="T19" s="14"/>
      <c r="U19" s="15">
        <f t="shared" si="5"/>
        <v>-2.9785400000000017E-3</v>
      </c>
      <c r="V19" s="15">
        <f t="shared" si="6"/>
        <v>-1.9392799999999877E-3</v>
      </c>
      <c r="W19" s="15"/>
      <c r="X19" s="15"/>
      <c r="Y19" s="16">
        <f t="shared" si="0"/>
        <v>2.9620529999999999E-2</v>
      </c>
      <c r="Z19" s="16">
        <f t="shared" si="1"/>
        <v>-2.3002229999999999E-2</v>
      </c>
      <c r="AA19" s="16">
        <f t="shared" si="2"/>
        <v>4.1029929999999999E-2</v>
      </c>
      <c r="AB19" s="16">
        <f t="shared" si="3"/>
        <v>3.0669640000000001E-2</v>
      </c>
      <c r="AC19" s="17">
        <f t="shared" ref="AC19:AC34" si="10">IF(Y19="","",DEGREES(ASIN(SQRT(Y19^2+Z19^2))))</f>
        <v>2.1492702139334221</v>
      </c>
      <c r="AD19" s="17">
        <f t="shared" ref="AD19:AD34" si="11">IF(AA19="","",DEGREES(ASIN(SQRT(AA19^2+AB19^2))))</f>
        <v>2.936306940950165</v>
      </c>
      <c r="AE19" s="17">
        <f t="shared" ref="AE19:AE34" si="12">IF(Y19="","",MOD(DEGREES(ATAN2(Y19,Z19)),360))</f>
        <v>322.16838207870012</v>
      </c>
      <c r="AF19" s="17">
        <f t="shared" si="4"/>
        <v>321.72916787870014</v>
      </c>
    </row>
    <row r="20" spans="1:32" x14ac:dyDescent="0.25">
      <c r="A20" s="14">
        <v>18</v>
      </c>
      <c r="B20" s="14" t="s">
        <v>59</v>
      </c>
      <c r="C20" s="14">
        <v>170</v>
      </c>
      <c r="D20" s="14">
        <v>6</v>
      </c>
      <c r="E20" s="15">
        <v>-0.42873339999999999</v>
      </c>
      <c r="F20" s="15">
        <v>-0.43941664000000002</v>
      </c>
      <c r="G20" s="15">
        <v>1.068327E-2</v>
      </c>
      <c r="H20" s="15">
        <v>0.50755008000000001</v>
      </c>
      <c r="I20" s="15">
        <v>0.50295836000000005</v>
      </c>
      <c r="J20" s="15">
        <v>4.5916999999999998E-3</v>
      </c>
      <c r="K20" s="18">
        <v>25.93</v>
      </c>
      <c r="L20" s="18">
        <v>25.93</v>
      </c>
      <c r="M20" s="18">
        <v>0</v>
      </c>
      <c r="N20" s="15">
        <v>2.4798580000000001E-2</v>
      </c>
      <c r="O20" s="15">
        <v>4.621948E-2</v>
      </c>
      <c r="P20" s="15">
        <v>-2.14209E-2</v>
      </c>
      <c r="Q20" s="15">
        <v>-2.1267500000000002E-2</v>
      </c>
      <c r="R20" s="15">
        <v>2.9395350000000001E-2</v>
      </c>
      <c r="S20" s="15">
        <v>-5.0662840000000001E-2</v>
      </c>
      <c r="T20" s="14"/>
      <c r="U20" s="15">
        <f t="shared" si="5"/>
        <v>-5.3416200000000191E-3</v>
      </c>
      <c r="V20" s="15">
        <f t="shared" si="6"/>
        <v>2.2958599999999829E-3</v>
      </c>
      <c r="W20" s="15"/>
      <c r="X20" s="15"/>
      <c r="Y20" s="16">
        <f t="shared" si="0"/>
        <v>2.4798580000000001E-2</v>
      </c>
      <c r="Z20" s="16">
        <f t="shared" si="1"/>
        <v>-2.1267500000000002E-2</v>
      </c>
      <c r="AA20" s="16">
        <f t="shared" si="2"/>
        <v>4.621948E-2</v>
      </c>
      <c r="AB20" s="16">
        <f t="shared" si="3"/>
        <v>2.9395350000000001E-2</v>
      </c>
      <c r="AC20" s="17">
        <f t="shared" si="10"/>
        <v>1.8721399553370954</v>
      </c>
      <c r="AD20" s="17">
        <f t="shared" si="11"/>
        <v>3.1399615709180333</v>
      </c>
      <c r="AE20" s="17">
        <f t="shared" si="12"/>
        <v>319.3832930705305</v>
      </c>
      <c r="AF20" s="17">
        <f t="shared" si="4"/>
        <v>318.94387643053051</v>
      </c>
    </row>
    <row r="21" spans="1:32" x14ac:dyDescent="0.25">
      <c r="A21" s="14">
        <v>19</v>
      </c>
      <c r="B21" s="14" t="s">
        <v>59</v>
      </c>
      <c r="C21" s="14">
        <v>180</v>
      </c>
      <c r="D21" s="14">
        <v>6</v>
      </c>
      <c r="E21" s="15">
        <v>-0.43416663999999999</v>
      </c>
      <c r="F21" s="15">
        <v>-0.44097496000000003</v>
      </c>
      <c r="G21" s="15">
        <v>6.8083099999999997E-3</v>
      </c>
      <c r="H21" s="15">
        <v>0.50503330000000002</v>
      </c>
      <c r="I21" s="15">
        <v>0.50905829999999996</v>
      </c>
      <c r="J21" s="15">
        <v>-4.0249800000000001E-3</v>
      </c>
      <c r="K21" s="18">
        <v>25.89</v>
      </c>
      <c r="L21" s="18">
        <v>25.87</v>
      </c>
      <c r="M21" s="18">
        <v>0.02</v>
      </c>
      <c r="N21" s="15">
        <v>2.058838E-2</v>
      </c>
      <c r="O21" s="15">
        <v>5.0292150000000001E-2</v>
      </c>
      <c r="P21" s="15">
        <v>-2.9703770000000001E-2</v>
      </c>
      <c r="Q21" s="15">
        <v>-1.8983150000000001E-2</v>
      </c>
      <c r="R21" s="15">
        <v>2.701375E-2</v>
      </c>
      <c r="S21" s="15">
        <v>-4.59969E-2</v>
      </c>
      <c r="T21" s="14"/>
      <c r="U21" s="15">
        <f t="shared" si="5"/>
        <v>-3.4041600000000172E-3</v>
      </c>
      <c r="V21" s="15">
        <f t="shared" si="6"/>
        <v>-2.0124999999999726E-3</v>
      </c>
      <c r="W21" s="15"/>
      <c r="X21" s="15"/>
      <c r="Y21" s="16">
        <f t="shared" si="0"/>
        <v>2.058838E-2</v>
      </c>
      <c r="Z21" s="16">
        <f t="shared" si="1"/>
        <v>-1.8983150000000001E-2</v>
      </c>
      <c r="AA21" s="16">
        <f t="shared" si="2"/>
        <v>5.0292150000000001E-2</v>
      </c>
      <c r="AB21" s="16">
        <f t="shared" si="3"/>
        <v>2.701375E-2</v>
      </c>
      <c r="AC21" s="17">
        <f t="shared" si="10"/>
        <v>1.6047385644854721</v>
      </c>
      <c r="AD21" s="17">
        <f t="shared" si="11"/>
        <v>3.2726823948642232</v>
      </c>
      <c r="AE21" s="17">
        <f t="shared" si="12"/>
        <v>317.3229454480724</v>
      </c>
      <c r="AF21" s="17">
        <f t="shared" si="4"/>
        <v>316.8819704880724</v>
      </c>
    </row>
    <row r="22" spans="1:32" x14ac:dyDescent="0.25">
      <c r="A22" s="14">
        <v>20</v>
      </c>
      <c r="B22" s="14" t="s">
        <v>59</v>
      </c>
      <c r="C22" s="14">
        <v>190</v>
      </c>
      <c r="D22" s="14">
        <v>6</v>
      </c>
      <c r="E22" s="15">
        <v>-0.43558332</v>
      </c>
      <c r="F22" s="15">
        <v>-0.44130000000000003</v>
      </c>
      <c r="G22" s="15">
        <v>5.71668E-3</v>
      </c>
      <c r="H22" s="15">
        <v>0.50780000000000003</v>
      </c>
      <c r="I22" s="15">
        <v>0.50510829999999995</v>
      </c>
      <c r="J22" s="15">
        <v>2.6916900000000001E-3</v>
      </c>
      <c r="K22" s="18">
        <v>25.92</v>
      </c>
      <c r="L22" s="18">
        <v>25.93</v>
      </c>
      <c r="M22" s="18">
        <v>-0.01</v>
      </c>
      <c r="N22" s="15">
        <v>1.664144E-2</v>
      </c>
      <c r="O22" s="15">
        <v>5.4320470000000003E-2</v>
      </c>
      <c r="P22" s="15">
        <v>-3.7679039999999997E-2</v>
      </c>
      <c r="Q22" s="15">
        <v>-1.606283E-2</v>
      </c>
      <c r="R22" s="15">
        <v>2.41748E-2</v>
      </c>
      <c r="S22" s="15">
        <v>-4.0237630000000003E-2</v>
      </c>
      <c r="T22" s="14"/>
      <c r="U22" s="15">
        <f t="shared" si="5"/>
        <v>-2.8583400000000148E-3</v>
      </c>
      <c r="V22" s="15">
        <f t="shared" si="6"/>
        <v>1.3458500000000373E-3</v>
      </c>
      <c r="W22" s="15"/>
      <c r="X22" s="15"/>
      <c r="Y22" s="16">
        <f t="shared" si="0"/>
        <v>1.664144E-2</v>
      </c>
      <c r="Z22" s="16">
        <f t="shared" si="1"/>
        <v>-1.606283E-2</v>
      </c>
      <c r="AA22" s="16">
        <f t="shared" si="2"/>
        <v>5.4320470000000003E-2</v>
      </c>
      <c r="AB22" s="16">
        <f t="shared" si="3"/>
        <v>2.41748E-2</v>
      </c>
      <c r="AC22" s="17">
        <f t="shared" si="10"/>
        <v>1.3253139895116814</v>
      </c>
      <c r="AD22" s="17">
        <f t="shared" si="11"/>
        <v>3.4086453057200217</v>
      </c>
      <c r="AE22" s="17">
        <f t="shared" si="12"/>
        <v>316.013581793323</v>
      </c>
      <c r="AF22" s="17">
        <f t="shared" si="4"/>
        <v>315.57228179332299</v>
      </c>
    </row>
    <row r="23" spans="1:32" x14ac:dyDescent="0.25">
      <c r="A23" s="14">
        <v>21</v>
      </c>
      <c r="B23" s="14" t="s">
        <v>59</v>
      </c>
      <c r="C23" s="14">
        <v>200</v>
      </c>
      <c r="D23" s="14">
        <v>5</v>
      </c>
      <c r="E23" s="15">
        <v>-0.43827991999999999</v>
      </c>
      <c r="F23" s="15">
        <v>-0.43161991999999999</v>
      </c>
      <c r="G23" s="15">
        <v>-6.6599800000000002E-3</v>
      </c>
      <c r="H23" s="15">
        <v>0.55188999999999999</v>
      </c>
      <c r="I23" s="15">
        <v>0.55961000000000005</v>
      </c>
      <c r="J23" s="15">
        <v>-7.7199900000000004E-3</v>
      </c>
      <c r="K23" s="18">
        <v>25.02</v>
      </c>
      <c r="L23" s="18">
        <v>25.02</v>
      </c>
      <c r="M23" s="18">
        <v>0</v>
      </c>
      <c r="N23" s="15">
        <v>1.5735840000000001E-2</v>
      </c>
      <c r="O23" s="15">
        <v>5.7984870000000001E-2</v>
      </c>
      <c r="P23" s="15">
        <v>-4.224903E-2</v>
      </c>
      <c r="Q23" s="15">
        <v>-1.2489750000000001E-2</v>
      </c>
      <c r="R23" s="15">
        <v>2.146143E-2</v>
      </c>
      <c r="S23" s="15">
        <v>-3.3951179999999997E-2</v>
      </c>
      <c r="T23" s="14"/>
      <c r="U23" s="15">
        <f t="shared" si="5"/>
        <v>3.3299999999999996E-3</v>
      </c>
      <c r="V23" s="15">
        <f t="shared" si="6"/>
        <v>-3.8600000000000301E-3</v>
      </c>
      <c r="W23" s="15"/>
      <c r="X23" s="15"/>
      <c r="Y23" s="16">
        <f t="shared" si="0"/>
        <v>1.5735840000000001E-2</v>
      </c>
      <c r="Z23" s="16">
        <f t="shared" si="1"/>
        <v>-1.2489750000000001E-2</v>
      </c>
      <c r="AA23" s="16">
        <f t="shared" si="2"/>
        <v>5.7984870000000001E-2</v>
      </c>
      <c r="AB23" s="16">
        <f t="shared" si="3"/>
        <v>2.146143E-2</v>
      </c>
      <c r="AC23" s="17">
        <f t="shared" si="10"/>
        <v>1.1511531000651753</v>
      </c>
      <c r="AD23" s="17">
        <f t="shared" si="11"/>
        <v>3.5448077107173761</v>
      </c>
      <c r="AE23" s="17">
        <f t="shared" si="12"/>
        <v>321.56049120480503</v>
      </c>
      <c r="AF23" s="17">
        <f t="shared" si="4"/>
        <v>321.12887128480503</v>
      </c>
    </row>
    <row r="24" spans="1:32" x14ac:dyDescent="0.25">
      <c r="A24" s="14">
        <v>22</v>
      </c>
      <c r="B24" s="14" t="s">
        <v>59</v>
      </c>
      <c r="C24" s="14">
        <v>210</v>
      </c>
      <c r="D24" s="14">
        <v>11</v>
      </c>
      <c r="E24" s="15">
        <v>-0.43786360000000002</v>
      </c>
      <c r="F24" s="15">
        <v>-0.43755452</v>
      </c>
      <c r="G24" s="15">
        <v>-3.0907999999999999E-4</v>
      </c>
      <c r="H24" s="15">
        <v>0.51070450000000001</v>
      </c>
      <c r="I24" s="15">
        <v>0.51242275999999998</v>
      </c>
      <c r="J24" s="15">
        <v>-1.7182199999999999E-3</v>
      </c>
      <c r="K24" s="18">
        <v>25.86</v>
      </c>
      <c r="L24" s="18">
        <v>25.87</v>
      </c>
      <c r="M24" s="18">
        <v>-0.01</v>
      </c>
      <c r="N24" s="15">
        <v>1.154142E-2</v>
      </c>
      <c r="O24" s="15">
        <v>6.0168680000000002E-2</v>
      </c>
      <c r="P24" s="15">
        <v>-4.8627259999999999E-2</v>
      </c>
      <c r="Q24" s="15">
        <v>-8.7593199999999993E-3</v>
      </c>
      <c r="R24" s="15">
        <v>1.6929820000000002E-2</v>
      </c>
      <c r="S24" s="15">
        <v>-2.5689139999999999E-2</v>
      </c>
      <c r="T24" s="14"/>
      <c r="U24" s="15">
        <f t="shared" si="5"/>
        <v>1.5454000000000856E-4</v>
      </c>
      <c r="V24" s="15">
        <f t="shared" si="6"/>
        <v>-8.5912999999998574E-4</v>
      </c>
      <c r="W24" s="15"/>
      <c r="X24" s="15"/>
      <c r="Y24" s="16">
        <f t="shared" si="0"/>
        <v>1.154142E-2</v>
      </c>
      <c r="Z24" s="16">
        <f t="shared" si="1"/>
        <v>-8.7593199999999993E-3</v>
      </c>
      <c r="AA24" s="16">
        <f t="shared" si="2"/>
        <v>6.0168680000000002E-2</v>
      </c>
      <c r="AB24" s="16">
        <f t="shared" si="3"/>
        <v>1.6929820000000002E-2</v>
      </c>
      <c r="AC24" s="17">
        <f t="shared" si="10"/>
        <v>0.83018550498055554</v>
      </c>
      <c r="AD24" s="17">
        <f t="shared" si="11"/>
        <v>3.5836150911572164</v>
      </c>
      <c r="AE24" s="17">
        <f t="shared" si="12"/>
        <v>322.80344777879492</v>
      </c>
      <c r="AF24" s="17">
        <f t="shared" si="4"/>
        <v>322.36589325879493</v>
      </c>
    </row>
    <row r="25" spans="1:32" x14ac:dyDescent="0.25">
      <c r="A25" s="14">
        <v>23</v>
      </c>
      <c r="B25" s="14" t="s">
        <v>59</v>
      </c>
      <c r="C25" s="14">
        <v>220</v>
      </c>
      <c r="D25" s="14">
        <v>6</v>
      </c>
      <c r="E25" s="15">
        <v>-0.43395830000000002</v>
      </c>
      <c r="F25" s="15">
        <v>-0.43587495999999998</v>
      </c>
      <c r="G25" s="15">
        <v>1.91668E-3</v>
      </c>
      <c r="H25" s="15">
        <v>0.53483340000000001</v>
      </c>
      <c r="I25" s="15">
        <v>0.53700820000000005</v>
      </c>
      <c r="J25" s="15">
        <v>-2.1748499999999999E-3</v>
      </c>
      <c r="K25" s="18">
        <v>25.37</v>
      </c>
      <c r="L25" s="18">
        <v>25.38</v>
      </c>
      <c r="M25" s="18">
        <v>-0.01</v>
      </c>
      <c r="N25" s="15">
        <v>1.082031E-2</v>
      </c>
      <c r="O25" s="15">
        <v>6.3050949999999994E-2</v>
      </c>
      <c r="P25" s="15">
        <v>-5.2230640000000002E-2</v>
      </c>
      <c r="Q25" s="15">
        <v>-3.9888500000000004E-3</v>
      </c>
      <c r="R25" s="15">
        <v>1.2404790000000001E-2</v>
      </c>
      <c r="S25" s="15">
        <v>-1.6393640000000001E-2</v>
      </c>
      <c r="T25" s="14"/>
      <c r="U25" s="15">
        <f t="shared" si="5"/>
        <v>-9.5832999999997948E-4</v>
      </c>
      <c r="V25" s="15">
        <f t="shared" si="6"/>
        <v>-1.0874000000000161E-3</v>
      </c>
      <c r="W25" s="15"/>
      <c r="X25" s="15"/>
      <c r="Y25" s="16">
        <f t="shared" si="0"/>
        <v>1.082031E-2</v>
      </c>
      <c r="Z25" s="16">
        <f t="shared" si="1"/>
        <v>-3.9888500000000004E-3</v>
      </c>
      <c r="AA25" s="16">
        <f t="shared" si="2"/>
        <v>6.3050949999999994E-2</v>
      </c>
      <c r="AB25" s="16">
        <f t="shared" si="3"/>
        <v>1.2404790000000001E-2</v>
      </c>
      <c r="AC25" s="17">
        <f t="shared" si="10"/>
        <v>0.66075705007015739</v>
      </c>
      <c r="AD25" s="17">
        <f t="shared" si="11"/>
        <v>3.6843446670283369</v>
      </c>
      <c r="AE25" s="17">
        <f t="shared" si="12"/>
        <v>339.7638584640942</v>
      </c>
      <c r="AF25" s="17">
        <f t="shared" si="4"/>
        <v>339.32798350409422</v>
      </c>
    </row>
    <row r="26" spans="1:32" x14ac:dyDescent="0.25">
      <c r="A26" s="14">
        <v>24</v>
      </c>
      <c r="B26" s="14" t="s">
        <v>59</v>
      </c>
      <c r="C26" s="14">
        <v>230</v>
      </c>
      <c r="D26" s="14">
        <v>8</v>
      </c>
      <c r="E26" s="15">
        <v>-0.43400003999999998</v>
      </c>
      <c r="F26" s="15">
        <v>-0.43442496000000003</v>
      </c>
      <c r="G26" s="15">
        <v>4.2492000000000002E-4</v>
      </c>
      <c r="H26" s="15">
        <v>0.50860640000000001</v>
      </c>
      <c r="I26" s="15">
        <v>0.5167062</v>
      </c>
      <c r="J26" s="15">
        <v>-8.0998500000000005E-3</v>
      </c>
      <c r="K26" s="18">
        <v>25.88</v>
      </c>
      <c r="L26" s="18">
        <v>25.88</v>
      </c>
      <c r="M26" s="18">
        <v>0</v>
      </c>
      <c r="N26" s="15">
        <v>8.6801099999999996E-3</v>
      </c>
      <c r="O26" s="15">
        <v>6.2561640000000002E-2</v>
      </c>
      <c r="P26" s="15">
        <v>-5.3881529999999997E-2</v>
      </c>
      <c r="Q26" s="15">
        <v>1.5961E-4</v>
      </c>
      <c r="R26" s="15">
        <v>7.9229699999999997E-3</v>
      </c>
      <c r="S26" s="15">
        <v>-7.7633700000000003E-3</v>
      </c>
      <c r="T26" s="14"/>
      <c r="U26" s="15">
        <f t="shared" si="5"/>
        <v>-2.1246000000002541E-4</v>
      </c>
      <c r="V26" s="15">
        <f t="shared" si="6"/>
        <v>-4.0498999999999952E-3</v>
      </c>
      <c r="W26" s="15"/>
      <c r="X26" s="15"/>
      <c r="Y26" s="16">
        <f t="shared" si="0"/>
        <v>8.6801099999999996E-3</v>
      </c>
      <c r="Z26" s="16">
        <f t="shared" si="1"/>
        <v>1.5961E-4</v>
      </c>
      <c r="AA26" s="16">
        <f t="shared" si="2"/>
        <v>6.2561640000000002E-2</v>
      </c>
      <c r="AB26" s="16">
        <f t="shared" si="3"/>
        <v>7.9229699999999997E-3</v>
      </c>
      <c r="AC26" s="17">
        <f t="shared" si="10"/>
        <v>0.49742398920592557</v>
      </c>
      <c r="AD26" s="17">
        <f t="shared" si="11"/>
        <v>3.6155475233397443</v>
      </c>
      <c r="AE26" s="17">
        <f t="shared" si="12"/>
        <v>1.0534369817496827</v>
      </c>
      <c r="AF26" s="17">
        <f t="shared" si="4"/>
        <v>0.61901202174968262</v>
      </c>
    </row>
    <row r="27" spans="1:32" x14ac:dyDescent="0.25">
      <c r="A27" s="14">
        <v>25</v>
      </c>
      <c r="B27" s="14" t="s">
        <v>59</v>
      </c>
      <c r="C27" s="14">
        <v>240</v>
      </c>
      <c r="D27" s="14">
        <v>12</v>
      </c>
      <c r="E27" s="15">
        <v>-0.43139996000000003</v>
      </c>
      <c r="F27" s="15">
        <v>-0.43233749999999999</v>
      </c>
      <c r="G27" s="15">
        <v>9.3751999999999995E-4</v>
      </c>
      <c r="H27" s="15">
        <v>0.49461667999999998</v>
      </c>
      <c r="I27" s="15">
        <v>0.50365835999999997</v>
      </c>
      <c r="J27" s="15">
        <v>-9.0416999999999997E-3</v>
      </c>
      <c r="K27" s="18">
        <v>26.06</v>
      </c>
      <c r="L27" s="18">
        <v>26.05</v>
      </c>
      <c r="M27" s="18">
        <v>0</v>
      </c>
      <c r="N27" s="15">
        <v>7.7467899999999999E-3</v>
      </c>
      <c r="O27" s="15">
        <v>6.26829E-2</v>
      </c>
      <c r="P27" s="15">
        <v>-5.4936119999999998E-2</v>
      </c>
      <c r="Q27" s="15">
        <v>4.9115000000000001E-3</v>
      </c>
      <c r="R27" s="15">
        <v>2.83936E-3</v>
      </c>
      <c r="S27" s="15">
        <v>2.0721400000000001E-3</v>
      </c>
      <c r="T27" s="14"/>
      <c r="U27" s="15">
        <f t="shared" si="5"/>
        <v>-4.6876999999997948E-4</v>
      </c>
      <c r="V27" s="15">
        <f t="shared" si="6"/>
        <v>-4.5208399999999982E-3</v>
      </c>
      <c r="W27" s="15"/>
      <c r="X27" s="15"/>
      <c r="Y27" s="16">
        <f t="shared" si="0"/>
        <v>7.7467899999999999E-3</v>
      </c>
      <c r="Z27" s="16">
        <f t="shared" si="1"/>
        <v>4.9115000000000001E-3</v>
      </c>
      <c r="AA27" s="16">
        <f t="shared" si="2"/>
        <v>6.26829E-2</v>
      </c>
      <c r="AB27" s="16">
        <f t="shared" si="3"/>
        <v>2.83936E-3</v>
      </c>
      <c r="AC27" s="17">
        <f t="shared" si="10"/>
        <v>0.52555550376611548</v>
      </c>
      <c r="AD27" s="17">
        <f t="shared" si="11"/>
        <v>3.5975116103948079</v>
      </c>
      <c r="AE27" s="17">
        <f t="shared" si="12"/>
        <v>32.374882734357456</v>
      </c>
      <c r="AF27" s="17">
        <f t="shared" si="4"/>
        <v>31.942545234357457</v>
      </c>
    </row>
    <row r="28" spans="1:32" x14ac:dyDescent="0.25">
      <c r="A28" s="14">
        <v>26</v>
      </c>
      <c r="B28" s="14" t="s">
        <v>59</v>
      </c>
      <c r="C28" s="14">
        <v>250</v>
      </c>
      <c r="D28" s="14">
        <v>4</v>
      </c>
      <c r="E28" s="15">
        <v>-0.43462489999999998</v>
      </c>
      <c r="F28" s="15">
        <v>-0.42780003999999999</v>
      </c>
      <c r="G28" s="15">
        <v>-6.8248800000000002E-3</v>
      </c>
      <c r="H28" s="15">
        <v>0.54156249999999995</v>
      </c>
      <c r="I28" s="15">
        <v>0.55216264000000004</v>
      </c>
      <c r="J28" s="15">
        <v>-1.0600149999999999E-2</v>
      </c>
      <c r="K28" s="18">
        <v>25.38</v>
      </c>
      <c r="L28" s="18">
        <v>25.4</v>
      </c>
      <c r="M28" s="18">
        <v>-0.02</v>
      </c>
      <c r="N28" s="15">
        <v>9.8150600000000005E-3</v>
      </c>
      <c r="O28" s="15">
        <v>6.3522949999999995E-2</v>
      </c>
      <c r="P28" s="15">
        <v>-5.3707890000000001E-2</v>
      </c>
      <c r="Q28" s="15">
        <v>9.7027599999999995E-3</v>
      </c>
      <c r="R28" s="15">
        <v>-1.7334E-3</v>
      </c>
      <c r="S28" s="15">
        <v>1.1436160000000001E-2</v>
      </c>
      <c r="T28" s="14"/>
      <c r="U28" s="15">
        <f t="shared" si="5"/>
        <v>3.4124299999999941E-3</v>
      </c>
      <c r="V28" s="15">
        <f t="shared" si="6"/>
        <v>-5.3000700000000456E-3</v>
      </c>
      <c r="W28" s="15"/>
      <c r="X28" s="15"/>
      <c r="Y28" s="16">
        <f t="shared" si="0"/>
        <v>9.8150600000000005E-3</v>
      </c>
      <c r="Z28" s="16">
        <f t="shared" si="1"/>
        <v>9.7027599999999995E-3</v>
      </c>
      <c r="AA28" s="16">
        <f t="shared" si="2"/>
        <v>6.3522949999999995E-2</v>
      </c>
      <c r="AB28" s="16">
        <f t="shared" si="3"/>
        <v>-1.7334E-3</v>
      </c>
      <c r="AC28" s="17">
        <f t="shared" si="10"/>
        <v>0.79078772604618031</v>
      </c>
      <c r="AD28" s="17">
        <f t="shared" si="11"/>
        <v>3.6434066755526993</v>
      </c>
      <c r="AE28" s="17">
        <f t="shared" si="12"/>
        <v>44.670339974571348</v>
      </c>
      <c r="AF28" s="17">
        <f t="shared" si="4"/>
        <v>44.242539934571347</v>
      </c>
    </row>
    <row r="29" spans="1:32" x14ac:dyDescent="0.25">
      <c r="A29" s="14">
        <v>27</v>
      </c>
      <c r="B29" s="14" t="s">
        <v>59</v>
      </c>
      <c r="C29" s="14">
        <v>260</v>
      </c>
      <c r="D29" s="14">
        <v>7</v>
      </c>
      <c r="E29" s="15">
        <v>-0.43601424</v>
      </c>
      <c r="F29" s="15">
        <v>-0.4345714</v>
      </c>
      <c r="G29" s="15">
        <v>-1.44282E-3</v>
      </c>
      <c r="H29" s="15">
        <v>0.50672850000000003</v>
      </c>
      <c r="I29" s="15">
        <v>0.51023567999999997</v>
      </c>
      <c r="J29" s="15">
        <v>-3.5071999999999998E-3</v>
      </c>
      <c r="K29" s="18">
        <v>25.92</v>
      </c>
      <c r="L29" s="18">
        <v>25.91</v>
      </c>
      <c r="M29" s="18">
        <v>0.01</v>
      </c>
      <c r="N29" s="15">
        <v>9.7691099999999993E-3</v>
      </c>
      <c r="O29" s="15">
        <v>6.0636849999999999E-2</v>
      </c>
      <c r="P29" s="15">
        <v>-5.0867740000000002E-2</v>
      </c>
      <c r="Q29" s="15">
        <v>1.4543800000000001E-2</v>
      </c>
      <c r="R29" s="15">
        <v>-6.53076E-3</v>
      </c>
      <c r="S29" s="15">
        <v>2.1074570000000001E-2</v>
      </c>
      <c r="T29" s="14"/>
      <c r="U29" s="15">
        <f t="shared" si="5"/>
        <v>7.2142000000000039E-4</v>
      </c>
      <c r="V29" s="15">
        <f t="shared" si="6"/>
        <v>-1.7535899999999716E-3</v>
      </c>
      <c r="W29" s="15"/>
      <c r="X29" s="15"/>
      <c r="Y29" s="16">
        <f t="shared" si="0"/>
        <v>9.7691099999999993E-3</v>
      </c>
      <c r="Z29" s="16">
        <f t="shared" si="1"/>
        <v>1.4543800000000001E-2</v>
      </c>
      <c r="AA29" s="16">
        <f t="shared" si="2"/>
        <v>6.0636849999999999E-2</v>
      </c>
      <c r="AB29" s="16">
        <f t="shared" si="3"/>
        <v>-6.53076E-3</v>
      </c>
      <c r="AC29" s="17">
        <f t="shared" si="10"/>
        <v>1.0038852397623856</v>
      </c>
      <c r="AD29" s="17">
        <f t="shared" si="11"/>
        <v>3.496497691915919</v>
      </c>
      <c r="AE29" s="17">
        <f t="shared" si="12"/>
        <v>56.110634918368795</v>
      </c>
      <c r="AF29" s="17">
        <f t="shared" si="4"/>
        <v>55.676063518368792</v>
      </c>
    </row>
    <row r="30" spans="1:32" x14ac:dyDescent="0.25">
      <c r="A30" s="14">
        <v>28</v>
      </c>
      <c r="B30" s="14" t="s">
        <v>59</v>
      </c>
      <c r="C30" s="14">
        <v>270</v>
      </c>
      <c r="D30" s="14">
        <v>5</v>
      </c>
      <c r="E30" s="15">
        <v>-0.43600988000000002</v>
      </c>
      <c r="F30" s="15">
        <v>-0.43626991999999998</v>
      </c>
      <c r="G30" s="15">
        <v>2.6006E-4</v>
      </c>
      <c r="H30" s="15">
        <v>0.50702000000000003</v>
      </c>
      <c r="I30" s="15">
        <v>0.51719009999999999</v>
      </c>
      <c r="J30" s="15">
        <v>-1.01701E-2</v>
      </c>
      <c r="K30" s="18">
        <v>25.9</v>
      </c>
      <c r="L30" s="18">
        <v>25.91</v>
      </c>
      <c r="M30" s="18">
        <v>0</v>
      </c>
      <c r="N30" s="15">
        <v>1.248145E-2</v>
      </c>
      <c r="O30" s="15">
        <v>5.8838380000000003E-2</v>
      </c>
      <c r="P30" s="15">
        <v>-4.6356929999999998E-2</v>
      </c>
      <c r="Q30" s="15">
        <v>1.881348E-2</v>
      </c>
      <c r="R30" s="15">
        <v>-1.089014E-2</v>
      </c>
      <c r="S30" s="15">
        <v>2.9703609999999998E-2</v>
      </c>
      <c r="T30" s="14"/>
      <c r="U30" s="15">
        <f t="shared" si="5"/>
        <v>-1.3001999999998071E-4</v>
      </c>
      <c r="V30" s="15">
        <f t="shared" si="6"/>
        <v>-5.0850499999999799E-3</v>
      </c>
      <c r="W30" s="15"/>
      <c r="X30" s="15"/>
      <c r="Y30" s="16">
        <f t="shared" si="0"/>
        <v>1.248145E-2</v>
      </c>
      <c r="Z30" s="16">
        <f t="shared" si="1"/>
        <v>1.881348E-2</v>
      </c>
      <c r="AA30" s="16">
        <f t="shared" si="2"/>
        <v>5.8838380000000003E-2</v>
      </c>
      <c r="AB30" s="16">
        <f t="shared" si="3"/>
        <v>-1.089014E-2</v>
      </c>
      <c r="AC30" s="17">
        <f t="shared" si="10"/>
        <v>1.2936928447121194</v>
      </c>
      <c r="AD30" s="17">
        <f t="shared" si="11"/>
        <v>3.4304968134488694</v>
      </c>
      <c r="AE30" s="17">
        <f t="shared" si="12"/>
        <v>56.438462393632754</v>
      </c>
      <c r="AF30" s="17">
        <f t="shared" si="4"/>
        <v>56.002192473632753</v>
      </c>
    </row>
    <row r="31" spans="1:32" x14ac:dyDescent="0.25">
      <c r="A31" s="14">
        <v>29</v>
      </c>
      <c r="B31" s="14" t="s">
        <v>59</v>
      </c>
      <c r="C31" s="14">
        <v>280</v>
      </c>
      <c r="D31" s="14">
        <v>6</v>
      </c>
      <c r="E31" s="15">
        <v>-0.43449167999999999</v>
      </c>
      <c r="F31" s="15">
        <v>-0.43395</v>
      </c>
      <c r="G31" s="15">
        <v>-5.4169000000000005E-4</v>
      </c>
      <c r="H31" s="15">
        <v>0.49281659999999999</v>
      </c>
      <c r="I31" s="15">
        <v>0.50269169999999996</v>
      </c>
      <c r="J31" s="15">
        <v>-9.8750899999999996E-3</v>
      </c>
      <c r="K31" s="18">
        <v>26.11</v>
      </c>
      <c r="L31" s="18">
        <v>26.12</v>
      </c>
      <c r="M31" s="18">
        <v>-0.01</v>
      </c>
      <c r="N31" s="15">
        <v>1.500977E-2</v>
      </c>
      <c r="O31" s="15">
        <v>5.565755E-2</v>
      </c>
      <c r="P31" s="15">
        <v>-4.0647790000000003E-2</v>
      </c>
      <c r="Q31" s="15">
        <v>2.2381999999999999E-2</v>
      </c>
      <c r="R31" s="15">
        <v>-1.4857179999999999E-2</v>
      </c>
      <c r="S31" s="15">
        <v>3.7239179999999997E-2</v>
      </c>
      <c r="T31" s="14"/>
      <c r="U31" s="15">
        <f t="shared" si="5"/>
        <v>2.7083999999999442E-4</v>
      </c>
      <c r="V31" s="15">
        <f t="shared" si="6"/>
        <v>-4.937549999999985E-3</v>
      </c>
      <c r="W31" s="15"/>
      <c r="X31" s="15"/>
      <c r="Y31" s="16">
        <f t="shared" si="0"/>
        <v>1.500977E-2</v>
      </c>
      <c r="Z31" s="16">
        <f t="shared" si="1"/>
        <v>2.2381999999999999E-2</v>
      </c>
      <c r="AA31" s="16">
        <f t="shared" si="2"/>
        <v>5.565755E-2</v>
      </c>
      <c r="AB31" s="16">
        <f t="shared" si="3"/>
        <v>-1.4857179999999999E-2</v>
      </c>
      <c r="AC31" s="17">
        <f t="shared" si="10"/>
        <v>1.5442493434013911</v>
      </c>
      <c r="AD31" s="17">
        <f t="shared" si="11"/>
        <v>3.3024325035535198</v>
      </c>
      <c r="AE31" s="17">
        <f t="shared" si="12"/>
        <v>56.153487035803174</v>
      </c>
      <c r="AF31" s="17">
        <f t="shared" si="4"/>
        <v>55.719537035803171</v>
      </c>
    </row>
    <row r="32" spans="1:32" x14ac:dyDescent="0.25">
      <c r="A32" s="14">
        <v>30</v>
      </c>
      <c r="B32" s="14" t="s">
        <v>59</v>
      </c>
      <c r="C32" s="14">
        <v>290</v>
      </c>
      <c r="D32" s="14">
        <v>8</v>
      </c>
      <c r="E32" s="15">
        <v>-0.44004996000000002</v>
      </c>
      <c r="F32" s="15">
        <v>-0.43727500000000002</v>
      </c>
      <c r="G32" s="15">
        <v>-2.77495E-3</v>
      </c>
      <c r="H32" s="15">
        <v>0.50979370000000002</v>
      </c>
      <c r="I32" s="15">
        <v>0.51744369999999995</v>
      </c>
      <c r="J32" s="15">
        <v>-7.6500200000000004E-3</v>
      </c>
      <c r="K32" s="18">
        <v>25.69</v>
      </c>
      <c r="L32" s="18">
        <v>25.69</v>
      </c>
      <c r="M32" s="18">
        <v>0</v>
      </c>
      <c r="N32" s="15">
        <v>1.9103700000000001E-2</v>
      </c>
      <c r="O32" s="15">
        <v>5.3144839999999999E-2</v>
      </c>
      <c r="P32" s="15">
        <v>-3.4041139999999998E-2</v>
      </c>
      <c r="Q32" s="15">
        <v>2.6044919999999999E-2</v>
      </c>
      <c r="R32" s="15">
        <v>-1.7640079999999999E-2</v>
      </c>
      <c r="S32" s="15">
        <v>4.3685000000000002E-2</v>
      </c>
      <c r="T32" s="14"/>
      <c r="U32" s="15">
        <f t="shared" si="5"/>
        <v>1.3874799999999965E-3</v>
      </c>
      <c r="V32" s="15">
        <f t="shared" si="6"/>
        <v>-3.8249999999999673E-3</v>
      </c>
      <c r="W32" s="15"/>
      <c r="X32" s="15"/>
      <c r="Y32" s="16">
        <f t="shared" si="0"/>
        <v>1.9103700000000001E-2</v>
      </c>
      <c r="Z32" s="16">
        <f t="shared" si="1"/>
        <v>2.6044919999999999E-2</v>
      </c>
      <c r="AA32" s="16">
        <f t="shared" si="2"/>
        <v>5.3144839999999999E-2</v>
      </c>
      <c r="AB32" s="16">
        <f t="shared" si="3"/>
        <v>-1.7640079999999999E-2</v>
      </c>
      <c r="AC32" s="17">
        <f t="shared" si="10"/>
        <v>1.8509749244748377</v>
      </c>
      <c r="AD32" s="17">
        <f t="shared" si="11"/>
        <v>3.2100106330550311</v>
      </c>
      <c r="AE32" s="17">
        <f t="shared" si="12"/>
        <v>53.740308850338494</v>
      </c>
      <c r="AF32" s="17">
        <f t="shared" si="4"/>
        <v>53.303033850338494</v>
      </c>
    </row>
    <row r="33" spans="1:32" x14ac:dyDescent="0.25">
      <c r="A33" s="14">
        <v>31</v>
      </c>
      <c r="B33" s="14" t="s">
        <v>59</v>
      </c>
      <c r="C33" s="14">
        <v>300</v>
      </c>
      <c r="D33" s="14">
        <v>5</v>
      </c>
      <c r="E33" s="15">
        <v>-0.44963999999999998</v>
      </c>
      <c r="F33" s="15">
        <v>-0.44579999999999997</v>
      </c>
      <c r="G33" s="15">
        <v>-3.8400000000000001E-3</v>
      </c>
      <c r="H33" s="15">
        <v>0.52561983999999995</v>
      </c>
      <c r="I33" s="15">
        <v>0.53293999999999997</v>
      </c>
      <c r="J33" s="15">
        <v>-7.3201100000000003E-3</v>
      </c>
      <c r="K33" s="18">
        <v>25.62</v>
      </c>
      <c r="L33" s="18">
        <v>25.65</v>
      </c>
      <c r="M33" s="18">
        <v>-0.03</v>
      </c>
      <c r="N33" s="15">
        <v>2.3137689999999999E-2</v>
      </c>
      <c r="O33" s="15">
        <v>4.9318359999999999E-2</v>
      </c>
      <c r="P33" s="15">
        <v>-2.6180660000000001E-2</v>
      </c>
      <c r="Q33" s="15">
        <v>2.8564450000000002E-2</v>
      </c>
      <c r="R33" s="15">
        <v>-2.020019E-2</v>
      </c>
      <c r="S33" s="15">
        <v>4.876465E-2</v>
      </c>
      <c r="T33" s="14"/>
      <c r="U33" s="15">
        <f t="shared" si="5"/>
        <v>1.920000000000005E-3</v>
      </c>
      <c r="V33" s="15">
        <f t="shared" si="6"/>
        <v>-3.66008000000001E-3</v>
      </c>
      <c r="W33" s="15"/>
      <c r="X33" s="15"/>
      <c r="Y33" s="16">
        <f t="shared" si="0"/>
        <v>2.3137689999999999E-2</v>
      </c>
      <c r="Z33" s="16">
        <f t="shared" si="1"/>
        <v>2.8564450000000002E-2</v>
      </c>
      <c r="AA33" s="16">
        <f t="shared" si="2"/>
        <v>4.9318359999999999E-2</v>
      </c>
      <c r="AB33" s="16">
        <f t="shared" si="3"/>
        <v>-2.020019E-2</v>
      </c>
      <c r="AC33" s="17">
        <f t="shared" si="10"/>
        <v>2.1066541588249836</v>
      </c>
      <c r="AD33" s="17">
        <f t="shared" si="11"/>
        <v>3.0550212703854176</v>
      </c>
      <c r="AE33" s="17">
        <f t="shared" si="12"/>
        <v>50.99193942282168</v>
      </c>
      <c r="AF33" s="17">
        <f t="shared" si="4"/>
        <v>50.546139422821682</v>
      </c>
    </row>
    <row r="34" spans="1:32" x14ac:dyDescent="0.25">
      <c r="A34" s="14">
        <v>32</v>
      </c>
      <c r="B34" s="14" t="s">
        <v>59</v>
      </c>
      <c r="C34" s="14">
        <v>310</v>
      </c>
      <c r="D34" s="14">
        <v>8</v>
      </c>
      <c r="E34" s="15">
        <v>-0.43761870000000003</v>
      </c>
      <c r="F34" s="15">
        <v>-0.43293123999999999</v>
      </c>
      <c r="G34" s="15">
        <v>-4.6874600000000001E-3</v>
      </c>
      <c r="H34" s="15">
        <v>0.49994379999999999</v>
      </c>
      <c r="I34" s="15">
        <v>0.50332489999999996</v>
      </c>
      <c r="J34" s="15">
        <v>-3.38113E-3</v>
      </c>
      <c r="K34" s="18">
        <v>26.02</v>
      </c>
      <c r="L34" s="18">
        <v>26.01</v>
      </c>
      <c r="M34" s="18">
        <v>0.01</v>
      </c>
      <c r="N34" s="15">
        <v>2.748749E-2</v>
      </c>
      <c r="O34" s="15">
        <v>4.4762570000000002E-2</v>
      </c>
      <c r="P34" s="15">
        <v>-1.727509E-2</v>
      </c>
      <c r="Q34" s="15">
        <v>2.9982910000000002E-2</v>
      </c>
      <c r="R34" s="15">
        <v>-2.2159419999999999E-2</v>
      </c>
      <c r="S34" s="15">
        <v>5.2142340000000002E-2</v>
      </c>
      <c r="T34" s="14"/>
      <c r="U34" s="15">
        <f t="shared" si="5"/>
        <v>2.3437300000000161E-3</v>
      </c>
      <c r="V34" s="15">
        <f t="shared" si="6"/>
        <v>-1.6905499999999851E-3</v>
      </c>
      <c r="W34" s="15"/>
      <c r="X34" s="15"/>
      <c r="Y34" s="16">
        <f t="shared" si="0"/>
        <v>2.748749E-2</v>
      </c>
      <c r="Z34" s="16">
        <f t="shared" si="1"/>
        <v>2.9982910000000002E-2</v>
      </c>
      <c r="AA34" s="16">
        <f t="shared" si="2"/>
        <v>4.4762570000000002E-2</v>
      </c>
      <c r="AB34" s="16">
        <f t="shared" si="3"/>
        <v>-2.2159419999999999E-2</v>
      </c>
      <c r="AC34" s="17">
        <f t="shared" si="10"/>
        <v>2.3312062894910706</v>
      </c>
      <c r="AD34" s="17">
        <f t="shared" si="11"/>
        <v>2.8629577258225067</v>
      </c>
      <c r="AE34" s="17">
        <f t="shared" si="12"/>
        <v>47.486276070509305</v>
      </c>
      <c r="AF34" s="17">
        <f t="shared" si="4"/>
        <v>47.053344830509303</v>
      </c>
    </row>
    <row r="35" spans="1:32" x14ac:dyDescent="0.25">
      <c r="A35" s="14">
        <v>33</v>
      </c>
      <c r="B35" t="s">
        <v>59</v>
      </c>
      <c r="C35">
        <v>320</v>
      </c>
      <c r="D35">
        <v>8</v>
      </c>
      <c r="E35">
        <v>-0.44181870000000001</v>
      </c>
      <c r="F35">
        <v>-0.43315624000000003</v>
      </c>
      <c r="G35">
        <v>-8.6624600000000003E-3</v>
      </c>
      <c r="H35">
        <v>0.48488123999999999</v>
      </c>
      <c r="I35">
        <v>0.49112499999999998</v>
      </c>
      <c r="J35">
        <v>-6.24377E-3</v>
      </c>
      <c r="K35">
        <v>26.23</v>
      </c>
      <c r="L35">
        <v>26.22</v>
      </c>
      <c r="M35">
        <v>0.01</v>
      </c>
      <c r="N35">
        <v>3.1034550000000001E-2</v>
      </c>
      <c r="O35">
        <v>3.8938599999999997E-2</v>
      </c>
      <c r="P35">
        <v>-7.9040499999999993E-3</v>
      </c>
      <c r="Q35">
        <v>3.1195980000000002E-2</v>
      </c>
      <c r="R35">
        <v>-2.3242800000000001E-2</v>
      </c>
      <c r="S35">
        <v>5.4438779999999999E-2</v>
      </c>
      <c r="U35" s="15">
        <f t="shared" ref="U35:U74" si="13">(F35-E35)/2</f>
        <v>4.3312299999999915E-3</v>
      </c>
      <c r="V35" s="15">
        <f t="shared" ref="V35:V74" si="14">(H35-I35)/2</f>
        <v>-3.1218799999999935E-3</v>
      </c>
      <c r="W35" s="15"/>
      <c r="X35" s="15"/>
      <c r="Y35" s="16">
        <f t="shared" ref="Y35:Y74" si="15">N35</f>
        <v>3.1034550000000001E-2</v>
      </c>
      <c r="Z35" s="16">
        <f t="shared" ref="Z35:Z74" si="16">Q35</f>
        <v>3.1195980000000002E-2</v>
      </c>
      <c r="AA35" s="16">
        <f t="shared" ref="AA35:AA74" si="17">O35</f>
        <v>3.8938599999999997E-2</v>
      </c>
      <c r="AB35" s="16">
        <f t="shared" ref="AB35:AB74" si="18">R35</f>
        <v>-2.3242800000000001E-2</v>
      </c>
      <c r="AC35" s="17">
        <f t="shared" ref="AC35:AC74" si="19">IF(Y35="","",DEGREES(ASIN(SQRT(Y35^2+Z35^2))))</f>
        <v>2.5220451179693306</v>
      </c>
      <c r="AD35" s="17">
        <f t="shared" ref="AD35:AD74" si="20">IF(AA35="","",DEGREES(ASIN(SQRT(AA35^2+AB35^2))))</f>
        <v>2.5991411289210999</v>
      </c>
      <c r="AE35" s="17">
        <f t="shared" ref="AE35:AE74" si="21">IF(Y35="","",MOD(DEGREES(ATAN2(Y35,Z35)),360))</f>
        <v>45.148628606252778</v>
      </c>
      <c r="AF35" s="17">
        <f t="shared" ref="AF35:AF74" si="22">IF(Y35="","",MOD(F35+AE35,360))</f>
        <v>44.715472366252776</v>
      </c>
    </row>
    <row r="36" spans="1:32" x14ac:dyDescent="0.25">
      <c r="A36" s="14">
        <v>34</v>
      </c>
      <c r="B36" t="s">
        <v>59</v>
      </c>
      <c r="C36">
        <v>330</v>
      </c>
      <c r="D36">
        <v>10</v>
      </c>
      <c r="E36">
        <v>-0.446575</v>
      </c>
      <c r="F36">
        <v>-0.43674499999999999</v>
      </c>
      <c r="G36">
        <v>-9.8299700000000004E-3</v>
      </c>
      <c r="H36">
        <v>0.52171504000000002</v>
      </c>
      <c r="I36">
        <v>0.52369507999999998</v>
      </c>
      <c r="J36">
        <v>-1.9800099999999999E-3</v>
      </c>
      <c r="K36">
        <v>25.8</v>
      </c>
      <c r="L36">
        <v>25.81</v>
      </c>
      <c r="M36">
        <v>0</v>
      </c>
      <c r="N36">
        <v>3.6461670000000002E-2</v>
      </c>
      <c r="O36">
        <v>3.4990479999999997E-2</v>
      </c>
      <c r="P36">
        <v>1.47119E-3</v>
      </c>
      <c r="Q36">
        <v>3.1552490000000002E-2</v>
      </c>
      <c r="R36">
        <v>-2.3235599999999999E-2</v>
      </c>
      <c r="S36">
        <v>5.4788080000000003E-2</v>
      </c>
      <c r="U36" s="15">
        <f t="shared" si="13"/>
        <v>4.9150000000000027E-3</v>
      </c>
      <c r="V36" s="15">
        <f t="shared" si="14"/>
        <v>-9.9001999999998036E-4</v>
      </c>
      <c r="W36" s="15"/>
      <c r="X36" s="15"/>
      <c r="Y36" s="16">
        <f t="shared" si="15"/>
        <v>3.6461670000000002E-2</v>
      </c>
      <c r="Z36" s="16">
        <f t="shared" si="16"/>
        <v>3.1552490000000002E-2</v>
      </c>
      <c r="AA36" s="16">
        <f t="shared" si="17"/>
        <v>3.4990479999999997E-2</v>
      </c>
      <c r="AB36" s="16">
        <f t="shared" si="18"/>
        <v>-2.3235599999999999E-2</v>
      </c>
      <c r="AC36" s="17">
        <f t="shared" si="19"/>
        <v>2.7637818426011589</v>
      </c>
      <c r="AD36" s="17">
        <f t="shared" si="20"/>
        <v>2.4072856189195266</v>
      </c>
      <c r="AE36" s="17">
        <f t="shared" si="21"/>
        <v>40.871619153424682</v>
      </c>
      <c r="AF36" s="17">
        <f t="shared" si="22"/>
        <v>40.43487415342468</v>
      </c>
    </row>
    <row r="37" spans="1:32" x14ac:dyDescent="0.25">
      <c r="A37" s="14">
        <v>35</v>
      </c>
      <c r="B37" t="s">
        <v>59</v>
      </c>
      <c r="C37">
        <v>340</v>
      </c>
      <c r="D37">
        <v>11</v>
      </c>
      <c r="E37">
        <v>-0.44215907999999998</v>
      </c>
      <c r="F37">
        <v>-0.43177275999999998</v>
      </c>
      <c r="G37">
        <v>-1.0386319999999999E-2</v>
      </c>
      <c r="H37">
        <v>0.50986355999999999</v>
      </c>
      <c r="I37">
        <v>0.5103318</v>
      </c>
      <c r="J37">
        <v>-4.6825000000000002E-4</v>
      </c>
      <c r="K37">
        <v>25.85</v>
      </c>
      <c r="L37">
        <v>25.84</v>
      </c>
      <c r="M37">
        <v>0.01</v>
      </c>
      <c r="N37">
        <v>4.1552289999999999E-2</v>
      </c>
      <c r="O37">
        <v>3.0433459999999999E-2</v>
      </c>
      <c r="P37">
        <v>1.111883E-2</v>
      </c>
      <c r="Q37">
        <v>3.089422E-2</v>
      </c>
      <c r="R37">
        <v>-2.2606310000000001E-2</v>
      </c>
      <c r="S37">
        <v>5.3500529999999998E-2</v>
      </c>
      <c r="U37" s="15">
        <f t="shared" si="13"/>
        <v>5.1931600000000022E-3</v>
      </c>
      <c r="V37" s="15">
        <f t="shared" si="14"/>
        <v>-2.3412000000000432E-4</v>
      </c>
      <c r="W37" s="15"/>
      <c r="X37" s="15"/>
      <c r="Y37" s="16">
        <f t="shared" si="15"/>
        <v>4.1552289999999999E-2</v>
      </c>
      <c r="Z37" s="16">
        <f t="shared" si="16"/>
        <v>3.089422E-2</v>
      </c>
      <c r="AA37" s="16">
        <f t="shared" si="17"/>
        <v>3.0433459999999999E-2</v>
      </c>
      <c r="AB37" s="16">
        <f t="shared" si="18"/>
        <v>-2.2606310000000001E-2</v>
      </c>
      <c r="AC37" s="17">
        <f t="shared" si="19"/>
        <v>2.968034788787564</v>
      </c>
      <c r="AD37" s="17">
        <f t="shared" si="20"/>
        <v>2.172658543880897</v>
      </c>
      <c r="AE37" s="17">
        <f t="shared" si="21"/>
        <v>36.630884648143386</v>
      </c>
      <c r="AF37" s="17">
        <f t="shared" si="22"/>
        <v>36.199111888143385</v>
      </c>
    </row>
    <row r="38" spans="1:32" x14ac:dyDescent="0.25">
      <c r="A38" s="14">
        <v>36</v>
      </c>
      <c r="B38" t="s">
        <v>59</v>
      </c>
      <c r="C38">
        <v>350</v>
      </c>
      <c r="D38">
        <v>9</v>
      </c>
      <c r="E38">
        <v>-0.43728329999999999</v>
      </c>
      <c r="F38">
        <v>-0.43603330000000001</v>
      </c>
      <c r="G38">
        <v>-1.25E-3</v>
      </c>
      <c r="H38">
        <v>0.50565000000000004</v>
      </c>
      <c r="I38">
        <v>0.50276659999999995</v>
      </c>
      <c r="J38">
        <v>2.8833700000000001E-3</v>
      </c>
      <c r="K38">
        <v>25.96</v>
      </c>
      <c r="L38">
        <v>25.94</v>
      </c>
      <c r="M38">
        <v>0.03</v>
      </c>
      <c r="N38">
        <v>4.591336E-2</v>
      </c>
      <c r="O38">
        <v>2.532417E-2</v>
      </c>
      <c r="P38">
        <v>2.058919E-2</v>
      </c>
      <c r="Q38">
        <v>2.9383949999999999E-2</v>
      </c>
      <c r="R38">
        <v>-2.1327849999999999E-2</v>
      </c>
      <c r="S38">
        <v>5.0711810000000003E-2</v>
      </c>
      <c r="U38" s="15">
        <f t="shared" si="13"/>
        <v>6.2499999999998668E-4</v>
      </c>
      <c r="V38" s="15">
        <f t="shared" si="14"/>
        <v>1.4417000000000457E-3</v>
      </c>
      <c r="W38" s="15"/>
      <c r="X38" s="15"/>
      <c r="Y38" s="16">
        <f t="shared" si="15"/>
        <v>4.591336E-2</v>
      </c>
      <c r="Z38" s="16">
        <f t="shared" si="16"/>
        <v>2.9383949999999999E-2</v>
      </c>
      <c r="AA38" s="16">
        <f t="shared" si="17"/>
        <v>2.532417E-2</v>
      </c>
      <c r="AB38" s="16">
        <f t="shared" si="18"/>
        <v>-2.1327849999999999E-2</v>
      </c>
      <c r="AC38" s="17">
        <f t="shared" si="19"/>
        <v>3.1248011896127292</v>
      </c>
      <c r="AD38" s="17">
        <f t="shared" si="20"/>
        <v>1.8973396392356587</v>
      </c>
      <c r="AE38" s="17">
        <f t="shared" si="21"/>
        <v>32.61871153734274</v>
      </c>
      <c r="AF38" s="17">
        <f t="shared" si="22"/>
        <v>32.182678237342742</v>
      </c>
    </row>
    <row r="39" spans="1:32" x14ac:dyDescent="0.25">
      <c r="A39" s="19">
        <v>37</v>
      </c>
      <c r="B39" s="23" t="s">
        <v>60</v>
      </c>
      <c r="C39" s="23">
        <v>0</v>
      </c>
      <c r="D39" s="23">
        <v>5</v>
      </c>
      <c r="E39" s="23">
        <v>-0.43811</v>
      </c>
      <c r="F39" s="23">
        <v>-0.43256990000000001</v>
      </c>
      <c r="G39" s="23">
        <v>-5.5401299999999999E-3</v>
      </c>
      <c r="H39" s="23">
        <v>0.50246983999999995</v>
      </c>
      <c r="I39" s="23">
        <v>0.49508000000000002</v>
      </c>
      <c r="J39" s="23">
        <v>7.38984E-3</v>
      </c>
      <c r="K39" s="23">
        <v>26.06</v>
      </c>
      <c r="L39" s="23">
        <v>26.06</v>
      </c>
      <c r="M39" s="23">
        <v>-0.01</v>
      </c>
      <c r="N39" s="23">
        <v>5.027148E-2</v>
      </c>
      <c r="O39" s="23">
        <v>2.113232E-2</v>
      </c>
      <c r="P39" s="23">
        <v>2.9139160000000001E-2</v>
      </c>
      <c r="Q39" s="23">
        <v>2.690967E-2</v>
      </c>
      <c r="R39" s="23">
        <v>-1.922217E-2</v>
      </c>
      <c r="S39" s="23">
        <v>4.6131829999999999E-2</v>
      </c>
      <c r="T39" s="23"/>
      <c r="U39" s="20">
        <f t="shared" si="13"/>
        <v>2.7700499999999961E-3</v>
      </c>
      <c r="V39" s="20">
        <f t="shared" si="14"/>
        <v>3.6949199999999627E-3</v>
      </c>
      <c r="W39" s="20"/>
      <c r="X39" s="20"/>
      <c r="Y39" s="21">
        <f t="shared" si="15"/>
        <v>5.027148E-2</v>
      </c>
      <c r="Z39" s="21">
        <f t="shared" si="16"/>
        <v>2.690967E-2</v>
      </c>
      <c r="AA39" s="21">
        <f t="shared" si="17"/>
        <v>2.113232E-2</v>
      </c>
      <c r="AB39" s="21">
        <f t="shared" si="18"/>
        <v>-1.922217E-2</v>
      </c>
      <c r="AC39" s="22">
        <f t="shared" si="19"/>
        <v>3.2688143202104385</v>
      </c>
      <c r="AD39" s="22">
        <f t="shared" si="20"/>
        <v>1.6369844930063495</v>
      </c>
      <c r="AE39" s="22">
        <f t="shared" si="21"/>
        <v>28.159564553496232</v>
      </c>
      <c r="AF39" s="22">
        <f t="shared" si="22"/>
        <v>27.726994653496231</v>
      </c>
    </row>
    <row r="40" spans="1:32" x14ac:dyDescent="0.25">
      <c r="A40" s="14">
        <v>38</v>
      </c>
      <c r="B40" t="s">
        <v>60</v>
      </c>
      <c r="C40">
        <v>10</v>
      </c>
      <c r="D40">
        <v>5</v>
      </c>
      <c r="E40">
        <v>-0.43550008000000001</v>
      </c>
      <c r="F40">
        <v>-0.4299</v>
      </c>
      <c r="G40">
        <v>-5.6000399999999997E-3</v>
      </c>
      <c r="H40">
        <v>0.51879008000000004</v>
      </c>
      <c r="I40">
        <v>0.51492000000000004</v>
      </c>
      <c r="J40">
        <v>3.8700700000000002E-3</v>
      </c>
      <c r="K40">
        <v>25.87</v>
      </c>
      <c r="L40">
        <v>25.84</v>
      </c>
      <c r="M40">
        <v>0.04</v>
      </c>
      <c r="N40">
        <v>5.3886719999999999E-2</v>
      </c>
      <c r="O40">
        <v>1.82749E-2</v>
      </c>
      <c r="P40">
        <v>3.5611820000000002E-2</v>
      </c>
      <c r="Q40">
        <v>2.4120599999999999E-2</v>
      </c>
      <c r="R40">
        <v>-1.6528319999999999E-2</v>
      </c>
      <c r="S40">
        <v>4.0648919999999998E-2</v>
      </c>
      <c r="U40" s="15">
        <f t="shared" si="13"/>
        <v>2.8000400000000036E-3</v>
      </c>
      <c r="V40" s="15">
        <f t="shared" si="14"/>
        <v>1.935039999999999E-3</v>
      </c>
      <c r="W40" s="15"/>
      <c r="X40" s="15"/>
      <c r="Y40" s="16">
        <f t="shared" si="15"/>
        <v>5.3886719999999999E-2</v>
      </c>
      <c r="Z40" s="16">
        <f t="shared" si="16"/>
        <v>2.4120599999999999E-2</v>
      </c>
      <c r="AA40" s="16">
        <f t="shared" si="17"/>
        <v>1.82749E-2</v>
      </c>
      <c r="AB40" s="16">
        <f t="shared" si="18"/>
        <v>-1.6528319999999999E-2</v>
      </c>
      <c r="AC40" s="17">
        <f t="shared" si="19"/>
        <v>3.3846432403720317</v>
      </c>
      <c r="AD40" s="17">
        <f t="shared" si="20"/>
        <v>1.4119431528927695</v>
      </c>
      <c r="AE40" s="17">
        <f t="shared" si="21"/>
        <v>24.114090220356626</v>
      </c>
      <c r="AF40" s="17">
        <f t="shared" si="22"/>
        <v>23.684190220356626</v>
      </c>
    </row>
    <row r="41" spans="1:32" x14ac:dyDescent="0.25">
      <c r="A41" s="14">
        <v>39</v>
      </c>
      <c r="B41" t="s">
        <v>60</v>
      </c>
      <c r="C41">
        <v>20</v>
      </c>
      <c r="D41">
        <v>7</v>
      </c>
      <c r="E41">
        <v>-0.43272850000000002</v>
      </c>
      <c r="F41">
        <v>-0.42872855999999998</v>
      </c>
      <c r="G41">
        <v>-3.9999500000000004E-3</v>
      </c>
      <c r="H41">
        <v>0.50328569999999995</v>
      </c>
      <c r="I41">
        <v>0.5018357</v>
      </c>
      <c r="J41">
        <v>1.4499999999999999E-3</v>
      </c>
      <c r="K41">
        <v>25.93</v>
      </c>
      <c r="L41">
        <v>25.92</v>
      </c>
      <c r="M41">
        <v>0.01</v>
      </c>
      <c r="N41">
        <v>5.7599749999999998E-2</v>
      </c>
      <c r="O41">
        <v>1.498117E-2</v>
      </c>
      <c r="P41">
        <v>4.2618580000000003E-2</v>
      </c>
      <c r="Q41">
        <v>2.0808449999999999E-2</v>
      </c>
      <c r="R41">
        <v>-1.302351E-2</v>
      </c>
      <c r="S41">
        <v>3.3831960000000001E-2</v>
      </c>
      <c r="U41" s="15">
        <f t="shared" si="13"/>
        <v>1.9999700000000176E-3</v>
      </c>
      <c r="V41" s="15">
        <f t="shared" si="14"/>
        <v>7.2499999999997566E-4</v>
      </c>
      <c r="W41" s="15"/>
      <c r="X41" s="15"/>
      <c r="Y41" s="16">
        <f t="shared" si="15"/>
        <v>5.7599749999999998E-2</v>
      </c>
      <c r="Z41" s="16">
        <f t="shared" si="16"/>
        <v>2.0808449999999999E-2</v>
      </c>
      <c r="AA41" s="16">
        <f t="shared" si="17"/>
        <v>1.498117E-2</v>
      </c>
      <c r="AB41" s="16">
        <f t="shared" si="18"/>
        <v>-1.302351E-2</v>
      </c>
      <c r="AC41" s="17">
        <f t="shared" si="19"/>
        <v>3.5111709660469419</v>
      </c>
      <c r="AD41" s="17">
        <f t="shared" si="20"/>
        <v>1.1374316760348477</v>
      </c>
      <c r="AE41" s="17">
        <f t="shared" si="21"/>
        <v>19.86272922829578</v>
      </c>
      <c r="AF41" s="17">
        <f t="shared" si="22"/>
        <v>19.434000668295781</v>
      </c>
    </row>
    <row r="42" spans="1:32" x14ac:dyDescent="0.25">
      <c r="A42" s="14">
        <v>40</v>
      </c>
      <c r="B42" t="s">
        <v>60</v>
      </c>
      <c r="C42">
        <v>30</v>
      </c>
      <c r="D42">
        <v>9</v>
      </c>
      <c r="E42">
        <v>-0.44117772</v>
      </c>
      <c r="F42">
        <v>-0.43593324</v>
      </c>
      <c r="G42">
        <v>-5.2444600000000003E-3</v>
      </c>
      <c r="H42">
        <v>0.52387216000000003</v>
      </c>
      <c r="I42">
        <v>0.51218335999999998</v>
      </c>
      <c r="J42">
        <v>1.1688769999999999E-2</v>
      </c>
      <c r="K42">
        <v>25.72</v>
      </c>
      <c r="L42">
        <v>25.71</v>
      </c>
      <c r="M42">
        <v>0</v>
      </c>
      <c r="N42">
        <v>6.0249299999999999E-2</v>
      </c>
      <c r="O42">
        <v>1.252035E-2</v>
      </c>
      <c r="P42">
        <v>4.7728949999999999E-2</v>
      </c>
      <c r="Q42">
        <v>1.6783039999999999E-2</v>
      </c>
      <c r="R42">
        <v>-9.0196400000000006E-3</v>
      </c>
      <c r="S42">
        <v>2.5802680000000001E-2</v>
      </c>
      <c r="U42" s="15">
        <f t="shared" si="13"/>
        <v>2.6222399999999979E-3</v>
      </c>
      <c r="V42" s="15">
        <f t="shared" si="14"/>
        <v>5.8444000000000274E-3</v>
      </c>
      <c r="W42" s="15"/>
      <c r="X42" s="15"/>
      <c r="Y42" s="16">
        <f t="shared" si="15"/>
        <v>6.0249299999999999E-2</v>
      </c>
      <c r="Z42" s="16">
        <f t="shared" si="16"/>
        <v>1.6783039999999999E-2</v>
      </c>
      <c r="AA42" s="16">
        <f t="shared" si="17"/>
        <v>1.252035E-2</v>
      </c>
      <c r="AB42" s="16">
        <f t="shared" si="18"/>
        <v>-9.0196400000000006E-3</v>
      </c>
      <c r="AC42" s="17">
        <f t="shared" si="19"/>
        <v>3.5858002208138879</v>
      </c>
      <c r="AD42" s="17">
        <f t="shared" si="20"/>
        <v>0.88416126825447461</v>
      </c>
      <c r="AE42" s="17">
        <f t="shared" si="21"/>
        <v>15.565705749762229</v>
      </c>
      <c r="AF42" s="17">
        <f t="shared" si="22"/>
        <v>15.129772509762228</v>
      </c>
    </row>
    <row r="43" spans="1:32" x14ac:dyDescent="0.25">
      <c r="A43" s="14">
        <v>41</v>
      </c>
      <c r="B43" t="s">
        <v>60</v>
      </c>
      <c r="C43">
        <v>40</v>
      </c>
      <c r="D43">
        <v>8</v>
      </c>
      <c r="E43">
        <v>-0.43572495999999999</v>
      </c>
      <c r="F43">
        <v>-0.42654375999999999</v>
      </c>
      <c r="G43">
        <v>-9.1812000000000005E-3</v>
      </c>
      <c r="H43">
        <v>0.49729992000000001</v>
      </c>
      <c r="I43">
        <v>0.4920812</v>
      </c>
      <c r="J43">
        <v>5.2187099999999997E-3</v>
      </c>
      <c r="K43">
        <v>26.09</v>
      </c>
      <c r="L43">
        <v>26.08</v>
      </c>
      <c r="M43">
        <v>0.01</v>
      </c>
      <c r="N43">
        <v>6.1451110000000003E-2</v>
      </c>
      <c r="O43">
        <v>1.0071409999999999E-2</v>
      </c>
      <c r="P43">
        <v>5.13797E-2</v>
      </c>
      <c r="Q43">
        <v>1.249542E-2</v>
      </c>
      <c r="R43">
        <v>-5.1547199999999998E-3</v>
      </c>
      <c r="S43">
        <v>1.765015E-2</v>
      </c>
      <c r="U43" s="15">
        <f t="shared" si="13"/>
        <v>4.5906000000000002E-3</v>
      </c>
      <c r="V43" s="15">
        <f t="shared" si="14"/>
        <v>2.609360000000005E-3</v>
      </c>
      <c r="W43" s="15"/>
      <c r="X43" s="15"/>
      <c r="Y43" s="16">
        <f t="shared" si="15"/>
        <v>6.1451110000000003E-2</v>
      </c>
      <c r="Z43" s="16">
        <f t="shared" si="16"/>
        <v>1.249542E-2</v>
      </c>
      <c r="AA43" s="16">
        <f t="shared" si="17"/>
        <v>1.0071409999999999E-2</v>
      </c>
      <c r="AB43" s="16">
        <f t="shared" si="18"/>
        <v>-5.1547199999999998E-3</v>
      </c>
      <c r="AC43" s="17">
        <f t="shared" si="19"/>
        <v>3.5952998018552225</v>
      </c>
      <c r="AD43" s="17">
        <f t="shared" si="20"/>
        <v>0.64825281470142437</v>
      </c>
      <c r="AE43" s="17">
        <f t="shared" si="21"/>
        <v>11.493777717951465</v>
      </c>
      <c r="AF43" s="17">
        <f t="shared" si="22"/>
        <v>11.067233957951466</v>
      </c>
    </row>
    <row r="44" spans="1:32" x14ac:dyDescent="0.25">
      <c r="A44" s="14">
        <v>42</v>
      </c>
      <c r="B44" t="s">
        <v>60</v>
      </c>
      <c r="C44">
        <v>50</v>
      </c>
      <c r="D44">
        <v>6</v>
      </c>
      <c r="E44">
        <v>-0.43738324000000001</v>
      </c>
      <c r="F44">
        <v>-0.43465831999999999</v>
      </c>
      <c r="G44">
        <v>-2.7249499999999999E-3</v>
      </c>
      <c r="H44">
        <v>0.49266663999999999</v>
      </c>
      <c r="I44">
        <v>0.48685</v>
      </c>
      <c r="J44">
        <v>5.8166099999999998E-3</v>
      </c>
      <c r="K44">
        <v>26.14</v>
      </c>
      <c r="L44">
        <v>26.13</v>
      </c>
      <c r="M44">
        <v>0.01</v>
      </c>
      <c r="N44">
        <v>6.1944579999999999E-2</v>
      </c>
      <c r="O44">
        <v>8.3776900000000001E-3</v>
      </c>
      <c r="P44">
        <v>5.3566889999999999E-2</v>
      </c>
      <c r="Q44">
        <v>7.3876999999999996E-3</v>
      </c>
      <c r="R44">
        <v>-2.686E-5</v>
      </c>
      <c r="S44">
        <v>7.4145499999999998E-3</v>
      </c>
      <c r="U44" s="15">
        <f t="shared" si="13"/>
        <v>1.3624600000000098E-3</v>
      </c>
      <c r="V44" s="15">
        <f t="shared" si="14"/>
        <v>2.908319999999992E-3</v>
      </c>
      <c r="W44" s="15"/>
      <c r="X44" s="15"/>
      <c r="Y44" s="16">
        <f t="shared" si="15"/>
        <v>6.1944579999999999E-2</v>
      </c>
      <c r="Z44" s="16">
        <f t="shared" si="16"/>
        <v>7.3876999999999996E-3</v>
      </c>
      <c r="AA44" s="16">
        <f t="shared" si="17"/>
        <v>8.3776900000000001E-3</v>
      </c>
      <c r="AB44" s="16">
        <f t="shared" si="18"/>
        <v>-2.686E-5</v>
      </c>
      <c r="AC44" s="17">
        <f t="shared" si="19"/>
        <v>3.5766373841809225</v>
      </c>
      <c r="AD44" s="17">
        <f t="shared" si="20"/>
        <v>0.48001436131889497</v>
      </c>
      <c r="AE44" s="17">
        <f t="shared" si="21"/>
        <v>6.8011454801304501</v>
      </c>
      <c r="AF44" s="17">
        <f t="shared" si="22"/>
        <v>6.3664871601304505</v>
      </c>
    </row>
    <row r="45" spans="1:32" x14ac:dyDescent="0.25">
      <c r="A45" s="14">
        <v>43</v>
      </c>
      <c r="B45" t="s">
        <v>60</v>
      </c>
      <c r="C45">
        <v>60</v>
      </c>
      <c r="D45">
        <v>3</v>
      </c>
      <c r="E45">
        <v>-0.43291664000000002</v>
      </c>
      <c r="F45">
        <v>-0.4206667</v>
      </c>
      <c r="G45">
        <v>-1.2249950000000001E-2</v>
      </c>
      <c r="H45">
        <v>0.52545008000000004</v>
      </c>
      <c r="I45">
        <v>0.51439992000000001</v>
      </c>
      <c r="J45">
        <v>1.10501E-2</v>
      </c>
      <c r="K45">
        <v>25.67</v>
      </c>
      <c r="L45">
        <v>25.66</v>
      </c>
      <c r="M45">
        <v>0.01</v>
      </c>
      <c r="N45">
        <v>6.3178709999999999E-2</v>
      </c>
      <c r="O45">
        <v>8.5017900000000004E-3</v>
      </c>
      <c r="P45">
        <v>5.4676919999999997E-2</v>
      </c>
      <c r="Q45">
        <v>3.2983399999999999E-3</v>
      </c>
      <c r="R45">
        <v>4.4588199999999996E-3</v>
      </c>
      <c r="S45">
        <v>-1.16048E-3</v>
      </c>
      <c r="U45" s="15">
        <f t="shared" si="13"/>
        <v>6.1249700000000074E-3</v>
      </c>
      <c r="V45" s="15">
        <f t="shared" si="14"/>
        <v>5.5250800000000155E-3</v>
      </c>
      <c r="W45" s="15"/>
      <c r="X45" s="15"/>
      <c r="Y45" s="16">
        <f t="shared" si="15"/>
        <v>6.3178709999999999E-2</v>
      </c>
      <c r="Z45" s="16">
        <f t="shared" si="16"/>
        <v>3.2983399999999999E-3</v>
      </c>
      <c r="AA45" s="16">
        <f t="shared" si="17"/>
        <v>8.5017900000000004E-3</v>
      </c>
      <c r="AB45" s="16">
        <f t="shared" si="18"/>
        <v>4.4588199999999996E-3</v>
      </c>
      <c r="AC45" s="17">
        <f t="shared" si="19"/>
        <v>3.6272254676420395</v>
      </c>
      <c r="AD45" s="17">
        <f t="shared" si="20"/>
        <v>0.55005243555126482</v>
      </c>
      <c r="AE45" s="17">
        <f t="shared" si="21"/>
        <v>2.988499625474665</v>
      </c>
      <c r="AF45" s="17">
        <f t="shared" si="22"/>
        <v>2.567832925474665</v>
      </c>
    </row>
    <row r="46" spans="1:32" x14ac:dyDescent="0.25">
      <c r="A46" s="14">
        <v>44</v>
      </c>
      <c r="B46" t="s">
        <v>60</v>
      </c>
      <c r="C46">
        <v>70</v>
      </c>
      <c r="D46">
        <v>4</v>
      </c>
      <c r="E46">
        <v>-0.4312375</v>
      </c>
      <c r="F46">
        <v>-0.42949999999999999</v>
      </c>
      <c r="G46">
        <v>-1.7375100000000001E-3</v>
      </c>
      <c r="H46">
        <v>0.51273747999999997</v>
      </c>
      <c r="I46">
        <v>0.49988749999999998</v>
      </c>
      <c r="J46">
        <v>1.2849960000000001E-2</v>
      </c>
      <c r="K46">
        <v>25.87</v>
      </c>
      <c r="L46">
        <v>25.83</v>
      </c>
      <c r="M46">
        <v>0.04</v>
      </c>
      <c r="N46">
        <v>6.1453250000000001E-2</v>
      </c>
      <c r="O46">
        <v>9.8754900000000007E-3</v>
      </c>
      <c r="P46">
        <v>5.157776E-2</v>
      </c>
      <c r="Q46">
        <v>-1.75964E-3</v>
      </c>
      <c r="R46">
        <v>9.5776400000000001E-3</v>
      </c>
      <c r="S46">
        <v>-1.133728E-2</v>
      </c>
      <c r="U46" s="15">
        <f t="shared" si="13"/>
        <v>8.6875000000000147E-4</v>
      </c>
      <c r="V46" s="15">
        <f t="shared" si="14"/>
        <v>6.4249899999999915E-3</v>
      </c>
      <c r="W46" s="15"/>
      <c r="X46" s="15"/>
      <c r="Y46" s="16">
        <f t="shared" si="15"/>
        <v>6.1453250000000001E-2</v>
      </c>
      <c r="Z46" s="16">
        <f t="shared" si="16"/>
        <v>-1.75964E-3</v>
      </c>
      <c r="AA46" s="16">
        <f t="shared" si="17"/>
        <v>9.8754900000000007E-3</v>
      </c>
      <c r="AB46" s="16">
        <f t="shared" si="18"/>
        <v>9.5776400000000001E-3</v>
      </c>
      <c r="AC46" s="17">
        <f t="shared" si="19"/>
        <v>3.5246776889175431</v>
      </c>
      <c r="AD46" s="17">
        <f t="shared" si="20"/>
        <v>0.78824590578053055</v>
      </c>
      <c r="AE46" s="17">
        <f t="shared" si="21"/>
        <v>358.35985232505863</v>
      </c>
      <c r="AF46" s="17">
        <f t="shared" si="22"/>
        <v>357.93035232505861</v>
      </c>
    </row>
    <row r="47" spans="1:32" x14ac:dyDescent="0.25">
      <c r="A47" s="14">
        <v>45</v>
      </c>
      <c r="B47" t="s">
        <v>60</v>
      </c>
      <c r="C47">
        <v>80</v>
      </c>
      <c r="D47">
        <v>7</v>
      </c>
      <c r="E47">
        <v>-0.43085716000000002</v>
      </c>
      <c r="F47">
        <v>-0.43527850000000001</v>
      </c>
      <c r="G47">
        <v>4.4213500000000001E-3</v>
      </c>
      <c r="H47">
        <v>0.50195710000000004</v>
      </c>
      <c r="I47">
        <v>0.49659991999999997</v>
      </c>
      <c r="J47">
        <v>5.3571799999999996E-3</v>
      </c>
      <c r="K47">
        <v>25.98</v>
      </c>
      <c r="L47">
        <v>26</v>
      </c>
      <c r="M47">
        <v>-0.03</v>
      </c>
      <c r="N47">
        <v>6.0563970000000002E-2</v>
      </c>
      <c r="O47">
        <v>1.056815E-2</v>
      </c>
      <c r="P47">
        <v>4.9995820000000003E-2</v>
      </c>
      <c r="Q47">
        <v>-6.6967800000000003E-3</v>
      </c>
      <c r="R47">
        <v>1.3964839999999999E-2</v>
      </c>
      <c r="S47">
        <v>-2.0661619999999999E-2</v>
      </c>
      <c r="U47" s="15">
        <f t="shared" si="13"/>
        <v>-2.2106699999999979E-3</v>
      </c>
      <c r="V47" s="15">
        <f t="shared" si="14"/>
        <v>2.6785900000000362E-3</v>
      </c>
      <c r="W47" s="15"/>
      <c r="X47" s="15"/>
      <c r="Y47" s="16">
        <f t="shared" si="15"/>
        <v>6.0563970000000002E-2</v>
      </c>
      <c r="Z47" s="16">
        <f t="shared" si="16"/>
        <v>-6.6967800000000003E-3</v>
      </c>
      <c r="AA47" s="16">
        <f t="shared" si="17"/>
        <v>1.056815E-2</v>
      </c>
      <c r="AB47" s="16">
        <f t="shared" si="18"/>
        <v>1.3964839999999999E-2</v>
      </c>
      <c r="AC47" s="17">
        <f t="shared" si="19"/>
        <v>3.4933728290223227</v>
      </c>
      <c r="AD47" s="17">
        <f t="shared" si="20"/>
        <v>1.0034680023089406</v>
      </c>
      <c r="AE47" s="17">
        <f t="shared" si="21"/>
        <v>353.69022803167422</v>
      </c>
      <c r="AF47" s="17">
        <f t="shared" si="22"/>
        <v>353.25494953167424</v>
      </c>
    </row>
    <row r="48" spans="1:32" x14ac:dyDescent="0.25">
      <c r="A48" s="14">
        <v>46</v>
      </c>
      <c r="B48" t="s">
        <v>60</v>
      </c>
      <c r="C48">
        <v>90</v>
      </c>
      <c r="D48">
        <v>6</v>
      </c>
      <c r="E48">
        <v>-0.43440000000000001</v>
      </c>
      <c r="F48">
        <v>-0.43636659999999999</v>
      </c>
      <c r="G48">
        <v>1.9666000000000002E-3</v>
      </c>
      <c r="H48">
        <v>0.50183339999999999</v>
      </c>
      <c r="I48">
        <v>0.49773336000000001</v>
      </c>
      <c r="J48">
        <v>4.1000200000000002E-3</v>
      </c>
      <c r="K48">
        <v>26.01</v>
      </c>
      <c r="L48">
        <v>26.03</v>
      </c>
      <c r="M48">
        <v>-0.02</v>
      </c>
      <c r="N48">
        <v>5.8634029999999997E-2</v>
      </c>
      <c r="O48">
        <v>1.272217E-2</v>
      </c>
      <c r="P48">
        <v>4.5911859999999999E-2</v>
      </c>
      <c r="Q48">
        <v>-1.073649E-2</v>
      </c>
      <c r="R48">
        <v>1.8184820000000001E-2</v>
      </c>
      <c r="S48">
        <v>-2.8921309999999999E-2</v>
      </c>
      <c r="U48" s="15">
        <f t="shared" si="13"/>
        <v>-9.8329999999999251E-4</v>
      </c>
      <c r="V48" s="15">
        <f t="shared" si="14"/>
        <v>2.0500199999999857E-3</v>
      </c>
      <c r="W48" s="15"/>
      <c r="X48" s="15"/>
      <c r="Y48" s="16">
        <f t="shared" si="15"/>
        <v>5.8634029999999997E-2</v>
      </c>
      <c r="Z48" s="16">
        <f t="shared" si="16"/>
        <v>-1.073649E-2</v>
      </c>
      <c r="AA48" s="16">
        <f t="shared" si="17"/>
        <v>1.272217E-2</v>
      </c>
      <c r="AB48" s="16">
        <f t="shared" si="18"/>
        <v>1.8184820000000001E-2</v>
      </c>
      <c r="AC48" s="17">
        <f t="shared" si="19"/>
        <v>3.4173645601884655</v>
      </c>
      <c r="AD48" s="17">
        <f t="shared" si="20"/>
        <v>1.271685182618157</v>
      </c>
      <c r="AE48" s="17">
        <f t="shared" si="21"/>
        <v>349.62351055760172</v>
      </c>
      <c r="AF48" s="17">
        <f t="shared" si="22"/>
        <v>349.18714395760173</v>
      </c>
    </row>
    <row r="49" spans="1:32" x14ac:dyDescent="0.25">
      <c r="A49" s="14">
        <v>47</v>
      </c>
      <c r="B49" t="s">
        <v>60</v>
      </c>
      <c r="C49">
        <v>100</v>
      </c>
      <c r="D49">
        <v>8</v>
      </c>
      <c r="E49">
        <v>-0.43555623999999998</v>
      </c>
      <c r="F49">
        <v>-0.43641876000000002</v>
      </c>
      <c r="G49">
        <v>8.6248E-4</v>
      </c>
      <c r="H49">
        <v>0.49231871999999999</v>
      </c>
      <c r="I49">
        <v>0.48714372</v>
      </c>
      <c r="J49">
        <v>5.17499E-3</v>
      </c>
      <c r="K49">
        <v>26.18</v>
      </c>
      <c r="L49">
        <v>26.19</v>
      </c>
      <c r="M49">
        <v>-0.01</v>
      </c>
      <c r="N49">
        <v>5.5710450000000002E-2</v>
      </c>
      <c r="O49">
        <v>1.546112E-2</v>
      </c>
      <c r="P49">
        <v>4.024933E-2</v>
      </c>
      <c r="Q49">
        <v>-1.462433E-2</v>
      </c>
      <c r="R49">
        <v>2.1884770000000001E-2</v>
      </c>
      <c r="S49">
        <v>-3.6509100000000003E-2</v>
      </c>
      <c r="U49" s="15">
        <f t="shared" si="13"/>
        <v>-4.3126000000001663E-4</v>
      </c>
      <c r="V49" s="15">
        <f t="shared" si="14"/>
        <v>2.5874999999999926E-3</v>
      </c>
      <c r="W49" s="15"/>
      <c r="X49" s="15"/>
      <c r="Y49" s="16">
        <f t="shared" si="15"/>
        <v>5.5710450000000002E-2</v>
      </c>
      <c r="Z49" s="16">
        <f t="shared" si="16"/>
        <v>-1.462433E-2</v>
      </c>
      <c r="AA49" s="16">
        <f t="shared" si="17"/>
        <v>1.546112E-2</v>
      </c>
      <c r="AB49" s="16">
        <f t="shared" si="18"/>
        <v>2.1884770000000001E-2</v>
      </c>
      <c r="AC49" s="17">
        <f t="shared" si="19"/>
        <v>3.3019475861476741</v>
      </c>
      <c r="AD49" s="17">
        <f t="shared" si="20"/>
        <v>1.5354427533134081</v>
      </c>
      <c r="AE49" s="17">
        <f t="shared" si="21"/>
        <v>345.29137197385643</v>
      </c>
      <c r="AF49" s="17">
        <f t="shared" si="22"/>
        <v>344.85495321385645</v>
      </c>
    </row>
    <row r="50" spans="1:32" x14ac:dyDescent="0.25">
      <c r="A50" s="14">
        <v>48</v>
      </c>
      <c r="B50" t="s">
        <v>60</v>
      </c>
      <c r="C50">
        <v>110</v>
      </c>
      <c r="D50">
        <v>3</v>
      </c>
      <c r="E50">
        <v>-0.43404991999999998</v>
      </c>
      <c r="F50">
        <v>-0.43614999999999998</v>
      </c>
      <c r="G50">
        <v>2.10005E-3</v>
      </c>
      <c r="H50">
        <v>0.52763320000000002</v>
      </c>
      <c r="I50">
        <v>0.52896659999999995</v>
      </c>
      <c r="J50">
        <v>-1.3334200000000001E-3</v>
      </c>
      <c r="K50">
        <v>25.59</v>
      </c>
      <c r="L50">
        <v>25.59</v>
      </c>
      <c r="M50">
        <v>-0.01</v>
      </c>
      <c r="N50">
        <v>5.3421219999999998E-2</v>
      </c>
      <c r="O50">
        <v>1.834554E-2</v>
      </c>
      <c r="P50">
        <v>3.507569E-2</v>
      </c>
      <c r="Q50">
        <v>-1.7844240000000001E-2</v>
      </c>
      <c r="R50">
        <v>2.577718E-2</v>
      </c>
      <c r="S50">
        <v>-4.3621420000000001E-2</v>
      </c>
      <c r="U50" s="15">
        <f t="shared" si="13"/>
        <v>-1.0500400000000021E-3</v>
      </c>
      <c r="V50" s="15">
        <f t="shared" si="14"/>
        <v>-6.6669999999996454E-4</v>
      </c>
      <c r="W50" s="15"/>
      <c r="X50" s="15"/>
      <c r="Y50" s="16">
        <f t="shared" si="15"/>
        <v>5.3421219999999998E-2</v>
      </c>
      <c r="Z50" s="16">
        <f t="shared" si="16"/>
        <v>-1.7844240000000001E-2</v>
      </c>
      <c r="AA50" s="16">
        <f t="shared" si="17"/>
        <v>1.834554E-2</v>
      </c>
      <c r="AB50" s="16">
        <f t="shared" si="18"/>
        <v>2.577718E-2</v>
      </c>
      <c r="AC50" s="17">
        <f t="shared" si="19"/>
        <v>3.2287601377200055</v>
      </c>
      <c r="AD50" s="17">
        <f t="shared" si="20"/>
        <v>1.8130796912207205</v>
      </c>
      <c r="AE50" s="17">
        <f t="shared" si="21"/>
        <v>341.529182590782</v>
      </c>
      <c r="AF50" s="17">
        <f t="shared" si="22"/>
        <v>341.093032590782</v>
      </c>
    </row>
    <row r="51" spans="1:32" x14ac:dyDescent="0.25">
      <c r="A51" s="14">
        <v>49</v>
      </c>
      <c r="B51" t="s">
        <v>60</v>
      </c>
      <c r="C51">
        <v>120</v>
      </c>
      <c r="D51">
        <v>7</v>
      </c>
      <c r="E51">
        <v>-0.43822852000000001</v>
      </c>
      <c r="F51">
        <v>-0.43853572000000002</v>
      </c>
      <c r="G51">
        <v>3.0719999999999999E-4</v>
      </c>
      <c r="H51">
        <v>0.51154999999999995</v>
      </c>
      <c r="I51">
        <v>0.50573575999999998</v>
      </c>
      <c r="J51">
        <v>5.81425E-3</v>
      </c>
      <c r="K51">
        <v>25.96</v>
      </c>
      <c r="L51">
        <v>25.93</v>
      </c>
      <c r="M51">
        <v>0.02</v>
      </c>
      <c r="N51">
        <v>4.8727680000000002E-2</v>
      </c>
      <c r="O51">
        <v>2.3949149999999999E-2</v>
      </c>
      <c r="P51">
        <v>2.477853E-2</v>
      </c>
      <c r="Q51">
        <v>-2.04412E-2</v>
      </c>
      <c r="R51">
        <v>2.810547E-2</v>
      </c>
      <c r="S51">
        <v>-4.8546659999999998E-2</v>
      </c>
      <c r="U51" s="15">
        <f t="shared" si="13"/>
        <v>-1.5360000000000373E-4</v>
      </c>
      <c r="V51" s="15">
        <f t="shared" si="14"/>
        <v>2.9071199999999853E-3</v>
      </c>
      <c r="W51" s="15"/>
      <c r="X51" s="15"/>
      <c r="Y51" s="16">
        <f t="shared" si="15"/>
        <v>4.8727680000000002E-2</v>
      </c>
      <c r="Z51" s="16">
        <f t="shared" si="16"/>
        <v>-2.04412E-2</v>
      </c>
      <c r="AA51" s="16">
        <f t="shared" si="17"/>
        <v>2.3949149999999999E-2</v>
      </c>
      <c r="AB51" s="16">
        <f t="shared" si="18"/>
        <v>2.810547E-2</v>
      </c>
      <c r="AC51" s="17">
        <f t="shared" si="19"/>
        <v>3.0290085558931739</v>
      </c>
      <c r="AD51" s="17">
        <f t="shared" si="20"/>
        <v>2.1161460446356282</v>
      </c>
      <c r="AE51" s="17">
        <f t="shared" si="21"/>
        <v>337.24201253584602</v>
      </c>
      <c r="AF51" s="17">
        <f t="shared" si="22"/>
        <v>336.80347681584601</v>
      </c>
    </row>
    <row r="52" spans="1:32" x14ac:dyDescent="0.25">
      <c r="A52" s="14">
        <v>50</v>
      </c>
      <c r="B52" t="s">
        <v>60</v>
      </c>
      <c r="C52">
        <v>130</v>
      </c>
      <c r="D52">
        <v>4</v>
      </c>
      <c r="E52">
        <v>-0.43881244000000003</v>
      </c>
      <c r="F52">
        <v>-0.43691239999999998</v>
      </c>
      <c r="G52">
        <v>-1.9000200000000001E-3</v>
      </c>
      <c r="H52">
        <v>0.53772489999999995</v>
      </c>
      <c r="I52">
        <v>0.53230007999999995</v>
      </c>
      <c r="J52">
        <v>5.4248600000000001E-3</v>
      </c>
      <c r="K52">
        <v>25.46</v>
      </c>
      <c r="L52">
        <v>25.47</v>
      </c>
      <c r="M52">
        <v>-0.01</v>
      </c>
      <c r="N52">
        <v>4.4496460000000002E-2</v>
      </c>
      <c r="O52">
        <v>2.849548E-2</v>
      </c>
      <c r="P52">
        <v>1.6000980000000001E-2</v>
      </c>
      <c r="Q52">
        <v>-2.213623E-2</v>
      </c>
      <c r="R52">
        <v>3.0446170000000002E-2</v>
      </c>
      <c r="S52">
        <v>-5.2582400000000001E-2</v>
      </c>
      <c r="U52" s="15">
        <f t="shared" si="13"/>
        <v>9.5002000000002362E-4</v>
      </c>
      <c r="V52" s="15">
        <f t="shared" si="14"/>
        <v>2.7124099999999984E-3</v>
      </c>
      <c r="W52" s="15"/>
      <c r="X52" s="15"/>
      <c r="Y52" s="16">
        <f t="shared" si="15"/>
        <v>4.4496460000000002E-2</v>
      </c>
      <c r="Z52" s="16">
        <f t="shared" si="16"/>
        <v>-2.213623E-2</v>
      </c>
      <c r="AA52" s="16">
        <f t="shared" si="17"/>
        <v>2.849548E-2</v>
      </c>
      <c r="AB52" s="16">
        <f t="shared" si="18"/>
        <v>3.0446170000000002E-2</v>
      </c>
      <c r="AC52" s="17">
        <f t="shared" si="19"/>
        <v>2.8486916851476254</v>
      </c>
      <c r="AD52" s="17">
        <f t="shared" si="20"/>
        <v>2.3899762485137397</v>
      </c>
      <c r="AE52" s="17">
        <f t="shared" si="21"/>
        <v>333.55043820828473</v>
      </c>
      <c r="AF52" s="17">
        <f t="shared" si="22"/>
        <v>333.11352580828475</v>
      </c>
    </row>
    <row r="53" spans="1:32" x14ac:dyDescent="0.25">
      <c r="A53" s="14">
        <v>51</v>
      </c>
      <c r="B53" t="s">
        <v>60</v>
      </c>
      <c r="C53">
        <v>140</v>
      </c>
      <c r="D53">
        <v>6</v>
      </c>
      <c r="E53">
        <v>-0.43248330000000001</v>
      </c>
      <c r="F53">
        <v>-0.44130836000000001</v>
      </c>
      <c r="G53">
        <v>8.8250599999999992E-3</v>
      </c>
      <c r="H53">
        <v>0.49846664000000002</v>
      </c>
      <c r="I53">
        <v>0.4897416</v>
      </c>
      <c r="J53">
        <v>8.7250499999999998E-3</v>
      </c>
      <c r="K53">
        <v>26.13</v>
      </c>
      <c r="L53">
        <v>26.16</v>
      </c>
      <c r="M53">
        <v>-0.02</v>
      </c>
      <c r="N53">
        <v>3.901408E-2</v>
      </c>
      <c r="O53">
        <v>3.2429609999999998E-2</v>
      </c>
      <c r="P53">
        <v>6.5844700000000003E-3</v>
      </c>
      <c r="Q53">
        <v>-2.3061930000000001E-2</v>
      </c>
      <c r="R53">
        <v>3.09082E-2</v>
      </c>
      <c r="S53">
        <v>-5.3970129999999998E-2</v>
      </c>
      <c r="U53" s="15">
        <f t="shared" si="13"/>
        <v>-4.4125299999999978E-3</v>
      </c>
      <c r="V53" s="15">
        <f t="shared" si="14"/>
        <v>4.3625200000000086E-3</v>
      </c>
      <c r="W53" s="15"/>
      <c r="X53" s="15"/>
      <c r="Y53" s="16">
        <f t="shared" si="15"/>
        <v>3.901408E-2</v>
      </c>
      <c r="Z53" s="16">
        <f t="shared" si="16"/>
        <v>-2.3061930000000001E-2</v>
      </c>
      <c r="AA53" s="16">
        <f t="shared" si="17"/>
        <v>3.2429609999999998E-2</v>
      </c>
      <c r="AB53" s="16">
        <f t="shared" si="18"/>
        <v>3.09082E-2</v>
      </c>
      <c r="AC53" s="17">
        <f t="shared" si="19"/>
        <v>2.5975652124670585</v>
      </c>
      <c r="AD53" s="17">
        <f t="shared" si="20"/>
        <v>2.5676824391164366</v>
      </c>
      <c r="AE53" s="17">
        <f t="shared" si="21"/>
        <v>329.411896625601</v>
      </c>
      <c r="AF53" s="17">
        <f t="shared" si="22"/>
        <v>328.97058826560101</v>
      </c>
    </row>
    <row r="54" spans="1:32" x14ac:dyDescent="0.25">
      <c r="A54" s="14">
        <v>52</v>
      </c>
      <c r="B54" t="s">
        <v>60</v>
      </c>
      <c r="C54">
        <v>150</v>
      </c>
      <c r="D54">
        <v>5</v>
      </c>
      <c r="E54">
        <v>-0.43085995999999999</v>
      </c>
      <c r="F54">
        <v>-0.44300992</v>
      </c>
      <c r="G54">
        <v>1.2149989999999999E-2</v>
      </c>
      <c r="H54">
        <v>0.51846990000000004</v>
      </c>
      <c r="I54">
        <v>0.51289991999999995</v>
      </c>
      <c r="J54">
        <v>5.5699900000000004E-3</v>
      </c>
      <c r="K54">
        <v>25.77</v>
      </c>
      <c r="L54">
        <v>25.77</v>
      </c>
      <c r="M54">
        <v>0</v>
      </c>
      <c r="N54">
        <v>3.4794430000000001E-2</v>
      </c>
      <c r="O54">
        <v>3.7955570000000001E-2</v>
      </c>
      <c r="P54">
        <v>-3.1611399999999998E-3</v>
      </c>
      <c r="Q54">
        <v>-2.3118650000000001E-2</v>
      </c>
      <c r="R54">
        <v>3.1268070000000002E-2</v>
      </c>
      <c r="S54">
        <v>-5.438672E-2</v>
      </c>
      <c r="U54" s="15">
        <f t="shared" si="13"/>
        <v>-6.0749800000000076E-3</v>
      </c>
      <c r="V54" s="15">
        <f t="shared" si="14"/>
        <v>2.7849900000000427E-3</v>
      </c>
      <c r="W54" s="15"/>
      <c r="X54" s="15"/>
      <c r="Y54" s="16">
        <f t="shared" si="15"/>
        <v>3.4794430000000001E-2</v>
      </c>
      <c r="Z54" s="16">
        <f t="shared" si="16"/>
        <v>-2.3118650000000001E-2</v>
      </c>
      <c r="AA54" s="16">
        <f t="shared" si="17"/>
        <v>3.7955570000000001E-2</v>
      </c>
      <c r="AB54" s="16">
        <f t="shared" si="18"/>
        <v>3.1268070000000002E-2</v>
      </c>
      <c r="AC54" s="17">
        <f t="shared" si="19"/>
        <v>2.3942098718413538</v>
      </c>
      <c r="AD54" s="17">
        <f t="shared" si="20"/>
        <v>2.8187365725398212</v>
      </c>
      <c r="AE54" s="17">
        <f t="shared" si="21"/>
        <v>326.39853091444559</v>
      </c>
      <c r="AF54" s="17">
        <f t="shared" si="22"/>
        <v>325.95552099444558</v>
      </c>
    </row>
    <row r="55" spans="1:32" x14ac:dyDescent="0.25">
      <c r="A55" s="14">
        <v>53</v>
      </c>
      <c r="B55" t="s">
        <v>60</v>
      </c>
      <c r="C55">
        <v>160</v>
      </c>
      <c r="D55">
        <v>10</v>
      </c>
      <c r="E55">
        <v>-0.43174990000000002</v>
      </c>
      <c r="F55">
        <v>-0.43932495999999999</v>
      </c>
      <c r="G55">
        <v>7.5750399999999999E-3</v>
      </c>
      <c r="H55">
        <v>0.49490492000000003</v>
      </c>
      <c r="I55">
        <v>0.50126499999999996</v>
      </c>
      <c r="J55">
        <v>-6.3600499999999999E-3</v>
      </c>
      <c r="K55">
        <v>26.04</v>
      </c>
      <c r="L55">
        <v>26.03</v>
      </c>
      <c r="M55">
        <v>0.01</v>
      </c>
      <c r="N55">
        <v>2.996851E-2</v>
      </c>
      <c r="O55">
        <v>4.1548340000000003E-2</v>
      </c>
      <c r="P55">
        <v>-1.1579829999999999E-2</v>
      </c>
      <c r="Q55">
        <v>-2.2954829999999999E-2</v>
      </c>
      <c r="R55">
        <v>3.089892E-2</v>
      </c>
      <c r="S55">
        <v>-5.3853760000000001E-2</v>
      </c>
      <c r="U55" s="15">
        <f t="shared" si="13"/>
        <v>-3.7875299999999834E-3</v>
      </c>
      <c r="V55" s="15">
        <f t="shared" si="14"/>
        <v>-3.1800399999999673E-3</v>
      </c>
      <c r="W55" s="15"/>
      <c r="X55" s="15"/>
      <c r="Y55" s="16">
        <f t="shared" si="15"/>
        <v>2.996851E-2</v>
      </c>
      <c r="Z55" s="16">
        <f t="shared" si="16"/>
        <v>-2.2954829999999999E-2</v>
      </c>
      <c r="AA55" s="16">
        <f t="shared" si="17"/>
        <v>4.1548340000000003E-2</v>
      </c>
      <c r="AB55" s="16">
        <f t="shared" si="18"/>
        <v>3.089892E-2</v>
      </c>
      <c r="AC55" s="17">
        <f t="shared" si="19"/>
        <v>2.1634094536469801</v>
      </c>
      <c r="AD55" s="17">
        <f t="shared" si="20"/>
        <v>2.968013835920654</v>
      </c>
      <c r="AE55" s="17">
        <f t="shared" si="21"/>
        <v>322.54914873513832</v>
      </c>
      <c r="AF55" s="17">
        <f t="shared" si="22"/>
        <v>322.1098237751383</v>
      </c>
    </row>
    <row r="56" spans="1:32" x14ac:dyDescent="0.25">
      <c r="A56" s="14">
        <v>54</v>
      </c>
      <c r="B56" t="s">
        <v>60</v>
      </c>
      <c r="C56">
        <v>170</v>
      </c>
      <c r="D56">
        <v>9</v>
      </c>
      <c r="E56">
        <v>-0.42610555999999999</v>
      </c>
      <c r="F56">
        <v>-0.43379444</v>
      </c>
      <c r="G56">
        <v>7.6888800000000004E-3</v>
      </c>
      <c r="H56">
        <v>0.50076116000000004</v>
      </c>
      <c r="I56">
        <v>0.50326660000000001</v>
      </c>
      <c r="J56">
        <v>-2.50542E-3</v>
      </c>
      <c r="K56">
        <v>26.07</v>
      </c>
      <c r="L56">
        <v>26.08</v>
      </c>
      <c r="M56">
        <v>0</v>
      </c>
      <c r="N56">
        <v>2.568956E-2</v>
      </c>
      <c r="O56">
        <v>4.6480029999999999E-2</v>
      </c>
      <c r="P56">
        <v>-2.0790469999999998E-2</v>
      </c>
      <c r="Q56">
        <v>-2.183295E-2</v>
      </c>
      <c r="R56">
        <v>2.9399410000000001E-2</v>
      </c>
      <c r="S56">
        <v>-5.1232369999999999E-2</v>
      </c>
      <c r="U56" s="15">
        <f t="shared" si="13"/>
        <v>-3.8444400000000045E-3</v>
      </c>
      <c r="V56" s="15">
        <f t="shared" si="14"/>
        <v>-1.252719999999985E-3</v>
      </c>
      <c r="W56" s="15"/>
      <c r="X56" s="15"/>
      <c r="Y56" s="16">
        <f t="shared" si="15"/>
        <v>2.568956E-2</v>
      </c>
      <c r="Z56" s="16">
        <f t="shared" si="16"/>
        <v>-2.183295E-2</v>
      </c>
      <c r="AA56" s="16">
        <f t="shared" si="17"/>
        <v>4.6480029999999999E-2</v>
      </c>
      <c r="AB56" s="16">
        <f t="shared" si="18"/>
        <v>2.9399410000000001E-2</v>
      </c>
      <c r="AC56" s="17">
        <f t="shared" si="19"/>
        <v>1.9320338230801002</v>
      </c>
      <c r="AD56" s="17">
        <f t="shared" si="20"/>
        <v>3.1527119517696152</v>
      </c>
      <c r="AE56" s="17">
        <f t="shared" si="21"/>
        <v>319.63957600089714</v>
      </c>
      <c r="AF56" s="17">
        <f t="shared" si="22"/>
        <v>319.20578156089715</v>
      </c>
    </row>
    <row r="57" spans="1:32" x14ac:dyDescent="0.25">
      <c r="A57" s="14">
        <v>55</v>
      </c>
      <c r="B57" t="s">
        <v>60</v>
      </c>
      <c r="C57">
        <v>180</v>
      </c>
      <c r="D57">
        <v>7</v>
      </c>
      <c r="E57">
        <v>-0.42897849999999998</v>
      </c>
      <c r="F57">
        <v>-0.43995708</v>
      </c>
      <c r="G57">
        <v>1.097858E-2</v>
      </c>
      <c r="H57">
        <v>0.49926429999999999</v>
      </c>
      <c r="I57">
        <v>0.50007855999999995</v>
      </c>
      <c r="J57">
        <v>-8.1426000000000003E-4</v>
      </c>
      <c r="K57">
        <v>26.02</v>
      </c>
      <c r="L57">
        <v>26.02</v>
      </c>
      <c r="M57">
        <v>0.01</v>
      </c>
      <c r="N57">
        <v>2.1164550000000001E-2</v>
      </c>
      <c r="O57">
        <v>5.06951E-2</v>
      </c>
      <c r="P57">
        <v>-2.9530549999999999E-2</v>
      </c>
      <c r="Q57">
        <v>-1.9230259999999999E-2</v>
      </c>
      <c r="R57">
        <v>2.68621E-2</v>
      </c>
      <c r="S57">
        <v>-4.6092349999999997E-2</v>
      </c>
      <c r="U57" s="15">
        <f t="shared" si="13"/>
        <v>-5.4892900000000078E-3</v>
      </c>
      <c r="V57" s="15">
        <f t="shared" si="14"/>
        <v>-4.0712999999997779E-4</v>
      </c>
      <c r="W57" s="15"/>
      <c r="X57" s="15"/>
      <c r="Y57" s="16">
        <f t="shared" si="15"/>
        <v>2.1164550000000001E-2</v>
      </c>
      <c r="Z57" s="16">
        <f t="shared" si="16"/>
        <v>-1.9230259999999999E-2</v>
      </c>
      <c r="AA57" s="16">
        <f t="shared" si="17"/>
        <v>5.06951E-2</v>
      </c>
      <c r="AB57" s="16">
        <f t="shared" si="18"/>
        <v>2.68621E-2</v>
      </c>
      <c r="AC57" s="17">
        <f t="shared" si="19"/>
        <v>1.6386633746808563</v>
      </c>
      <c r="AD57" s="17">
        <f t="shared" si="20"/>
        <v>3.2889890537770956</v>
      </c>
      <c r="AE57" s="17">
        <f t="shared" si="21"/>
        <v>317.74149237336724</v>
      </c>
      <c r="AF57" s="17">
        <f t="shared" si="22"/>
        <v>317.30153529336724</v>
      </c>
    </row>
    <row r="58" spans="1:32" x14ac:dyDescent="0.25">
      <c r="A58" s="14">
        <v>56</v>
      </c>
      <c r="B58" t="s">
        <v>60</v>
      </c>
      <c r="C58">
        <v>190</v>
      </c>
      <c r="D58">
        <v>3</v>
      </c>
      <c r="E58">
        <v>-0.43589995999999998</v>
      </c>
      <c r="F58">
        <v>-0.44206667999999999</v>
      </c>
      <c r="G58">
        <v>6.1666999999999998E-3</v>
      </c>
      <c r="H58">
        <v>0.52091664000000004</v>
      </c>
      <c r="I58">
        <v>0.52231669999999997</v>
      </c>
      <c r="J58">
        <v>-1.4000499999999999E-3</v>
      </c>
      <c r="K58">
        <v>25.72</v>
      </c>
      <c r="L58">
        <v>25.72</v>
      </c>
      <c r="M58">
        <v>0</v>
      </c>
      <c r="N58">
        <v>1.7793779999999999E-2</v>
      </c>
      <c r="O58">
        <v>5.4359539999999998E-2</v>
      </c>
      <c r="P58">
        <v>-3.6565760000000003E-2</v>
      </c>
      <c r="Q58">
        <v>-1.6365560000000001E-2</v>
      </c>
      <c r="R58">
        <v>2.4340009999999999E-2</v>
      </c>
      <c r="S58">
        <v>-4.0705560000000002E-2</v>
      </c>
      <c r="U58" s="15">
        <f t="shared" si="13"/>
        <v>-3.0833600000000072E-3</v>
      </c>
      <c r="V58" s="15">
        <f t="shared" si="14"/>
        <v>-7.0002999999996263E-4</v>
      </c>
      <c r="W58" s="15"/>
      <c r="X58" s="15"/>
      <c r="Y58" s="16">
        <f t="shared" si="15"/>
        <v>1.7793779999999999E-2</v>
      </c>
      <c r="Z58" s="16">
        <f t="shared" si="16"/>
        <v>-1.6365560000000001E-2</v>
      </c>
      <c r="AA58" s="16">
        <f t="shared" si="17"/>
        <v>5.4359539999999998E-2</v>
      </c>
      <c r="AB58" s="16">
        <f t="shared" si="18"/>
        <v>2.4340009999999999E-2</v>
      </c>
      <c r="AC58" s="17">
        <f t="shared" si="19"/>
        <v>1.385283580430241</v>
      </c>
      <c r="AD58" s="17">
        <f t="shared" si="20"/>
        <v>3.4145584573589209</v>
      </c>
      <c r="AE58" s="17">
        <f t="shared" si="21"/>
        <v>317.39417227344035</v>
      </c>
      <c r="AF58" s="17">
        <f t="shared" si="22"/>
        <v>316.95210559344036</v>
      </c>
    </row>
    <row r="59" spans="1:32" x14ac:dyDescent="0.25">
      <c r="A59" s="14">
        <v>57</v>
      </c>
      <c r="B59" t="s">
        <v>60</v>
      </c>
      <c r="C59">
        <v>200</v>
      </c>
      <c r="D59">
        <v>7</v>
      </c>
      <c r="E59">
        <v>-0.42900004000000003</v>
      </c>
      <c r="F59">
        <v>-0.44267136000000001</v>
      </c>
      <c r="G59">
        <v>1.3671310000000001E-2</v>
      </c>
      <c r="H59">
        <v>0.51538569999999995</v>
      </c>
      <c r="I59">
        <v>0.51520719999999998</v>
      </c>
      <c r="J59">
        <v>1.7851999999999999E-4</v>
      </c>
      <c r="K59">
        <v>25.74</v>
      </c>
      <c r="L59">
        <v>25.72</v>
      </c>
      <c r="M59">
        <v>0.02</v>
      </c>
      <c r="N59">
        <v>1.45731E-2</v>
      </c>
      <c r="O59">
        <v>5.8076879999999997E-2</v>
      </c>
      <c r="P59">
        <v>-4.3503779999999999E-2</v>
      </c>
      <c r="Q59">
        <v>-1.2658340000000001E-2</v>
      </c>
      <c r="R59">
        <v>2.08524E-2</v>
      </c>
      <c r="S59">
        <v>-3.3510739999999997E-2</v>
      </c>
      <c r="U59" s="15">
        <f t="shared" si="13"/>
        <v>-6.8356599999999934E-3</v>
      </c>
      <c r="V59" s="15">
        <f t="shared" si="14"/>
        <v>8.9249999999985175E-5</v>
      </c>
      <c r="W59" s="15"/>
      <c r="X59" s="15"/>
      <c r="Y59" s="16">
        <f t="shared" si="15"/>
        <v>1.45731E-2</v>
      </c>
      <c r="Z59" s="16">
        <f t="shared" si="16"/>
        <v>-1.2658340000000001E-2</v>
      </c>
      <c r="AA59" s="16">
        <f t="shared" si="17"/>
        <v>5.8076879999999997E-2</v>
      </c>
      <c r="AB59" s="16">
        <f t="shared" si="18"/>
        <v>2.08524E-2</v>
      </c>
      <c r="AC59" s="17">
        <f t="shared" si="19"/>
        <v>1.1060535882360212</v>
      </c>
      <c r="AD59" s="17">
        <f t="shared" si="20"/>
        <v>3.5377948880527041</v>
      </c>
      <c r="AE59" s="17">
        <f t="shared" si="21"/>
        <v>319.02209355243906</v>
      </c>
      <c r="AF59" s="17">
        <f t="shared" si="22"/>
        <v>318.57942219243904</v>
      </c>
    </row>
    <row r="60" spans="1:32" x14ac:dyDescent="0.25">
      <c r="A60" s="14">
        <v>58</v>
      </c>
      <c r="B60" t="s">
        <v>60</v>
      </c>
      <c r="C60">
        <v>210</v>
      </c>
      <c r="D60">
        <v>8</v>
      </c>
      <c r="E60">
        <v>-0.43139369999999999</v>
      </c>
      <c r="F60">
        <v>-0.43644369999999999</v>
      </c>
      <c r="G60">
        <v>5.04997E-3</v>
      </c>
      <c r="H60">
        <v>0.51270632000000005</v>
      </c>
      <c r="I60">
        <v>0.51598120000000003</v>
      </c>
      <c r="J60">
        <v>-3.2748600000000001E-3</v>
      </c>
      <c r="K60">
        <v>25.76</v>
      </c>
      <c r="L60">
        <v>25.76</v>
      </c>
      <c r="M60">
        <v>0</v>
      </c>
      <c r="N60">
        <v>1.177368E-2</v>
      </c>
      <c r="O60">
        <v>6.0244140000000002E-2</v>
      </c>
      <c r="P60">
        <v>-4.847046E-2</v>
      </c>
      <c r="Q60">
        <v>-8.9828500000000006E-3</v>
      </c>
      <c r="R60">
        <v>1.6912839999999998E-2</v>
      </c>
      <c r="S60">
        <v>-2.5895689999999999E-2</v>
      </c>
      <c r="U60" s="15">
        <f t="shared" si="13"/>
        <v>-2.5249999999999995E-3</v>
      </c>
      <c r="V60" s="15">
        <f t="shared" si="14"/>
        <v>-1.63743999999999E-3</v>
      </c>
      <c r="W60" s="15"/>
      <c r="X60" s="15"/>
      <c r="Y60" s="16">
        <f t="shared" si="15"/>
        <v>1.177368E-2</v>
      </c>
      <c r="Z60" s="16">
        <f t="shared" si="16"/>
        <v>-8.9828500000000006E-3</v>
      </c>
      <c r="AA60" s="16">
        <f t="shared" si="17"/>
        <v>6.0244140000000002E-2</v>
      </c>
      <c r="AB60" s="16">
        <f t="shared" si="18"/>
        <v>1.6912839999999998E-2</v>
      </c>
      <c r="AC60" s="17">
        <f t="shared" si="19"/>
        <v>0.84853321901651213</v>
      </c>
      <c r="AD60" s="17">
        <f t="shared" si="20"/>
        <v>3.5875217742299794</v>
      </c>
      <c r="AE60" s="17">
        <f t="shared" si="21"/>
        <v>322.65780743929577</v>
      </c>
      <c r="AF60" s="17">
        <f t="shared" si="22"/>
        <v>322.22136373929578</v>
      </c>
    </row>
    <row r="61" spans="1:32" x14ac:dyDescent="0.25">
      <c r="A61" s="14">
        <v>59</v>
      </c>
      <c r="B61" t="s">
        <v>60</v>
      </c>
      <c r="C61">
        <v>220</v>
      </c>
      <c r="D61">
        <v>6</v>
      </c>
      <c r="E61">
        <v>-0.43085832000000002</v>
      </c>
      <c r="F61">
        <v>-0.4347666</v>
      </c>
      <c r="G61">
        <v>3.9082800000000001E-3</v>
      </c>
      <c r="H61">
        <v>0.50077503999999995</v>
      </c>
      <c r="I61">
        <v>0.50790840000000004</v>
      </c>
      <c r="J61">
        <v>-7.13336E-3</v>
      </c>
      <c r="K61">
        <v>26.03</v>
      </c>
      <c r="L61">
        <v>26.03</v>
      </c>
      <c r="M61">
        <v>0</v>
      </c>
      <c r="N61">
        <v>9.4055200000000005E-3</v>
      </c>
      <c r="O61">
        <v>6.204875E-2</v>
      </c>
      <c r="P61">
        <v>-5.2643229999999999E-2</v>
      </c>
      <c r="Q61">
        <v>-4.9003099999999997E-3</v>
      </c>
      <c r="R61">
        <v>1.244222E-2</v>
      </c>
      <c r="S61">
        <v>-1.7342529999999998E-2</v>
      </c>
      <c r="U61" s="15">
        <f t="shared" si="13"/>
        <v>-1.9541399999999931E-3</v>
      </c>
      <c r="V61" s="15">
        <f t="shared" si="14"/>
        <v>-3.5666800000000443E-3</v>
      </c>
      <c r="W61" s="15"/>
      <c r="X61" s="15"/>
      <c r="Y61" s="16">
        <f t="shared" si="15"/>
        <v>9.4055200000000005E-3</v>
      </c>
      <c r="Z61" s="16">
        <f t="shared" si="16"/>
        <v>-4.9003099999999997E-3</v>
      </c>
      <c r="AA61" s="16">
        <f t="shared" si="17"/>
        <v>6.204875E-2</v>
      </c>
      <c r="AB61" s="16">
        <f t="shared" si="18"/>
        <v>1.244222E-2</v>
      </c>
      <c r="AC61" s="17">
        <f t="shared" si="19"/>
        <v>0.60766236023096165</v>
      </c>
      <c r="AD61" s="17">
        <f t="shared" si="20"/>
        <v>3.6283268645746021</v>
      </c>
      <c r="AE61" s="17">
        <f t="shared" si="21"/>
        <v>332.48032297033467</v>
      </c>
      <c r="AF61" s="17">
        <f t="shared" si="22"/>
        <v>332.04555637033468</v>
      </c>
    </row>
    <row r="62" spans="1:32" x14ac:dyDescent="0.25">
      <c r="A62" s="14">
        <v>60</v>
      </c>
      <c r="B62" t="s">
        <v>60</v>
      </c>
      <c r="C62">
        <v>230</v>
      </c>
      <c r="D62">
        <v>6</v>
      </c>
      <c r="E62">
        <v>-0.43127500000000002</v>
      </c>
      <c r="F62">
        <v>-0.43428329999999998</v>
      </c>
      <c r="G62">
        <v>3.0082799999999999E-3</v>
      </c>
      <c r="H62">
        <v>0.52817510000000001</v>
      </c>
      <c r="I62">
        <v>0.54026664000000002</v>
      </c>
      <c r="J62">
        <v>-1.209152E-2</v>
      </c>
      <c r="K62">
        <v>25.44</v>
      </c>
      <c r="L62">
        <v>25.43</v>
      </c>
      <c r="M62">
        <v>0.01</v>
      </c>
      <c r="N62">
        <v>9.7208699999999995E-3</v>
      </c>
      <c r="O62">
        <v>6.3386219999999993E-2</v>
      </c>
      <c r="P62">
        <v>-5.3665360000000002E-2</v>
      </c>
      <c r="Q62">
        <v>3.0884E-4</v>
      </c>
      <c r="R62">
        <v>8.1884799999999997E-3</v>
      </c>
      <c r="S62">
        <v>-7.8796400000000003E-3</v>
      </c>
      <c r="U62" s="15">
        <f t="shared" si="13"/>
        <v>-1.5041499999999819E-3</v>
      </c>
      <c r="V62" s="15">
        <f t="shared" si="14"/>
        <v>-6.0457700000000059E-3</v>
      </c>
      <c r="W62" s="15"/>
      <c r="X62" s="15"/>
      <c r="Y62" s="16">
        <f t="shared" si="15"/>
        <v>9.7208699999999995E-3</v>
      </c>
      <c r="Z62" s="16">
        <f t="shared" si="16"/>
        <v>3.0884E-4</v>
      </c>
      <c r="AA62" s="16">
        <f t="shared" si="17"/>
        <v>6.3386219999999993E-2</v>
      </c>
      <c r="AB62" s="16">
        <f t="shared" si="18"/>
        <v>8.1884799999999997E-3</v>
      </c>
      <c r="AC62" s="17">
        <f t="shared" si="19"/>
        <v>0.55725463466745351</v>
      </c>
      <c r="AD62" s="17">
        <f t="shared" si="20"/>
        <v>3.6644394869935448</v>
      </c>
      <c r="AE62" s="17">
        <f t="shared" si="21"/>
        <v>1.8197217309071496</v>
      </c>
      <c r="AF62" s="17">
        <f t="shared" si="22"/>
        <v>1.3854384309071497</v>
      </c>
    </row>
    <row r="63" spans="1:32" x14ac:dyDescent="0.25">
      <c r="A63" s="14">
        <v>61</v>
      </c>
      <c r="B63" t="s">
        <v>60</v>
      </c>
      <c r="C63">
        <v>240</v>
      </c>
      <c r="D63">
        <v>5</v>
      </c>
      <c r="E63">
        <v>-0.43485000000000001</v>
      </c>
      <c r="F63">
        <v>-0.43265999999999999</v>
      </c>
      <c r="G63">
        <v>-2.1899599999999999E-3</v>
      </c>
      <c r="H63">
        <v>0.47644009999999998</v>
      </c>
      <c r="I63">
        <v>0.48377996000000001</v>
      </c>
      <c r="J63">
        <v>-7.3398600000000001E-3</v>
      </c>
      <c r="K63">
        <v>26.44</v>
      </c>
      <c r="L63">
        <v>26.4</v>
      </c>
      <c r="M63">
        <v>0.04</v>
      </c>
      <c r="N63">
        <v>7.9228500000000004E-3</v>
      </c>
      <c r="O63">
        <v>6.1734860000000003E-2</v>
      </c>
      <c r="P63">
        <v>-5.381201E-2</v>
      </c>
      <c r="Q63">
        <v>4.58203E-3</v>
      </c>
      <c r="R63">
        <v>2.9384799999999998E-3</v>
      </c>
      <c r="S63">
        <v>1.6435600000000001E-3</v>
      </c>
      <c r="U63" s="15">
        <f t="shared" si="13"/>
        <v>1.0950000000000126E-3</v>
      </c>
      <c r="V63" s="15">
        <f t="shared" si="14"/>
        <v>-3.6699300000000157E-3</v>
      </c>
      <c r="W63" s="15"/>
      <c r="X63" s="15"/>
      <c r="Y63" s="16">
        <f t="shared" si="15"/>
        <v>7.9228500000000004E-3</v>
      </c>
      <c r="Z63" s="16">
        <f t="shared" si="16"/>
        <v>4.58203E-3</v>
      </c>
      <c r="AA63" s="16">
        <f t="shared" si="17"/>
        <v>6.1734860000000003E-2</v>
      </c>
      <c r="AB63" s="16">
        <f t="shared" si="18"/>
        <v>2.9384799999999998E-3</v>
      </c>
      <c r="AC63" s="17">
        <f t="shared" si="19"/>
        <v>0.52440160595719565</v>
      </c>
      <c r="AD63" s="17">
        <f t="shared" si="20"/>
        <v>3.5434098674205288</v>
      </c>
      <c r="AE63" s="17">
        <f t="shared" si="21"/>
        <v>30.042127187497613</v>
      </c>
      <c r="AF63" s="17">
        <f t="shared" si="22"/>
        <v>29.609467187497614</v>
      </c>
    </row>
    <row r="64" spans="1:32" x14ac:dyDescent="0.25">
      <c r="A64" s="14">
        <v>62</v>
      </c>
      <c r="B64" t="s">
        <v>60</v>
      </c>
      <c r="C64">
        <v>250</v>
      </c>
      <c r="D64">
        <v>9</v>
      </c>
      <c r="E64">
        <v>-0.43893335999999999</v>
      </c>
      <c r="F64">
        <v>-0.43506107999999999</v>
      </c>
      <c r="G64">
        <v>-3.8723099999999999E-3</v>
      </c>
      <c r="H64">
        <v>0.53170010000000001</v>
      </c>
      <c r="I64">
        <v>0.53788875999999997</v>
      </c>
      <c r="J64">
        <v>-6.1886900000000002E-3</v>
      </c>
      <c r="K64">
        <v>25.36</v>
      </c>
      <c r="L64">
        <v>25.38</v>
      </c>
      <c r="M64">
        <v>-0.02</v>
      </c>
      <c r="N64">
        <v>1.00076E-2</v>
      </c>
      <c r="O64">
        <v>6.3939620000000003E-2</v>
      </c>
      <c r="P64">
        <v>-5.3932019999999997E-2</v>
      </c>
      <c r="Q64">
        <v>9.9565999999999995E-3</v>
      </c>
      <c r="R64">
        <v>-1.36502E-3</v>
      </c>
      <c r="S64">
        <v>1.1321609999999999E-2</v>
      </c>
      <c r="U64" s="15">
        <f t="shared" si="13"/>
        <v>1.9361400000000029E-3</v>
      </c>
      <c r="V64" s="15">
        <f t="shared" si="14"/>
        <v>-3.0943299999999785E-3</v>
      </c>
      <c r="W64" s="15"/>
      <c r="X64" s="15"/>
      <c r="Y64" s="16">
        <f t="shared" si="15"/>
        <v>1.00076E-2</v>
      </c>
      <c r="Z64" s="16">
        <f t="shared" si="16"/>
        <v>9.9565999999999995E-3</v>
      </c>
      <c r="AA64" s="16">
        <f t="shared" si="17"/>
        <v>6.3939620000000003E-2</v>
      </c>
      <c r="AB64" s="16">
        <f t="shared" si="18"/>
        <v>-1.36502E-3</v>
      </c>
      <c r="AC64" s="17">
        <f t="shared" si="19"/>
        <v>0.80886378149440952</v>
      </c>
      <c r="AD64" s="17">
        <f t="shared" si="20"/>
        <v>3.6668076374096015</v>
      </c>
      <c r="AE64" s="17">
        <f t="shared" si="21"/>
        <v>44.853634085070375</v>
      </c>
      <c r="AF64" s="17">
        <f t="shared" si="22"/>
        <v>44.418573005070378</v>
      </c>
    </row>
    <row r="65" spans="1:32" x14ac:dyDescent="0.25">
      <c r="A65" s="14">
        <v>63</v>
      </c>
      <c r="B65" t="s">
        <v>60</v>
      </c>
      <c r="C65">
        <v>260</v>
      </c>
      <c r="D65">
        <v>4</v>
      </c>
      <c r="E65">
        <v>-0.43873748000000001</v>
      </c>
      <c r="F65">
        <v>-0.43438749999999998</v>
      </c>
      <c r="G65">
        <v>-4.3499799999999998E-3</v>
      </c>
      <c r="H65">
        <v>0.49872495999999999</v>
      </c>
      <c r="I65">
        <v>0.51098748000000005</v>
      </c>
      <c r="J65">
        <v>-1.2262489999999999E-2</v>
      </c>
      <c r="K65">
        <v>25.99</v>
      </c>
      <c r="L65">
        <v>26</v>
      </c>
      <c r="M65">
        <v>-0.01</v>
      </c>
      <c r="N65">
        <v>9.5910600000000002E-3</v>
      </c>
      <c r="O65">
        <v>6.042053E-2</v>
      </c>
      <c r="P65">
        <v>-5.082946E-2</v>
      </c>
      <c r="Q65">
        <v>1.392822E-2</v>
      </c>
      <c r="R65">
        <v>-6.3147000000000003E-3</v>
      </c>
      <c r="S65">
        <v>2.0242920000000001E-2</v>
      </c>
      <c r="U65" s="15">
        <f t="shared" si="13"/>
        <v>2.1749900000000155E-3</v>
      </c>
      <c r="V65" s="15">
        <f t="shared" si="14"/>
        <v>-6.1312600000000272E-3</v>
      </c>
      <c r="W65" s="15"/>
      <c r="X65" s="15"/>
      <c r="Y65" s="16">
        <f t="shared" si="15"/>
        <v>9.5910600000000002E-3</v>
      </c>
      <c r="Z65" s="16">
        <f t="shared" si="16"/>
        <v>1.392822E-2</v>
      </c>
      <c r="AA65" s="16">
        <f t="shared" si="17"/>
        <v>6.042053E-2</v>
      </c>
      <c r="AB65" s="16">
        <f t="shared" si="18"/>
        <v>-6.3147000000000003E-3</v>
      </c>
      <c r="AC65" s="17">
        <f t="shared" si="19"/>
        <v>0.96897820514692534</v>
      </c>
      <c r="AD65" s="17">
        <f t="shared" si="20"/>
        <v>3.482841112519357</v>
      </c>
      <c r="AE65" s="17">
        <f t="shared" si="21"/>
        <v>55.448457179763921</v>
      </c>
      <c r="AF65" s="17">
        <f t="shared" si="22"/>
        <v>55.014069679763921</v>
      </c>
    </row>
    <row r="66" spans="1:32" x14ac:dyDescent="0.25">
      <c r="A66" s="14">
        <v>64</v>
      </c>
      <c r="B66" t="s">
        <v>60</v>
      </c>
      <c r="C66">
        <v>270</v>
      </c>
      <c r="D66">
        <v>7</v>
      </c>
      <c r="E66">
        <v>-0.43240708</v>
      </c>
      <c r="F66">
        <v>-0.43398569999999997</v>
      </c>
      <c r="G66">
        <v>1.5786299999999999E-3</v>
      </c>
      <c r="H66">
        <v>0.50589289999999998</v>
      </c>
      <c r="I66">
        <v>0.50674280000000005</v>
      </c>
      <c r="J66">
        <v>-8.499E-4</v>
      </c>
      <c r="K66">
        <v>25.96</v>
      </c>
      <c r="L66">
        <v>25.98</v>
      </c>
      <c r="M66">
        <v>-0.01</v>
      </c>
      <c r="N66">
        <v>1.239607E-2</v>
      </c>
      <c r="O66">
        <v>5.9283969999999998E-2</v>
      </c>
      <c r="P66">
        <v>-4.6887900000000003E-2</v>
      </c>
      <c r="Q66">
        <v>1.85805E-2</v>
      </c>
      <c r="R66">
        <v>-1.088623E-2</v>
      </c>
      <c r="S66">
        <v>2.946673E-2</v>
      </c>
      <c r="U66" s="15">
        <f t="shared" si="13"/>
        <v>-7.8930999999998752E-4</v>
      </c>
      <c r="V66" s="15">
        <f t="shared" si="14"/>
        <v>-4.2495000000003502E-4</v>
      </c>
      <c r="W66" s="15"/>
      <c r="X66" s="15"/>
      <c r="Y66" s="16">
        <f t="shared" si="15"/>
        <v>1.239607E-2</v>
      </c>
      <c r="Z66" s="16">
        <f t="shared" si="16"/>
        <v>1.85805E-2</v>
      </c>
      <c r="AA66" s="16">
        <f t="shared" si="17"/>
        <v>5.9283969999999998E-2</v>
      </c>
      <c r="AB66" s="16">
        <f t="shared" si="18"/>
        <v>-1.088623E-2</v>
      </c>
      <c r="AC66" s="17">
        <f t="shared" si="19"/>
        <v>1.2798657818987926</v>
      </c>
      <c r="AD66" s="17">
        <f t="shared" si="20"/>
        <v>3.4556088548748614</v>
      </c>
      <c r="AE66" s="17">
        <f t="shared" si="21"/>
        <v>56.290573879261224</v>
      </c>
      <c r="AF66" s="17">
        <f t="shared" si="22"/>
        <v>55.856588179261223</v>
      </c>
    </row>
    <row r="67" spans="1:32" x14ac:dyDescent="0.25">
      <c r="A67" s="14">
        <v>65</v>
      </c>
      <c r="B67" t="s">
        <v>60</v>
      </c>
      <c r="C67">
        <v>280</v>
      </c>
      <c r="D67">
        <v>7</v>
      </c>
      <c r="E67">
        <v>-0.44012143999999997</v>
      </c>
      <c r="F67">
        <v>-0.43401430000000002</v>
      </c>
      <c r="G67">
        <v>-6.1071500000000004E-3</v>
      </c>
      <c r="H67">
        <v>0.50644999999999996</v>
      </c>
      <c r="I67">
        <v>0.51568570000000002</v>
      </c>
      <c r="J67">
        <v>-9.2356799999999996E-3</v>
      </c>
      <c r="K67">
        <v>25.8</v>
      </c>
      <c r="L67">
        <v>25.79</v>
      </c>
      <c r="M67">
        <v>0.01</v>
      </c>
      <c r="N67">
        <v>1.5751600000000001E-2</v>
      </c>
      <c r="O67">
        <v>5.7057410000000003E-2</v>
      </c>
      <c r="P67">
        <v>-4.1305799999999997E-2</v>
      </c>
      <c r="Q67">
        <v>2.265207E-2</v>
      </c>
      <c r="R67">
        <v>-1.4233050000000001E-2</v>
      </c>
      <c r="S67">
        <v>3.688512E-2</v>
      </c>
      <c r="U67" s="15">
        <f t="shared" si="13"/>
        <v>3.0535699999999777E-3</v>
      </c>
      <c r="V67" s="15">
        <f t="shared" si="14"/>
        <v>-4.6178500000000344E-3</v>
      </c>
      <c r="W67" s="15"/>
      <c r="X67" s="15"/>
      <c r="Y67" s="16">
        <f t="shared" si="15"/>
        <v>1.5751600000000001E-2</v>
      </c>
      <c r="Z67" s="16">
        <f t="shared" si="16"/>
        <v>2.265207E-2</v>
      </c>
      <c r="AA67" s="16">
        <f t="shared" si="17"/>
        <v>5.7057410000000003E-2</v>
      </c>
      <c r="AB67" s="16">
        <f t="shared" si="18"/>
        <v>-1.4233050000000001E-2</v>
      </c>
      <c r="AC67" s="17">
        <f t="shared" si="19"/>
        <v>1.5810130714783315</v>
      </c>
      <c r="AD67" s="17">
        <f t="shared" si="20"/>
        <v>3.3712718511501749</v>
      </c>
      <c r="AE67" s="17">
        <f t="shared" si="21"/>
        <v>55.186355948662005</v>
      </c>
      <c r="AF67" s="17">
        <f t="shared" si="22"/>
        <v>54.752341648662004</v>
      </c>
    </row>
    <row r="68" spans="1:32" x14ac:dyDescent="0.25">
      <c r="A68" s="14">
        <v>66</v>
      </c>
      <c r="B68" t="s">
        <v>60</v>
      </c>
      <c r="C68">
        <v>290</v>
      </c>
      <c r="D68">
        <v>4</v>
      </c>
      <c r="E68">
        <v>-0.43868750000000001</v>
      </c>
      <c r="F68">
        <v>-0.43544996000000002</v>
      </c>
      <c r="G68">
        <v>-3.2375500000000001E-3</v>
      </c>
      <c r="H68">
        <v>0.54894995999999996</v>
      </c>
      <c r="I68">
        <v>0.55118750000000005</v>
      </c>
      <c r="J68">
        <v>-2.23756E-3</v>
      </c>
      <c r="K68">
        <v>25.27</v>
      </c>
      <c r="L68">
        <v>25.26</v>
      </c>
      <c r="M68">
        <v>0.01</v>
      </c>
      <c r="N68">
        <v>2.03418E-2</v>
      </c>
      <c r="O68">
        <v>5.4528809999999997E-2</v>
      </c>
      <c r="P68">
        <v>-3.4187009999999997E-2</v>
      </c>
      <c r="Q68">
        <v>2.580932E-2</v>
      </c>
      <c r="R68">
        <v>-1.7451169999999998E-2</v>
      </c>
      <c r="S68">
        <v>4.32605E-2</v>
      </c>
      <c r="U68" s="15">
        <f t="shared" si="13"/>
        <v>1.6187699999999916E-3</v>
      </c>
      <c r="V68" s="15">
        <f t="shared" si="14"/>
        <v>-1.1187700000000467E-3</v>
      </c>
      <c r="W68" s="15"/>
      <c r="X68" s="15"/>
      <c r="Y68" s="16">
        <f t="shared" si="15"/>
        <v>2.03418E-2</v>
      </c>
      <c r="Z68" s="16">
        <f t="shared" si="16"/>
        <v>2.580932E-2</v>
      </c>
      <c r="AA68" s="16">
        <f t="shared" si="17"/>
        <v>5.4528809999999997E-2</v>
      </c>
      <c r="AB68" s="16">
        <f t="shared" si="18"/>
        <v>-1.7451169999999998E-2</v>
      </c>
      <c r="AC68" s="17">
        <f t="shared" si="19"/>
        <v>1.8831918946450981</v>
      </c>
      <c r="AD68" s="17">
        <f t="shared" si="20"/>
        <v>3.2821642858193538</v>
      </c>
      <c r="AE68" s="17">
        <f t="shared" si="21"/>
        <v>51.756335811423504</v>
      </c>
      <c r="AF68" s="17">
        <f t="shared" si="22"/>
        <v>51.320885851423505</v>
      </c>
    </row>
    <row r="69" spans="1:32" x14ac:dyDescent="0.25">
      <c r="A69" s="14">
        <v>67</v>
      </c>
      <c r="B69" t="s">
        <v>60</v>
      </c>
      <c r="C69">
        <v>300</v>
      </c>
      <c r="D69">
        <v>10</v>
      </c>
      <c r="E69">
        <v>-0.43593492</v>
      </c>
      <c r="F69">
        <v>-0.43301995999999998</v>
      </c>
      <c r="G69">
        <v>-2.9149699999999998E-3</v>
      </c>
      <c r="H69">
        <v>0.5103299</v>
      </c>
      <c r="I69">
        <v>0.51792495999999999</v>
      </c>
      <c r="J69">
        <v>-7.5950599999999998E-3</v>
      </c>
      <c r="K69">
        <v>25.79</v>
      </c>
      <c r="L69">
        <v>25.8</v>
      </c>
      <c r="M69">
        <v>-0.01</v>
      </c>
      <c r="N69">
        <v>2.2998290000000001E-2</v>
      </c>
      <c r="O69">
        <v>4.9725350000000001E-2</v>
      </c>
      <c r="P69">
        <v>-2.672706E-2</v>
      </c>
      <c r="Q69">
        <v>2.8247560000000001E-2</v>
      </c>
      <c r="R69">
        <v>-2.0367429999999999E-2</v>
      </c>
      <c r="S69">
        <v>4.8614989999999997E-2</v>
      </c>
      <c r="U69" s="15">
        <f t="shared" si="13"/>
        <v>1.457480000000011E-3</v>
      </c>
      <c r="V69" s="15">
        <f t="shared" si="14"/>
        <v>-3.7975299999999934E-3</v>
      </c>
      <c r="W69" s="15"/>
      <c r="X69" s="15"/>
      <c r="Y69" s="16">
        <f t="shared" si="15"/>
        <v>2.2998290000000001E-2</v>
      </c>
      <c r="Z69" s="16">
        <f t="shared" si="16"/>
        <v>2.8247560000000001E-2</v>
      </c>
      <c r="AA69" s="16">
        <f t="shared" si="17"/>
        <v>4.9725350000000001E-2</v>
      </c>
      <c r="AB69" s="16">
        <f t="shared" si="18"/>
        <v>-2.0367429999999999E-2</v>
      </c>
      <c r="AC69" s="17">
        <f t="shared" si="19"/>
        <v>2.0875119843008534</v>
      </c>
      <c r="AD69" s="17">
        <f t="shared" si="20"/>
        <v>3.0802682311130876</v>
      </c>
      <c r="AE69" s="17">
        <f t="shared" si="21"/>
        <v>50.848584314569713</v>
      </c>
      <c r="AF69" s="17">
        <f t="shared" si="22"/>
        <v>50.41556435456971</v>
      </c>
    </row>
    <row r="70" spans="1:32" x14ac:dyDescent="0.25">
      <c r="A70" s="14">
        <v>68</v>
      </c>
      <c r="B70" t="s">
        <v>60</v>
      </c>
      <c r="C70">
        <v>310</v>
      </c>
      <c r="D70">
        <v>4</v>
      </c>
      <c r="E70">
        <v>-0.44551249999999998</v>
      </c>
      <c r="F70">
        <v>-0.43292503999999998</v>
      </c>
      <c r="G70">
        <v>-1.258746E-2</v>
      </c>
      <c r="H70">
        <v>0.49746240000000003</v>
      </c>
      <c r="I70">
        <v>0.49697503999999998</v>
      </c>
      <c r="J70">
        <v>4.8736E-4</v>
      </c>
      <c r="K70">
        <v>26.07</v>
      </c>
      <c r="L70">
        <v>26.09</v>
      </c>
      <c r="M70">
        <v>-0.02</v>
      </c>
      <c r="N70">
        <v>2.749878E-2</v>
      </c>
      <c r="O70">
        <v>4.4172360000000001E-2</v>
      </c>
      <c r="P70">
        <v>-1.667358E-2</v>
      </c>
      <c r="Q70">
        <v>2.981201E-2</v>
      </c>
      <c r="R70">
        <v>-2.233887E-2</v>
      </c>
      <c r="S70">
        <v>5.2150879999999997E-2</v>
      </c>
      <c r="U70" s="15">
        <f t="shared" si="13"/>
        <v>6.2937299999999974E-3</v>
      </c>
      <c r="V70" s="15">
        <f t="shared" si="14"/>
        <v>2.4368000000002388E-4</v>
      </c>
      <c r="W70" s="15"/>
      <c r="X70" s="15"/>
      <c r="Y70" s="16">
        <f t="shared" si="15"/>
        <v>2.749878E-2</v>
      </c>
      <c r="Z70" s="16">
        <f t="shared" si="16"/>
        <v>2.981201E-2</v>
      </c>
      <c r="AA70" s="16">
        <f t="shared" si="17"/>
        <v>4.4172360000000001E-2</v>
      </c>
      <c r="AB70" s="16">
        <f t="shared" si="18"/>
        <v>-2.233887E-2</v>
      </c>
      <c r="AC70" s="17">
        <f t="shared" si="19"/>
        <v>2.3244309354905903</v>
      </c>
      <c r="AD70" s="17">
        <f t="shared" si="20"/>
        <v>2.8372846393522773</v>
      </c>
      <c r="AE70" s="17">
        <f t="shared" si="21"/>
        <v>47.311369477895703</v>
      </c>
      <c r="AF70" s="17">
        <f t="shared" si="22"/>
        <v>46.878444437895702</v>
      </c>
    </row>
    <row r="71" spans="1:32" x14ac:dyDescent="0.25">
      <c r="A71" s="14">
        <v>69</v>
      </c>
      <c r="B71" t="s">
        <v>60</v>
      </c>
      <c r="C71">
        <v>320</v>
      </c>
      <c r="D71">
        <v>4</v>
      </c>
      <c r="E71">
        <v>-0.43388749999999998</v>
      </c>
      <c r="F71">
        <v>-0.43477500000000002</v>
      </c>
      <c r="G71">
        <v>8.8747999999999995E-4</v>
      </c>
      <c r="H71">
        <v>0.52802503999999995</v>
      </c>
      <c r="I71">
        <v>0.52982499999999999</v>
      </c>
      <c r="J71">
        <v>-1.7999400000000001E-3</v>
      </c>
      <c r="K71">
        <v>25.49</v>
      </c>
      <c r="L71">
        <v>25.48</v>
      </c>
      <c r="M71">
        <v>0</v>
      </c>
      <c r="N71">
        <v>3.2564089999999997E-2</v>
      </c>
      <c r="O71">
        <v>4.010681E-2</v>
      </c>
      <c r="P71">
        <v>-7.5427200000000002E-3</v>
      </c>
      <c r="Q71">
        <v>3.1455690000000001E-2</v>
      </c>
      <c r="R71">
        <v>-2.2886960000000001E-2</v>
      </c>
      <c r="S71">
        <v>5.4342649999999999E-2</v>
      </c>
      <c r="U71" s="15">
        <f t="shared" si="13"/>
        <v>-4.4375000000002052E-4</v>
      </c>
      <c r="V71" s="15">
        <f t="shared" si="14"/>
        <v>-8.9998000000002243E-4</v>
      </c>
      <c r="W71" s="15"/>
      <c r="X71" s="15"/>
      <c r="Y71" s="16">
        <f t="shared" si="15"/>
        <v>3.2564089999999997E-2</v>
      </c>
      <c r="Z71" s="16">
        <f t="shared" si="16"/>
        <v>3.1455690000000001E-2</v>
      </c>
      <c r="AA71" s="16">
        <f t="shared" si="17"/>
        <v>4.010681E-2</v>
      </c>
      <c r="AB71" s="16">
        <f t="shared" si="18"/>
        <v>-2.2886960000000001E-2</v>
      </c>
      <c r="AC71" s="17">
        <f t="shared" si="19"/>
        <v>2.5949881551952076</v>
      </c>
      <c r="AD71" s="17">
        <f t="shared" si="20"/>
        <v>2.6467217985599154</v>
      </c>
      <c r="AE71" s="17">
        <f t="shared" si="21"/>
        <v>44.00811440306201</v>
      </c>
      <c r="AF71" s="17">
        <f t="shared" si="22"/>
        <v>43.573339403062008</v>
      </c>
    </row>
    <row r="72" spans="1:32" x14ac:dyDescent="0.25">
      <c r="A72" s="14">
        <v>70</v>
      </c>
      <c r="B72" t="s">
        <v>60</v>
      </c>
      <c r="C72">
        <v>330</v>
      </c>
      <c r="D72">
        <v>9</v>
      </c>
      <c r="E72">
        <v>-0.44082776000000001</v>
      </c>
      <c r="F72">
        <v>-0.42836116000000002</v>
      </c>
      <c r="G72">
        <v>-1.2466609999999999E-2</v>
      </c>
      <c r="H72">
        <v>0.49939435999999998</v>
      </c>
      <c r="I72">
        <v>0.49847780000000003</v>
      </c>
      <c r="J72">
        <v>9.1657000000000001E-4</v>
      </c>
      <c r="K72">
        <v>26.06</v>
      </c>
      <c r="L72">
        <v>26.06</v>
      </c>
      <c r="M72">
        <v>0</v>
      </c>
      <c r="N72">
        <v>3.693983E-2</v>
      </c>
      <c r="O72">
        <v>3.520562E-2</v>
      </c>
      <c r="P72">
        <v>1.7342099999999999E-3</v>
      </c>
      <c r="Q72">
        <v>3.1343320000000001E-2</v>
      </c>
      <c r="R72">
        <v>-2.361518E-2</v>
      </c>
      <c r="S72">
        <v>5.4958489999999999E-2</v>
      </c>
      <c r="U72" s="15">
        <f t="shared" si="13"/>
        <v>6.2332999999999972E-3</v>
      </c>
      <c r="V72" s="15">
        <f t="shared" si="14"/>
        <v>4.5827999999997759E-4</v>
      </c>
      <c r="W72" s="15"/>
      <c r="X72" s="15"/>
      <c r="Y72" s="16">
        <f t="shared" si="15"/>
        <v>3.693983E-2</v>
      </c>
      <c r="Z72" s="16">
        <f t="shared" si="16"/>
        <v>3.1343320000000001E-2</v>
      </c>
      <c r="AA72" s="16">
        <f t="shared" si="17"/>
        <v>3.520562E-2</v>
      </c>
      <c r="AB72" s="16">
        <f t="shared" si="18"/>
        <v>-2.361518E-2</v>
      </c>
      <c r="AC72" s="17">
        <f t="shared" si="19"/>
        <v>2.776802649987002</v>
      </c>
      <c r="AD72" s="17">
        <f t="shared" si="20"/>
        <v>2.429631551083943</v>
      </c>
      <c r="AE72" s="17">
        <f t="shared" si="21"/>
        <v>40.314491491633291</v>
      </c>
      <c r="AF72" s="17">
        <f t="shared" si="22"/>
        <v>39.886130331633289</v>
      </c>
    </row>
    <row r="73" spans="1:32" x14ac:dyDescent="0.25">
      <c r="A73" s="14">
        <v>71</v>
      </c>
      <c r="B73" t="s">
        <v>60</v>
      </c>
      <c r="C73">
        <v>340</v>
      </c>
      <c r="D73">
        <v>8</v>
      </c>
      <c r="E73">
        <v>-0.4397875</v>
      </c>
      <c r="F73">
        <v>-0.42932490000000001</v>
      </c>
      <c r="G73">
        <v>-1.0462610000000001E-2</v>
      </c>
      <c r="H73">
        <v>0.51063124000000004</v>
      </c>
      <c r="I73">
        <v>0.51504375999999996</v>
      </c>
      <c r="J73">
        <v>-4.4124699999999999E-3</v>
      </c>
      <c r="K73">
        <v>25.89</v>
      </c>
      <c r="L73">
        <v>25.89</v>
      </c>
      <c r="M73">
        <v>0</v>
      </c>
      <c r="N73">
        <v>4.1446230000000001E-2</v>
      </c>
      <c r="O73">
        <v>3.118195E-2</v>
      </c>
      <c r="P73">
        <v>1.0264280000000001E-2</v>
      </c>
      <c r="Q73">
        <v>3.084686E-2</v>
      </c>
      <c r="R73">
        <v>-2.289795E-2</v>
      </c>
      <c r="S73">
        <v>5.3744819999999999E-2</v>
      </c>
      <c r="U73" s="15">
        <f t="shared" si="13"/>
        <v>5.2312999999999943E-3</v>
      </c>
      <c r="V73" s="15">
        <f t="shared" si="14"/>
        <v>-2.2062599999999599E-3</v>
      </c>
      <c r="W73" s="15"/>
      <c r="X73" s="15"/>
      <c r="Y73" s="16">
        <f t="shared" si="15"/>
        <v>4.1446230000000001E-2</v>
      </c>
      <c r="Z73" s="16">
        <f t="shared" si="16"/>
        <v>3.084686E-2</v>
      </c>
      <c r="AA73" s="16">
        <f t="shared" si="17"/>
        <v>3.118195E-2</v>
      </c>
      <c r="AB73" s="16">
        <f t="shared" si="18"/>
        <v>-2.289795E-2</v>
      </c>
      <c r="AC73" s="17">
        <f t="shared" si="19"/>
        <v>2.9615307907136952</v>
      </c>
      <c r="AD73" s="17">
        <f t="shared" si="20"/>
        <v>2.2171152145117943</v>
      </c>
      <c r="AE73" s="17">
        <f t="shared" si="21"/>
        <v>36.658914355712739</v>
      </c>
      <c r="AF73" s="17">
        <f t="shared" si="22"/>
        <v>36.229589455712741</v>
      </c>
    </row>
    <row r="74" spans="1:32" x14ac:dyDescent="0.25">
      <c r="A74" s="14">
        <v>72</v>
      </c>
      <c r="B74" t="s">
        <v>60</v>
      </c>
      <c r="C74">
        <v>350</v>
      </c>
      <c r="D74">
        <v>7</v>
      </c>
      <c r="E74">
        <v>-0.43689284</v>
      </c>
      <c r="F74">
        <v>-0.43194287999999997</v>
      </c>
      <c r="G74">
        <v>-4.9499599999999998E-3</v>
      </c>
      <c r="H74">
        <v>0.50312144000000003</v>
      </c>
      <c r="I74">
        <v>0.50334279999999998</v>
      </c>
      <c r="J74">
        <v>-2.2137E-4</v>
      </c>
      <c r="K74">
        <v>25.97</v>
      </c>
      <c r="L74">
        <v>25.97</v>
      </c>
      <c r="M74">
        <v>0</v>
      </c>
      <c r="N74">
        <v>4.594343E-2</v>
      </c>
      <c r="O74">
        <v>2.6107350000000001E-2</v>
      </c>
      <c r="P74">
        <v>1.9836079999999999E-2</v>
      </c>
      <c r="Q74">
        <v>2.922015E-2</v>
      </c>
      <c r="R74">
        <v>-2.1712120000000001E-2</v>
      </c>
      <c r="S74">
        <v>5.0932270000000002E-2</v>
      </c>
      <c r="U74" s="15">
        <f t="shared" si="13"/>
        <v>2.4749800000000155E-3</v>
      </c>
      <c r="V74" s="15">
        <f t="shared" si="14"/>
        <v>-1.1067999999997413E-4</v>
      </c>
      <c r="W74" s="15"/>
      <c r="X74" s="15"/>
      <c r="Y74" s="16">
        <f t="shared" si="15"/>
        <v>4.594343E-2</v>
      </c>
      <c r="Z74" s="16">
        <f t="shared" si="16"/>
        <v>2.922015E-2</v>
      </c>
      <c r="AA74" s="16">
        <f t="shared" si="17"/>
        <v>2.6107350000000001E-2</v>
      </c>
      <c r="AB74" s="16">
        <f t="shared" si="18"/>
        <v>-2.1712120000000001E-2</v>
      </c>
      <c r="AC74" s="17">
        <f t="shared" si="19"/>
        <v>3.1212005213249823</v>
      </c>
      <c r="AD74" s="17">
        <f t="shared" si="20"/>
        <v>1.9459095053678956</v>
      </c>
      <c r="AE74" s="17">
        <f t="shared" si="21"/>
        <v>32.456474469012313</v>
      </c>
      <c r="AF74" s="17">
        <f t="shared" si="22"/>
        <v>32.024531589012312</v>
      </c>
    </row>
    <row r="77" spans="1:32" x14ac:dyDescent="0.25">
      <c r="A77">
        <v>1</v>
      </c>
      <c r="C77" s="14">
        <v>0</v>
      </c>
      <c r="K77">
        <f>(K3+K39)/2</f>
        <v>26.299999999999997</v>
      </c>
      <c r="L77">
        <f>(L3+L39)/2</f>
        <v>26.29</v>
      </c>
      <c r="M77">
        <f>K77-L77</f>
        <v>9.9999999999980105E-3</v>
      </c>
      <c r="U77">
        <f>(U3+U39)/2</f>
        <v>2.2475250000000002E-3</v>
      </c>
      <c r="V77">
        <f>(V3+V39)/2</f>
        <v>2.4068499999999743E-3</v>
      </c>
      <c r="AC77">
        <f>(AC3+AC39)/2</f>
        <v>3.2333763463091696</v>
      </c>
      <c r="AD77">
        <f>(AD3+AD39)/2</f>
        <v>1.6232249804681786</v>
      </c>
    </row>
    <row r="78" spans="1:32" x14ac:dyDescent="0.25">
      <c r="A78">
        <v>2</v>
      </c>
      <c r="C78" s="14">
        <v>10</v>
      </c>
      <c r="K78">
        <f t="shared" ref="K78:L78" si="23">(K4+K40)/2</f>
        <v>25.950000000000003</v>
      </c>
      <c r="L78">
        <f t="shared" si="23"/>
        <v>25.92</v>
      </c>
      <c r="M78">
        <f t="shared" ref="M78:M112" si="24">K78-L78</f>
        <v>3.0000000000001137E-2</v>
      </c>
      <c r="U78">
        <f t="shared" ref="U78:V78" si="25">(U4+U40)/2</f>
        <v>3.2187699999999958E-3</v>
      </c>
      <c r="V78">
        <f t="shared" si="25"/>
        <v>1.958125000000005E-3</v>
      </c>
      <c r="AC78">
        <f t="shared" ref="AC78:AD78" si="26">(AC4+AC40)/2</f>
        <v>3.3800305889276716</v>
      </c>
      <c r="AD78">
        <f t="shared" si="26"/>
        <v>1.3943757680178488</v>
      </c>
    </row>
    <row r="79" spans="1:32" x14ac:dyDescent="0.25">
      <c r="A79">
        <v>3</v>
      </c>
      <c r="C79" s="14">
        <v>20</v>
      </c>
      <c r="K79">
        <f t="shared" ref="K79:L79" si="27">(K5+K41)/2</f>
        <v>25.9</v>
      </c>
      <c r="L79">
        <f t="shared" si="27"/>
        <v>25.895000000000003</v>
      </c>
      <c r="M79">
        <f t="shared" si="24"/>
        <v>4.9999999999954525E-3</v>
      </c>
      <c r="U79">
        <f t="shared" ref="U79:V79" si="28">(U5+U41)/2</f>
        <v>2.029160000000016E-3</v>
      </c>
      <c r="V79">
        <f t="shared" si="28"/>
        <v>1.6666850000000011E-3</v>
      </c>
      <c r="AC79">
        <f t="shared" ref="AC79:AD79" si="29">(AC5+AC41)/2</f>
        <v>3.520926272793893</v>
      </c>
      <c r="AD79">
        <f t="shared" si="29"/>
        <v>1.1279559609605956</v>
      </c>
    </row>
    <row r="80" spans="1:32" x14ac:dyDescent="0.25">
      <c r="A80">
        <v>4</v>
      </c>
      <c r="C80" s="14">
        <v>30</v>
      </c>
      <c r="K80">
        <f t="shared" ref="K80:L80" si="30">(K6+K42)/2</f>
        <v>25.79</v>
      </c>
      <c r="L80">
        <f t="shared" si="30"/>
        <v>25.78</v>
      </c>
      <c r="M80">
        <f t="shared" si="24"/>
        <v>9.9999999999980105E-3</v>
      </c>
      <c r="U80">
        <f t="shared" ref="U80:V80" si="31">(U6+U42)/2</f>
        <v>2.9039800000000004E-3</v>
      </c>
      <c r="V80">
        <f t="shared" si="31"/>
        <v>4.6757650000000262E-3</v>
      </c>
      <c r="AC80">
        <f t="shared" ref="AC80:AD80" si="32">(AC6+AC42)/2</f>
        <v>3.57004720184033</v>
      </c>
      <c r="AD80">
        <f t="shared" si="32"/>
        <v>0.85119108049064152</v>
      </c>
    </row>
    <row r="81" spans="1:30" x14ac:dyDescent="0.25">
      <c r="A81">
        <v>5</v>
      </c>
      <c r="C81" s="14">
        <v>40</v>
      </c>
      <c r="K81">
        <f t="shared" ref="K81:L81" si="33">(K7+K43)/2</f>
        <v>25.939999999999998</v>
      </c>
      <c r="L81">
        <f t="shared" si="33"/>
        <v>25.945</v>
      </c>
      <c r="M81">
        <f t="shared" si="24"/>
        <v>-5.000000000002558E-3</v>
      </c>
      <c r="U81">
        <f t="shared" ref="U81:V81" si="34">(U7+U43)/2</f>
        <v>3.4752799999999973E-3</v>
      </c>
      <c r="V81">
        <f t="shared" si="34"/>
        <v>2.5746549999999813E-3</v>
      </c>
      <c r="AC81">
        <f t="shared" ref="AC81:AD81" si="35">(AC7+AC43)/2</f>
        <v>3.5982518564136408</v>
      </c>
      <c r="AD81">
        <f t="shared" si="35"/>
        <v>0.63197329412897618</v>
      </c>
    </row>
    <row r="82" spans="1:30" x14ac:dyDescent="0.25">
      <c r="A82">
        <v>6</v>
      </c>
      <c r="C82" s="14">
        <v>50</v>
      </c>
      <c r="K82">
        <f t="shared" ref="K82:L82" si="36">(K8+K44)/2</f>
        <v>25.925000000000001</v>
      </c>
      <c r="L82">
        <f t="shared" si="36"/>
        <v>25.93</v>
      </c>
      <c r="M82">
        <f t="shared" si="24"/>
        <v>-4.9999999999990052E-3</v>
      </c>
      <c r="U82">
        <f t="shared" ref="U82:V82" si="37">(U8+U44)/2</f>
        <v>1.7062350000000004E-3</v>
      </c>
      <c r="V82">
        <f t="shared" si="37"/>
        <v>3.2728950000000118E-3</v>
      </c>
      <c r="AC82">
        <f t="shared" ref="AC82:AD82" si="38">(AC8+AC44)/2</f>
        <v>3.5968346748847444</v>
      </c>
      <c r="AD82">
        <f t="shared" si="38"/>
        <v>0.50840223958225161</v>
      </c>
    </row>
    <row r="83" spans="1:30" x14ac:dyDescent="0.25">
      <c r="A83">
        <v>7</v>
      </c>
      <c r="C83" s="14">
        <v>60</v>
      </c>
      <c r="K83">
        <f t="shared" ref="K83:L83" si="39">(K9+K45)/2</f>
        <v>25.700000000000003</v>
      </c>
      <c r="L83">
        <f t="shared" si="39"/>
        <v>25.695</v>
      </c>
      <c r="M83">
        <f t="shared" si="24"/>
        <v>5.000000000002558E-3</v>
      </c>
      <c r="U83">
        <f t="shared" ref="U83:V83" si="40">(U9+U45)/2</f>
        <v>4.2944250000000045E-3</v>
      </c>
      <c r="V83">
        <f t="shared" si="40"/>
        <v>5.6472549999999899E-3</v>
      </c>
      <c r="AC83">
        <f t="shared" ref="AC83:AD83" si="41">(AC9+AC45)/2</f>
        <v>3.6263990469882064</v>
      </c>
      <c r="AD83">
        <f t="shared" si="41"/>
        <v>0.56159507959645127</v>
      </c>
    </row>
    <row r="84" spans="1:30" x14ac:dyDescent="0.25">
      <c r="A84">
        <v>8</v>
      </c>
      <c r="C84" s="14">
        <v>70</v>
      </c>
      <c r="K84">
        <f t="shared" ref="K84:L84" si="42">(K10+K46)/2</f>
        <v>26.03</v>
      </c>
      <c r="L84">
        <f t="shared" si="42"/>
        <v>26</v>
      </c>
      <c r="M84">
        <f t="shared" si="24"/>
        <v>3.0000000000001137E-2</v>
      </c>
      <c r="U84">
        <f t="shared" ref="U84:V84" si="43">(U10+U46)/2</f>
        <v>-1.3281499999999447E-4</v>
      </c>
      <c r="V84">
        <f t="shared" si="43"/>
        <v>5.0734399999999985E-3</v>
      </c>
      <c r="AC84">
        <f t="shared" ref="AC84:AD84" si="44">(AC10+AC46)/2</f>
        <v>3.527777765105625</v>
      </c>
      <c r="AD84">
        <f t="shared" si="44"/>
        <v>0.77095421815318033</v>
      </c>
    </row>
    <row r="85" spans="1:30" x14ac:dyDescent="0.25">
      <c r="A85">
        <v>9</v>
      </c>
      <c r="C85" s="14">
        <v>80</v>
      </c>
      <c r="K85">
        <f t="shared" ref="K85:L85" si="45">(K11+K47)/2</f>
        <v>25.954999999999998</v>
      </c>
      <c r="L85">
        <f t="shared" si="45"/>
        <v>25.975000000000001</v>
      </c>
      <c r="M85">
        <f t="shared" si="24"/>
        <v>-2.0000000000003126E-2</v>
      </c>
      <c r="U85">
        <f t="shared" ref="U85:V85" si="46">(U11+U47)/2</f>
        <v>-1.2228649999999897E-3</v>
      </c>
      <c r="V85">
        <f t="shared" si="46"/>
        <v>4.6318150000000113E-3</v>
      </c>
      <c r="AC85">
        <f t="shared" ref="AC85:AD85" si="47">(AC11+AC47)/2</f>
        <v>3.4862966031654885</v>
      </c>
      <c r="AD85">
        <f t="shared" si="47"/>
        <v>1.0074007610634887</v>
      </c>
    </row>
    <row r="86" spans="1:30" x14ac:dyDescent="0.25">
      <c r="A86">
        <v>10</v>
      </c>
      <c r="C86" s="14">
        <v>90</v>
      </c>
      <c r="K86">
        <f t="shared" ref="K86:L86" si="48">(K12+K48)/2</f>
        <v>25.94</v>
      </c>
      <c r="L86">
        <f t="shared" si="48"/>
        <v>25.94</v>
      </c>
      <c r="M86">
        <f t="shared" si="24"/>
        <v>0</v>
      </c>
      <c r="U86">
        <f t="shared" ref="U86:V86" si="49">(U12+U48)/2</f>
        <v>-1.8016599999999966E-3</v>
      </c>
      <c r="V86">
        <f t="shared" si="49"/>
        <v>2.7724899999999886E-3</v>
      </c>
      <c r="AC86">
        <f t="shared" ref="AC86:AD86" si="50">(AC12+AC48)/2</f>
        <v>3.4074766027594316</v>
      </c>
      <c r="AD86">
        <f t="shared" si="50"/>
        <v>1.2805684829857749</v>
      </c>
    </row>
    <row r="87" spans="1:30" x14ac:dyDescent="0.25">
      <c r="A87">
        <v>11</v>
      </c>
      <c r="C87" s="14">
        <v>100</v>
      </c>
      <c r="K87">
        <f t="shared" ref="K87:L87" si="51">(K13+K49)/2</f>
        <v>26.04</v>
      </c>
      <c r="L87">
        <f t="shared" si="51"/>
        <v>26.05</v>
      </c>
      <c r="M87">
        <f t="shared" si="24"/>
        <v>-1.0000000000001563E-2</v>
      </c>
      <c r="U87">
        <f t="shared" ref="U87:V87" si="52">(U13+U49)/2</f>
        <v>-7.2438000000001057E-4</v>
      </c>
      <c r="V87">
        <f t="shared" si="52"/>
        <v>2.8449999999999726E-3</v>
      </c>
      <c r="AC87">
        <f t="shared" ref="AC87:AD87" si="53">(AC13+AC49)/2</f>
        <v>3.3049513016424386</v>
      </c>
      <c r="AD87">
        <f t="shared" si="53"/>
        <v>1.5404991799601819</v>
      </c>
    </row>
    <row r="88" spans="1:30" x14ac:dyDescent="0.25">
      <c r="A88">
        <v>12</v>
      </c>
      <c r="C88" s="14">
        <v>110</v>
      </c>
      <c r="K88">
        <f t="shared" ref="K88:L88" si="54">(K14+K50)/2</f>
        <v>25.835000000000001</v>
      </c>
      <c r="L88">
        <f t="shared" si="54"/>
        <v>25.844999999999999</v>
      </c>
      <c r="M88">
        <f t="shared" si="24"/>
        <v>-9.9999999999980105E-3</v>
      </c>
      <c r="U88">
        <f t="shared" ref="U88:V88" si="55">(U14+U50)/2</f>
        <v>-1.8708800000000053E-3</v>
      </c>
      <c r="V88">
        <f t="shared" si="55"/>
        <v>3.0770750000000263E-3</v>
      </c>
      <c r="AC88">
        <f t="shared" ref="AC88:AD88" si="56">(AC14+AC50)/2</f>
        <v>3.1984314353669494</v>
      </c>
      <c r="AD88">
        <f t="shared" si="56"/>
        <v>1.8035852199404463</v>
      </c>
    </row>
    <row r="89" spans="1:30" x14ac:dyDescent="0.25">
      <c r="A89">
        <v>13</v>
      </c>
      <c r="C89" s="14">
        <v>120</v>
      </c>
      <c r="K89">
        <f t="shared" ref="K89:L89" si="57">(K15+K51)/2</f>
        <v>25.884999999999998</v>
      </c>
      <c r="L89">
        <f t="shared" si="57"/>
        <v>25.884999999999998</v>
      </c>
      <c r="M89">
        <f t="shared" si="24"/>
        <v>0</v>
      </c>
      <c r="U89">
        <f t="shared" ref="U89:V89" si="58">(U15+U51)/2</f>
        <v>-3.0071600000000087E-3</v>
      </c>
      <c r="V89">
        <f t="shared" si="58"/>
        <v>3.7338849999999923E-3</v>
      </c>
      <c r="AC89">
        <f t="shared" ref="AC89:AD89" si="59">(AC15+AC51)/2</f>
        <v>3.0127834510325671</v>
      </c>
      <c r="AD89">
        <f t="shared" si="59"/>
        <v>2.0939827285158437</v>
      </c>
    </row>
    <row r="90" spans="1:30" x14ac:dyDescent="0.25">
      <c r="A90">
        <v>14</v>
      </c>
      <c r="C90" s="14">
        <v>130</v>
      </c>
      <c r="K90">
        <f t="shared" ref="K90:L90" si="60">(K16+K52)/2</f>
        <v>25.704999999999998</v>
      </c>
      <c r="L90">
        <f t="shared" si="60"/>
        <v>25.715</v>
      </c>
      <c r="M90">
        <f t="shared" si="24"/>
        <v>-1.0000000000001563E-2</v>
      </c>
      <c r="U90">
        <f t="shared" ref="U90:V90" si="61">(U16+U52)/2</f>
        <v>8.9583000000001412E-4</v>
      </c>
      <c r="V90">
        <f t="shared" si="61"/>
        <v>2.4061900000000025E-3</v>
      </c>
      <c r="AC90">
        <f t="shared" ref="AC90:AD90" si="62">(AC16+AC52)/2</f>
        <v>2.8251099338322692</v>
      </c>
      <c r="AD90">
        <f t="shared" si="62"/>
        <v>2.3568570284155497</v>
      </c>
    </row>
    <row r="91" spans="1:30" x14ac:dyDescent="0.25">
      <c r="A91">
        <v>15</v>
      </c>
      <c r="C91" s="14">
        <v>140</v>
      </c>
      <c r="K91">
        <f t="shared" ref="K91:L91" si="63">(K17+K53)/2</f>
        <v>26.145</v>
      </c>
      <c r="L91">
        <f t="shared" si="63"/>
        <v>26.18</v>
      </c>
      <c r="M91">
        <f t="shared" si="24"/>
        <v>-3.5000000000000142E-2</v>
      </c>
      <c r="U91">
        <f t="shared" ref="U91:V91" si="64">(U17+U53)/2</f>
        <v>-2.3906350000000021E-3</v>
      </c>
      <c r="V91">
        <f t="shared" si="64"/>
        <v>2.5000199999999917E-3</v>
      </c>
      <c r="AC91">
        <f t="shared" ref="AC91:AD91" si="65">(AC17+AC53)/2</f>
        <v>2.5982520236474373</v>
      </c>
      <c r="AD91">
        <f t="shared" si="65"/>
        <v>2.5441665717256052</v>
      </c>
    </row>
    <row r="92" spans="1:30" x14ac:dyDescent="0.25">
      <c r="A92">
        <v>16</v>
      </c>
      <c r="C92" s="14">
        <v>150</v>
      </c>
      <c r="K92">
        <f t="shared" ref="K92:L92" si="66">(K18+K54)/2</f>
        <v>25.645</v>
      </c>
      <c r="L92">
        <f t="shared" si="66"/>
        <v>25.645</v>
      </c>
      <c r="M92">
        <f t="shared" si="24"/>
        <v>0</v>
      </c>
      <c r="U92">
        <f t="shared" ref="U92:V92" si="67">(U18+U54)/2</f>
        <v>-4.0825099999999975E-3</v>
      </c>
      <c r="V92">
        <f t="shared" si="67"/>
        <v>1.144985000000015E-3</v>
      </c>
      <c r="AC92">
        <f t="shared" ref="AC92:AD92" si="68">(AC18+AC54)/2</f>
        <v>2.3962614669844062</v>
      </c>
      <c r="AD92">
        <f t="shared" si="68"/>
        <v>2.8150571953001737</v>
      </c>
    </row>
    <row r="93" spans="1:30" x14ac:dyDescent="0.25">
      <c r="A93">
        <v>17</v>
      </c>
      <c r="C93" s="14">
        <v>160</v>
      </c>
      <c r="K93">
        <f t="shared" ref="K93:L93" si="69">(K19+K55)/2</f>
        <v>26.174999999999997</v>
      </c>
      <c r="L93">
        <f t="shared" si="69"/>
        <v>26.175000000000001</v>
      </c>
      <c r="M93">
        <f t="shared" si="24"/>
        <v>0</v>
      </c>
      <c r="U93">
        <f t="shared" ref="U93:V93" si="70">(U19+U55)/2</f>
        <v>-3.3830349999999926E-3</v>
      </c>
      <c r="V93">
        <f t="shared" si="70"/>
        <v>-2.5596599999999775E-3</v>
      </c>
      <c r="AC93">
        <f t="shared" ref="AC93:AD93" si="71">(AC19+AC55)/2</f>
        <v>2.1563398337902013</v>
      </c>
      <c r="AD93">
        <f t="shared" si="71"/>
        <v>2.9521603884354093</v>
      </c>
    </row>
    <row r="94" spans="1:30" x14ac:dyDescent="0.25">
      <c r="A94">
        <v>18</v>
      </c>
      <c r="C94" s="14">
        <v>170</v>
      </c>
      <c r="K94">
        <f t="shared" ref="K94:L94" si="72">(K20+K56)/2</f>
        <v>26</v>
      </c>
      <c r="L94">
        <f t="shared" si="72"/>
        <v>26.004999999999999</v>
      </c>
      <c r="M94">
        <f t="shared" si="24"/>
        <v>-4.9999999999990052E-3</v>
      </c>
      <c r="U94">
        <f t="shared" ref="U94:V94" si="73">(U20+U56)/2</f>
        <v>-4.5930300000000118E-3</v>
      </c>
      <c r="V94">
        <f t="shared" si="73"/>
        <v>5.2156999999999898E-4</v>
      </c>
      <c r="AC94">
        <f t="shared" ref="AC94:AD94" si="74">(AC20+AC56)/2</f>
        <v>1.9020868892085978</v>
      </c>
      <c r="AD94">
        <f t="shared" si="74"/>
        <v>3.1463367613438242</v>
      </c>
    </row>
    <row r="95" spans="1:30" x14ac:dyDescent="0.25">
      <c r="A95">
        <v>19</v>
      </c>
      <c r="C95" s="14">
        <v>180</v>
      </c>
      <c r="K95">
        <f t="shared" ref="K95:L95" si="75">(K21+K57)/2</f>
        <v>25.954999999999998</v>
      </c>
      <c r="L95">
        <f t="shared" si="75"/>
        <v>25.945</v>
      </c>
      <c r="M95">
        <f t="shared" si="24"/>
        <v>9.9999999999980105E-3</v>
      </c>
      <c r="U95">
        <f t="shared" ref="U95:V95" si="76">(U21+U57)/2</f>
        <v>-4.4467250000000125E-3</v>
      </c>
      <c r="V95">
        <f t="shared" si="76"/>
        <v>-1.2098149999999752E-3</v>
      </c>
      <c r="AC95">
        <f t="shared" ref="AC95:AD95" si="77">(AC21+AC57)/2</f>
        <v>1.6217009695831641</v>
      </c>
      <c r="AD95">
        <f t="shared" si="77"/>
        <v>3.2808357243206592</v>
      </c>
    </row>
    <row r="96" spans="1:30" x14ac:dyDescent="0.25">
      <c r="A96">
        <v>20</v>
      </c>
      <c r="C96" s="14">
        <v>190</v>
      </c>
      <c r="K96">
        <f t="shared" ref="K96:L96" si="78">(K22+K58)/2</f>
        <v>25.82</v>
      </c>
      <c r="L96">
        <f t="shared" si="78"/>
        <v>25.824999999999999</v>
      </c>
      <c r="M96">
        <f t="shared" si="24"/>
        <v>-4.9999999999990052E-3</v>
      </c>
      <c r="U96">
        <f t="shared" ref="U96:V96" si="79">(U22+U58)/2</f>
        <v>-2.970850000000011E-3</v>
      </c>
      <c r="V96">
        <f t="shared" si="79"/>
        <v>3.2291000000003733E-4</v>
      </c>
      <c r="AC96">
        <f t="shared" ref="AC96:AD96" si="80">(AC22+AC58)/2</f>
        <v>1.3552987849709612</v>
      </c>
      <c r="AD96">
        <f t="shared" si="80"/>
        <v>3.4116018815394713</v>
      </c>
    </row>
    <row r="97" spans="1:30" x14ac:dyDescent="0.25">
      <c r="A97">
        <v>21</v>
      </c>
      <c r="C97" s="14">
        <v>200</v>
      </c>
      <c r="K97">
        <f t="shared" ref="K97:L97" si="81">(K23+K59)/2</f>
        <v>25.38</v>
      </c>
      <c r="L97">
        <f t="shared" si="81"/>
        <v>25.369999999999997</v>
      </c>
      <c r="M97">
        <f t="shared" si="24"/>
        <v>1.0000000000001563E-2</v>
      </c>
      <c r="U97">
        <f t="shared" ref="U97:V97" si="82">(U23+U59)/2</f>
        <v>-1.7528299999999969E-3</v>
      </c>
      <c r="V97">
        <f t="shared" si="82"/>
        <v>-1.8853750000000224E-3</v>
      </c>
      <c r="AC97">
        <f t="shared" ref="AC97:AD97" si="83">(AC23+AC59)/2</f>
        <v>1.1286033441505983</v>
      </c>
      <c r="AD97">
        <f t="shared" si="83"/>
        <v>3.5413012993850401</v>
      </c>
    </row>
    <row r="98" spans="1:30" x14ac:dyDescent="0.25">
      <c r="A98">
        <v>22</v>
      </c>
      <c r="C98" s="14">
        <v>210</v>
      </c>
      <c r="K98">
        <f t="shared" ref="K98:L98" si="84">(K24+K60)/2</f>
        <v>25.810000000000002</v>
      </c>
      <c r="L98">
        <f t="shared" si="84"/>
        <v>25.815000000000001</v>
      </c>
      <c r="M98">
        <f t="shared" si="24"/>
        <v>-4.9999999999990052E-3</v>
      </c>
      <c r="U98">
        <f t="shared" ref="U98:V98" si="85">(U24+U60)/2</f>
        <v>-1.1852299999999955E-3</v>
      </c>
      <c r="V98">
        <f t="shared" si="85"/>
        <v>-1.2482849999999879E-3</v>
      </c>
      <c r="AC98">
        <f t="shared" ref="AC98:AD98" si="86">(AC24+AC60)/2</f>
        <v>0.83935936199853378</v>
      </c>
      <c r="AD98">
        <f t="shared" si="86"/>
        <v>3.5855684326935977</v>
      </c>
    </row>
    <row r="99" spans="1:30" x14ac:dyDescent="0.25">
      <c r="A99">
        <v>23</v>
      </c>
      <c r="C99" s="14">
        <v>220</v>
      </c>
      <c r="K99">
        <f t="shared" ref="K99:L99" si="87">(K25+K61)/2</f>
        <v>25.700000000000003</v>
      </c>
      <c r="L99">
        <f t="shared" si="87"/>
        <v>25.704999999999998</v>
      </c>
      <c r="M99">
        <f t="shared" si="24"/>
        <v>-4.9999999999954525E-3</v>
      </c>
      <c r="U99">
        <f t="shared" ref="U99:V99" si="88">(U25+U61)/2</f>
        <v>-1.4562349999999863E-3</v>
      </c>
      <c r="V99">
        <f t="shared" si="88"/>
        <v>-2.3270400000000302E-3</v>
      </c>
      <c r="AC99">
        <f t="shared" ref="AC99:AD99" si="89">(AC25+AC61)/2</f>
        <v>0.63420970515055952</v>
      </c>
      <c r="AD99">
        <f t="shared" si="89"/>
        <v>3.6563357658014697</v>
      </c>
    </row>
    <row r="100" spans="1:30" x14ac:dyDescent="0.25">
      <c r="A100">
        <v>24</v>
      </c>
      <c r="C100" s="14">
        <v>230</v>
      </c>
      <c r="K100">
        <f t="shared" ref="K100:L100" si="90">(K26+K62)/2</f>
        <v>25.66</v>
      </c>
      <c r="L100">
        <f t="shared" si="90"/>
        <v>25.655000000000001</v>
      </c>
      <c r="M100">
        <f t="shared" si="24"/>
        <v>4.9999999999990052E-3</v>
      </c>
      <c r="U100">
        <f t="shared" ref="U100:V100" si="91">(U26+U62)/2</f>
        <v>-8.5830500000000365E-4</v>
      </c>
      <c r="V100">
        <f t="shared" si="91"/>
        <v>-5.0478350000000005E-3</v>
      </c>
      <c r="AC100">
        <f t="shared" ref="AC100:AD100" si="92">(AC26+AC62)/2</f>
        <v>0.52733931193668959</v>
      </c>
      <c r="AD100">
        <f t="shared" si="92"/>
        <v>3.6399935051666445</v>
      </c>
    </row>
    <row r="101" spans="1:30" x14ac:dyDescent="0.25">
      <c r="A101">
        <v>25</v>
      </c>
      <c r="C101" s="14">
        <v>240</v>
      </c>
      <c r="K101">
        <f t="shared" ref="K101:L101" si="93">(K27+K63)/2</f>
        <v>26.25</v>
      </c>
      <c r="L101">
        <f t="shared" si="93"/>
        <v>26.225000000000001</v>
      </c>
      <c r="M101">
        <f t="shared" si="24"/>
        <v>2.4999999999998579E-2</v>
      </c>
      <c r="U101">
        <f t="shared" ref="U101:V101" si="94">(U27+U63)/2</f>
        <v>3.1311500000001657E-4</v>
      </c>
      <c r="V101">
        <f t="shared" si="94"/>
        <v>-4.0953850000000069E-3</v>
      </c>
      <c r="AC101">
        <f t="shared" ref="AC101:AD101" si="95">(AC27+AC63)/2</f>
        <v>0.52497855486165557</v>
      </c>
      <c r="AD101">
        <f t="shared" si="95"/>
        <v>3.5704607389076681</v>
      </c>
    </row>
    <row r="102" spans="1:30" x14ac:dyDescent="0.25">
      <c r="A102">
        <v>26</v>
      </c>
      <c r="C102" s="14">
        <v>250</v>
      </c>
      <c r="K102">
        <f t="shared" ref="K102:L102" si="96">(K28+K64)/2</f>
        <v>25.369999999999997</v>
      </c>
      <c r="L102">
        <f t="shared" si="96"/>
        <v>25.39</v>
      </c>
      <c r="M102">
        <f t="shared" si="24"/>
        <v>-2.0000000000003126E-2</v>
      </c>
      <c r="U102">
        <f t="shared" ref="U102:V102" si="97">(U28+U64)/2</f>
        <v>2.6742849999999985E-3</v>
      </c>
      <c r="V102">
        <f t="shared" si="97"/>
        <v>-4.197200000000012E-3</v>
      </c>
      <c r="AC102">
        <f t="shared" ref="AC102:AD102" si="98">(AC28+AC64)/2</f>
        <v>0.79982575377029486</v>
      </c>
      <c r="AD102">
        <f t="shared" si="98"/>
        <v>3.6551071564811504</v>
      </c>
    </row>
    <row r="103" spans="1:30" x14ac:dyDescent="0.25">
      <c r="A103">
        <v>27</v>
      </c>
      <c r="C103" s="14">
        <v>260</v>
      </c>
      <c r="K103">
        <f t="shared" ref="K103:L103" si="99">(K29+K65)/2</f>
        <v>25.954999999999998</v>
      </c>
      <c r="L103">
        <f t="shared" si="99"/>
        <v>25.954999999999998</v>
      </c>
      <c r="M103">
        <f t="shared" si="24"/>
        <v>0</v>
      </c>
      <c r="U103">
        <f t="shared" ref="U103:V103" si="100">(U29+U65)/2</f>
        <v>1.448205000000008E-3</v>
      </c>
      <c r="V103">
        <f t="shared" si="100"/>
        <v>-3.9424249999999994E-3</v>
      </c>
      <c r="AC103">
        <f t="shared" ref="AC103:AD103" si="101">(AC29+AC65)/2</f>
        <v>0.98643172245465549</v>
      </c>
      <c r="AD103">
        <f t="shared" si="101"/>
        <v>3.489669402217638</v>
      </c>
    </row>
    <row r="104" spans="1:30" x14ac:dyDescent="0.25">
      <c r="A104">
        <v>28</v>
      </c>
      <c r="C104" s="14">
        <v>270</v>
      </c>
      <c r="K104">
        <f t="shared" ref="K104:L104" si="102">(K30+K66)/2</f>
        <v>25.93</v>
      </c>
      <c r="L104">
        <f t="shared" si="102"/>
        <v>25.945</v>
      </c>
      <c r="M104">
        <f t="shared" si="24"/>
        <v>-1.5000000000000568E-2</v>
      </c>
      <c r="U104">
        <f t="shared" ref="U104:V104" si="103">(U30+U66)/2</f>
        <v>-4.5966499999998411E-4</v>
      </c>
      <c r="V104">
        <f t="shared" si="103"/>
        <v>-2.7550000000000074E-3</v>
      </c>
      <c r="AC104">
        <f t="shared" ref="AC104:AD104" si="104">(AC30+AC66)/2</f>
        <v>1.2867793133054559</v>
      </c>
      <c r="AD104">
        <f t="shared" si="104"/>
        <v>3.4430528341618656</v>
      </c>
    </row>
    <row r="105" spans="1:30" x14ac:dyDescent="0.25">
      <c r="A105">
        <v>29</v>
      </c>
      <c r="C105" s="14">
        <v>280</v>
      </c>
      <c r="K105">
        <f t="shared" ref="K105:L105" si="105">(K31+K67)/2</f>
        <v>25.954999999999998</v>
      </c>
      <c r="L105">
        <f t="shared" si="105"/>
        <v>25.954999999999998</v>
      </c>
      <c r="M105">
        <f t="shared" si="24"/>
        <v>0</v>
      </c>
      <c r="U105">
        <f t="shared" ref="U105:V105" si="106">(U31+U67)/2</f>
        <v>1.6622049999999861E-3</v>
      </c>
      <c r="V105">
        <f t="shared" si="106"/>
        <v>-4.7777000000000097E-3</v>
      </c>
      <c r="AC105">
        <f t="shared" ref="AC105:AD105" si="107">(AC31+AC67)/2</f>
        <v>1.5626312074398614</v>
      </c>
      <c r="AD105">
        <f t="shared" si="107"/>
        <v>3.3368521773518474</v>
      </c>
    </row>
    <row r="106" spans="1:30" x14ac:dyDescent="0.25">
      <c r="A106">
        <v>30</v>
      </c>
      <c r="C106" s="14">
        <v>290</v>
      </c>
      <c r="K106">
        <f t="shared" ref="K106:L106" si="108">(K32+K68)/2</f>
        <v>25.48</v>
      </c>
      <c r="L106">
        <f t="shared" si="108"/>
        <v>25.475000000000001</v>
      </c>
      <c r="M106">
        <f t="shared" si="24"/>
        <v>4.9999999999990052E-3</v>
      </c>
      <c r="U106">
        <f t="shared" ref="U106:V106" si="109">(U32+U68)/2</f>
        <v>1.503124999999994E-3</v>
      </c>
      <c r="V106">
        <f t="shared" si="109"/>
        <v>-2.471885000000007E-3</v>
      </c>
      <c r="AC106">
        <f t="shared" ref="AC106:AD106" si="110">(AC32+AC68)/2</f>
        <v>1.8670834095599678</v>
      </c>
      <c r="AD106">
        <f t="shared" si="110"/>
        <v>3.2460874594371925</v>
      </c>
    </row>
    <row r="107" spans="1:30" x14ac:dyDescent="0.25">
      <c r="A107">
        <v>31</v>
      </c>
      <c r="C107" s="14">
        <v>300</v>
      </c>
      <c r="K107">
        <f t="shared" ref="K107:L107" si="111">(K33+K69)/2</f>
        <v>25.704999999999998</v>
      </c>
      <c r="L107">
        <f t="shared" si="111"/>
        <v>25.725000000000001</v>
      </c>
      <c r="M107">
        <f t="shared" si="24"/>
        <v>-2.0000000000003126E-2</v>
      </c>
      <c r="U107">
        <f t="shared" ref="U107:V107" si="112">(U33+U69)/2</f>
        <v>1.688740000000008E-3</v>
      </c>
      <c r="V107">
        <f t="shared" si="112"/>
        <v>-3.7288050000000017E-3</v>
      </c>
      <c r="AC107">
        <f t="shared" ref="AC107:AD107" si="113">(AC33+AC69)/2</f>
        <v>2.0970830715629187</v>
      </c>
      <c r="AD107">
        <f t="shared" si="113"/>
        <v>3.0676447507492526</v>
      </c>
    </row>
    <row r="108" spans="1:30" x14ac:dyDescent="0.25">
      <c r="A108">
        <v>32</v>
      </c>
      <c r="C108" s="14">
        <v>310</v>
      </c>
      <c r="K108">
        <f t="shared" ref="K108:L108" si="114">(K34+K70)/2</f>
        <v>26.045000000000002</v>
      </c>
      <c r="L108">
        <f t="shared" si="114"/>
        <v>26.05</v>
      </c>
      <c r="M108">
        <f t="shared" si="24"/>
        <v>-4.9999999999990052E-3</v>
      </c>
      <c r="U108">
        <f t="shared" ref="U108:V108" si="115">(U34+U70)/2</f>
        <v>4.3187300000000067E-3</v>
      </c>
      <c r="V108">
        <f t="shared" si="115"/>
        <v>-7.2343499999998062E-4</v>
      </c>
      <c r="AC108">
        <f t="shared" ref="AC108:AD108" si="116">(AC34+AC70)/2</f>
        <v>2.3278186124908302</v>
      </c>
      <c r="AD108">
        <f t="shared" si="116"/>
        <v>2.850121182587392</v>
      </c>
    </row>
    <row r="109" spans="1:30" x14ac:dyDescent="0.25">
      <c r="A109">
        <v>33</v>
      </c>
      <c r="C109">
        <v>320</v>
      </c>
      <c r="K109">
        <f t="shared" ref="K109:L109" si="117">(K35+K71)/2</f>
        <v>25.86</v>
      </c>
      <c r="L109">
        <f t="shared" si="117"/>
        <v>25.85</v>
      </c>
      <c r="M109">
        <f t="shared" si="24"/>
        <v>9.9999999999980105E-3</v>
      </c>
      <c r="U109">
        <f t="shared" ref="U109:V109" si="118">(U35+U71)/2</f>
        <v>1.9437399999999855E-3</v>
      </c>
      <c r="V109">
        <f t="shared" si="118"/>
        <v>-2.010930000000008E-3</v>
      </c>
      <c r="AC109">
        <f t="shared" ref="AC109:AD109" si="119">(AC35+AC71)/2</f>
        <v>2.5585166365822691</v>
      </c>
      <c r="AD109">
        <f t="shared" si="119"/>
        <v>2.6229314637405077</v>
      </c>
    </row>
    <row r="110" spans="1:30" x14ac:dyDescent="0.25">
      <c r="A110">
        <v>34</v>
      </c>
      <c r="C110">
        <v>330</v>
      </c>
      <c r="K110">
        <f t="shared" ref="K110:L110" si="120">(K36+K72)/2</f>
        <v>25.93</v>
      </c>
      <c r="L110">
        <f t="shared" si="120"/>
        <v>25.934999999999999</v>
      </c>
      <c r="M110">
        <f t="shared" si="24"/>
        <v>-4.9999999999990052E-3</v>
      </c>
      <c r="U110">
        <f t="shared" ref="U110:V110" si="121">(U36+U72)/2</f>
        <v>5.5741499999999999E-3</v>
      </c>
      <c r="V110">
        <f t="shared" si="121"/>
        <v>-2.6587000000000138E-4</v>
      </c>
      <c r="AC110">
        <f t="shared" ref="AC110:AD110" si="122">(AC36+AC72)/2</f>
        <v>2.7702922462940807</v>
      </c>
      <c r="AD110">
        <f t="shared" si="122"/>
        <v>2.4184585850017348</v>
      </c>
    </row>
    <row r="111" spans="1:30" x14ac:dyDescent="0.25">
      <c r="A111">
        <v>35</v>
      </c>
      <c r="C111">
        <v>340</v>
      </c>
      <c r="K111">
        <f t="shared" ref="K111:L111" si="123">(K37+K73)/2</f>
        <v>25.87</v>
      </c>
      <c r="L111">
        <f t="shared" si="123"/>
        <v>25.865000000000002</v>
      </c>
      <c r="M111">
        <f t="shared" si="24"/>
        <v>4.9999999999990052E-3</v>
      </c>
      <c r="U111">
        <f t="shared" ref="U111:V111" si="124">(U37+U73)/2</f>
        <v>5.2122299999999983E-3</v>
      </c>
      <c r="V111">
        <f t="shared" si="124"/>
        <v>-1.2201899999999821E-3</v>
      </c>
      <c r="AC111">
        <f t="shared" ref="AC111:AD111" si="125">(AC37+AC73)/2</f>
        <v>2.9647827897506298</v>
      </c>
      <c r="AD111">
        <f t="shared" si="125"/>
        <v>2.1948868791963454</v>
      </c>
    </row>
    <row r="112" spans="1:30" x14ac:dyDescent="0.25">
      <c r="A112">
        <v>36</v>
      </c>
      <c r="C112">
        <v>350</v>
      </c>
      <c r="K112">
        <f t="shared" ref="K112:L112" si="126">(K38+K74)/2</f>
        <v>25.965</v>
      </c>
      <c r="L112">
        <f t="shared" si="126"/>
        <v>25.954999999999998</v>
      </c>
      <c r="M112">
        <f t="shared" si="24"/>
        <v>1.0000000000001563E-2</v>
      </c>
      <c r="U112">
        <f t="shared" ref="U112:V112" si="127">(U38+U74)/2</f>
        <v>1.5499900000000011E-3</v>
      </c>
      <c r="V112">
        <f t="shared" si="127"/>
        <v>6.655100000000358E-4</v>
      </c>
      <c r="AC112">
        <f t="shared" ref="AC112:AD112" si="128">(AC38+AC74)/2</f>
        <v>3.123000855468856</v>
      </c>
      <c r="AD112">
        <f t="shared" si="128"/>
        <v>1.9216245723017771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T19-2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2026-08-04T07:05:03Z</dcterms:modified>
</cp:coreProperties>
</file>