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os\Desktop\Rotace země pokus 1\Finální report 1\T19\T19-6\"/>
    </mc:Choice>
  </mc:AlternateContent>
  <xr:revisionPtr revIDLastSave="0" documentId="13_ncr:1_{21F6ABEE-A2A7-40C1-8AF0-B15A3C2A49D9}" xr6:coauthVersionLast="47" xr6:coauthVersionMax="47" xr10:uidLastSave="{00000000-0000-0000-0000-000000000000}"/>
  <bookViews>
    <workbookView xWindow="-120" yWindow="-120" windowWidth="38640" windowHeight="21120" xr2:uid="{0C4992B2-34A0-4179-B002-07A58BC14391}"/>
  </bookViews>
  <sheets>
    <sheet name="Main" sheetId="2" r:id="rId1"/>
    <sheet name="T19-6" sheetId="1" r:id="rId2"/>
    <sheet name="Regrese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2" l="1"/>
  <c r="AA104" i="5"/>
  <c r="E104" i="5"/>
  <c r="J104" i="5" s="1"/>
  <c r="AA103" i="5"/>
  <c r="J103" i="5"/>
  <c r="I103" i="5"/>
  <c r="H103" i="5"/>
  <c r="F103" i="5"/>
  <c r="E103" i="5"/>
  <c r="G103" i="5" s="1"/>
  <c r="AA102" i="5"/>
  <c r="E102" i="5"/>
  <c r="J102" i="5" s="1"/>
  <c r="AA101" i="5"/>
  <c r="J101" i="5"/>
  <c r="E101" i="5"/>
  <c r="I101" i="5" s="1"/>
  <c r="AA100" i="5"/>
  <c r="E100" i="5"/>
  <c r="J100" i="5" s="1"/>
  <c r="AA99" i="5"/>
  <c r="F99" i="5"/>
  <c r="E99" i="5"/>
  <c r="J99" i="5" s="1"/>
  <c r="AA98" i="5"/>
  <c r="I98" i="5"/>
  <c r="H98" i="5"/>
  <c r="G98" i="5"/>
  <c r="E98" i="5"/>
  <c r="F98" i="5" s="1"/>
  <c r="AA97" i="5"/>
  <c r="I97" i="5"/>
  <c r="H97" i="5"/>
  <c r="G97" i="5"/>
  <c r="F97" i="5"/>
  <c r="E97" i="5"/>
  <c r="J97" i="5" s="1"/>
  <c r="AA96" i="5"/>
  <c r="J96" i="5"/>
  <c r="I96" i="5"/>
  <c r="G96" i="5"/>
  <c r="F96" i="5"/>
  <c r="E96" i="5"/>
  <c r="H96" i="5" s="1"/>
  <c r="AA95" i="5"/>
  <c r="J95" i="5"/>
  <c r="I95" i="5"/>
  <c r="E95" i="5"/>
  <c r="H95" i="5" s="1"/>
  <c r="AA94" i="5"/>
  <c r="E94" i="5"/>
  <c r="J94" i="5" s="1"/>
  <c r="AA93" i="5"/>
  <c r="J93" i="5"/>
  <c r="I93" i="5"/>
  <c r="H93" i="5"/>
  <c r="G93" i="5"/>
  <c r="F93" i="5"/>
  <c r="E93" i="5"/>
  <c r="AA92" i="5"/>
  <c r="H92" i="5"/>
  <c r="G92" i="5"/>
  <c r="F92" i="5"/>
  <c r="E92" i="5"/>
  <c r="J92" i="5" s="1"/>
  <c r="AA91" i="5"/>
  <c r="J91" i="5"/>
  <c r="I91" i="5"/>
  <c r="H91" i="5"/>
  <c r="F91" i="5"/>
  <c r="E91" i="5"/>
  <c r="G91" i="5" s="1"/>
  <c r="AA90" i="5"/>
  <c r="J90" i="5"/>
  <c r="I90" i="5"/>
  <c r="H90" i="5"/>
  <c r="E90" i="5"/>
  <c r="G90" i="5" s="1"/>
  <c r="AA89" i="5"/>
  <c r="J89" i="5"/>
  <c r="E89" i="5"/>
  <c r="I89" i="5" s="1"/>
  <c r="AA88" i="5"/>
  <c r="E88" i="5"/>
  <c r="J88" i="5" s="1"/>
  <c r="AA87" i="5"/>
  <c r="F87" i="5"/>
  <c r="E87" i="5"/>
  <c r="J87" i="5" s="1"/>
  <c r="AA86" i="5"/>
  <c r="I86" i="5"/>
  <c r="H86" i="5"/>
  <c r="G86" i="5"/>
  <c r="E86" i="5"/>
  <c r="F86" i="5" s="1"/>
  <c r="AA85" i="5"/>
  <c r="I85" i="5"/>
  <c r="H85" i="5"/>
  <c r="G85" i="5"/>
  <c r="F85" i="5"/>
  <c r="E85" i="5"/>
  <c r="J85" i="5" s="1"/>
  <c r="AA84" i="5"/>
  <c r="J84" i="5"/>
  <c r="I84" i="5"/>
  <c r="G84" i="5"/>
  <c r="F84" i="5"/>
  <c r="E84" i="5"/>
  <c r="H84" i="5" s="1"/>
  <c r="AA83" i="5"/>
  <c r="J83" i="5"/>
  <c r="I83" i="5"/>
  <c r="E83" i="5"/>
  <c r="H83" i="5" s="1"/>
  <c r="AA82" i="5"/>
  <c r="E82" i="5"/>
  <c r="J82" i="5" s="1"/>
  <c r="AA81" i="5"/>
  <c r="J81" i="5"/>
  <c r="I81" i="5"/>
  <c r="H81" i="5"/>
  <c r="G81" i="5"/>
  <c r="F81" i="5"/>
  <c r="E81" i="5"/>
  <c r="AA80" i="5"/>
  <c r="H80" i="5"/>
  <c r="G80" i="5"/>
  <c r="F80" i="5"/>
  <c r="E80" i="5"/>
  <c r="J80" i="5" s="1"/>
  <c r="AA79" i="5"/>
  <c r="J79" i="5"/>
  <c r="I79" i="5"/>
  <c r="H79" i="5"/>
  <c r="F79" i="5"/>
  <c r="E79" i="5"/>
  <c r="G79" i="5" s="1"/>
  <c r="AA78" i="5"/>
  <c r="J78" i="5"/>
  <c r="I78" i="5"/>
  <c r="H78" i="5"/>
  <c r="E78" i="5"/>
  <c r="G78" i="5" s="1"/>
  <c r="AA77" i="5"/>
  <c r="F77" i="5"/>
  <c r="E77" i="5"/>
  <c r="J77" i="5" s="1"/>
  <c r="AA76" i="5"/>
  <c r="J76" i="5"/>
  <c r="I76" i="5"/>
  <c r="G76" i="5"/>
  <c r="F76" i="5"/>
  <c r="E76" i="5"/>
  <c r="H76" i="5" s="1"/>
  <c r="AA75" i="5"/>
  <c r="J75" i="5"/>
  <c r="I75" i="5"/>
  <c r="H75" i="5"/>
  <c r="G75" i="5"/>
  <c r="F75" i="5"/>
  <c r="E75" i="5"/>
  <c r="AA74" i="5"/>
  <c r="J74" i="5"/>
  <c r="I74" i="5"/>
  <c r="H74" i="5"/>
  <c r="E74" i="5"/>
  <c r="G74" i="5" s="1"/>
  <c r="AA73" i="5"/>
  <c r="F73" i="5"/>
  <c r="E73" i="5"/>
  <c r="J73" i="5" s="1"/>
  <c r="AA72" i="5"/>
  <c r="J72" i="5"/>
  <c r="I72" i="5"/>
  <c r="G72" i="5"/>
  <c r="E72" i="5"/>
  <c r="H72" i="5" s="1"/>
  <c r="AA71" i="5"/>
  <c r="J71" i="5"/>
  <c r="I71" i="5"/>
  <c r="H71" i="5"/>
  <c r="G71" i="5"/>
  <c r="F71" i="5"/>
  <c r="E71" i="5"/>
  <c r="AA70" i="5"/>
  <c r="J70" i="5"/>
  <c r="I70" i="5"/>
  <c r="H70" i="5"/>
  <c r="E70" i="5"/>
  <c r="G70" i="5" s="1"/>
  <c r="AA69" i="5"/>
  <c r="F69" i="5"/>
  <c r="E69" i="5"/>
  <c r="J69" i="5" s="1"/>
  <c r="AA68" i="5"/>
  <c r="J68" i="5"/>
  <c r="I68" i="5"/>
  <c r="G68" i="5"/>
  <c r="E68" i="5"/>
  <c r="H68" i="5" s="1"/>
  <c r="AA67" i="5"/>
  <c r="J67" i="5"/>
  <c r="I67" i="5"/>
  <c r="H67" i="5"/>
  <c r="G67" i="5"/>
  <c r="F67" i="5"/>
  <c r="E67" i="5"/>
  <c r="AA66" i="5"/>
  <c r="J66" i="5"/>
  <c r="I66" i="5"/>
  <c r="H66" i="5"/>
  <c r="E66" i="5"/>
  <c r="G66" i="5" s="1"/>
  <c r="AA65" i="5"/>
  <c r="F65" i="5"/>
  <c r="E65" i="5"/>
  <c r="J65" i="5" s="1"/>
  <c r="AA64" i="5"/>
  <c r="J64" i="5"/>
  <c r="I64" i="5"/>
  <c r="G64" i="5"/>
  <c r="E64" i="5"/>
  <c r="H64" i="5" s="1"/>
  <c r="AA63" i="5"/>
  <c r="J63" i="5"/>
  <c r="I63" i="5"/>
  <c r="H63" i="5"/>
  <c r="G63" i="5"/>
  <c r="F63" i="5"/>
  <c r="E63" i="5"/>
  <c r="AA62" i="5"/>
  <c r="J62" i="5"/>
  <c r="I62" i="5"/>
  <c r="H62" i="5"/>
  <c r="E62" i="5"/>
  <c r="G62" i="5" s="1"/>
  <c r="AA61" i="5"/>
  <c r="F61" i="5"/>
  <c r="E61" i="5"/>
  <c r="J61" i="5" s="1"/>
  <c r="AA60" i="5"/>
  <c r="J60" i="5"/>
  <c r="I60" i="5"/>
  <c r="G60" i="5"/>
  <c r="E60" i="5"/>
  <c r="H60" i="5" s="1"/>
  <c r="AA59" i="5"/>
  <c r="J59" i="5"/>
  <c r="I59" i="5"/>
  <c r="H59" i="5"/>
  <c r="G59" i="5"/>
  <c r="F59" i="5"/>
  <c r="E59" i="5"/>
  <c r="AA58" i="5"/>
  <c r="J58" i="5"/>
  <c r="I58" i="5"/>
  <c r="H58" i="5"/>
  <c r="E58" i="5"/>
  <c r="G58" i="5" s="1"/>
  <c r="AA57" i="5"/>
  <c r="F57" i="5"/>
  <c r="E57" i="5"/>
  <c r="J57" i="5" s="1"/>
  <c r="AA56" i="5"/>
  <c r="J56" i="5"/>
  <c r="I56" i="5"/>
  <c r="G56" i="5"/>
  <c r="E56" i="5"/>
  <c r="H56" i="5" s="1"/>
  <c r="AA55" i="5"/>
  <c r="J55" i="5"/>
  <c r="I55" i="5"/>
  <c r="H55" i="5"/>
  <c r="G55" i="5"/>
  <c r="F55" i="5"/>
  <c r="E55" i="5"/>
  <c r="AA54" i="5"/>
  <c r="J54" i="5"/>
  <c r="I54" i="5"/>
  <c r="H54" i="5"/>
  <c r="E54" i="5"/>
  <c r="G54" i="5" s="1"/>
  <c r="AA53" i="5"/>
  <c r="F53" i="5"/>
  <c r="E53" i="5"/>
  <c r="J53" i="5" s="1"/>
  <c r="AA52" i="5"/>
  <c r="J52" i="5"/>
  <c r="I52" i="5"/>
  <c r="E52" i="5"/>
  <c r="H52" i="5" s="1"/>
  <c r="AA51" i="5"/>
  <c r="J51" i="5"/>
  <c r="I51" i="5"/>
  <c r="H51" i="5"/>
  <c r="G51" i="5"/>
  <c r="F51" i="5"/>
  <c r="E51" i="5"/>
  <c r="AA50" i="5"/>
  <c r="J50" i="5"/>
  <c r="I50" i="5"/>
  <c r="H50" i="5"/>
  <c r="E50" i="5"/>
  <c r="G50" i="5" s="1"/>
  <c r="AA49" i="5"/>
  <c r="F49" i="5"/>
  <c r="E49" i="5"/>
  <c r="J49" i="5" s="1"/>
  <c r="AA48" i="5"/>
  <c r="J48" i="5"/>
  <c r="I48" i="5"/>
  <c r="E48" i="5"/>
  <c r="H48" i="5" s="1"/>
  <c r="AA47" i="5"/>
  <c r="J47" i="5"/>
  <c r="I47" i="5"/>
  <c r="H47" i="5"/>
  <c r="G47" i="5"/>
  <c r="F47" i="5"/>
  <c r="E47" i="5"/>
  <c r="AA46" i="5"/>
  <c r="J46" i="5"/>
  <c r="I46" i="5"/>
  <c r="H46" i="5"/>
  <c r="E46" i="5"/>
  <c r="G46" i="5" s="1"/>
  <c r="AA45" i="5"/>
  <c r="F45" i="5"/>
  <c r="E45" i="5"/>
  <c r="J45" i="5" s="1"/>
  <c r="AA44" i="5"/>
  <c r="J44" i="5"/>
  <c r="I44" i="5"/>
  <c r="E44" i="5"/>
  <c r="H44" i="5" s="1"/>
  <c r="AA43" i="5"/>
  <c r="J43" i="5"/>
  <c r="I43" i="5"/>
  <c r="H43" i="5"/>
  <c r="G43" i="5"/>
  <c r="F43" i="5"/>
  <c r="E43" i="5"/>
  <c r="AA42" i="5"/>
  <c r="J42" i="5"/>
  <c r="I42" i="5"/>
  <c r="H42" i="5"/>
  <c r="E42" i="5"/>
  <c r="G42" i="5" s="1"/>
  <c r="AA41" i="5"/>
  <c r="F41" i="5"/>
  <c r="E41" i="5"/>
  <c r="J41" i="5" s="1"/>
  <c r="AA40" i="5"/>
  <c r="E40" i="5"/>
  <c r="AA39" i="5"/>
  <c r="F39" i="5"/>
  <c r="J39" i="5" s="1"/>
  <c r="E39" i="5"/>
  <c r="AA38" i="5"/>
  <c r="E38" i="5"/>
  <c r="AA37" i="5"/>
  <c r="F37" i="5"/>
  <c r="E37" i="5"/>
  <c r="J37" i="5" s="1"/>
  <c r="AA36" i="5"/>
  <c r="E36" i="5"/>
  <c r="AA35" i="5"/>
  <c r="F35" i="5"/>
  <c r="J35" i="5" s="1"/>
  <c r="E35" i="5"/>
  <c r="AA34" i="5"/>
  <c r="E34" i="5"/>
  <c r="AA33" i="5"/>
  <c r="F33" i="5"/>
  <c r="E33" i="5"/>
  <c r="J33" i="5" s="1"/>
  <c r="AA32" i="5"/>
  <c r="E32" i="5"/>
  <c r="AA31" i="5"/>
  <c r="F31" i="5"/>
  <c r="J31" i="5" s="1"/>
  <c r="E31" i="5"/>
  <c r="AA30" i="5"/>
  <c r="E30" i="5"/>
  <c r="AA29" i="5"/>
  <c r="F29" i="5"/>
  <c r="E29" i="5"/>
  <c r="J29" i="5" s="1"/>
  <c r="AA28" i="5"/>
  <c r="E28" i="5"/>
  <c r="AA27" i="5"/>
  <c r="F27" i="5"/>
  <c r="J27" i="5" s="1"/>
  <c r="E27" i="5"/>
  <c r="AA26" i="5"/>
  <c r="E26" i="5"/>
  <c r="AA25" i="5"/>
  <c r="F25" i="5"/>
  <c r="E25" i="5"/>
  <c r="J25" i="5" s="1"/>
  <c r="AA24" i="5"/>
  <c r="E24" i="5"/>
  <c r="AA23" i="5"/>
  <c r="F23" i="5"/>
  <c r="J23" i="5" s="1"/>
  <c r="E23" i="5"/>
  <c r="AA22" i="5"/>
  <c r="E22" i="5"/>
  <c r="AA21" i="5"/>
  <c r="F21" i="5"/>
  <c r="E21" i="5"/>
  <c r="J21" i="5" s="1"/>
  <c r="AA20" i="5"/>
  <c r="E20" i="5"/>
  <c r="AA19" i="5"/>
  <c r="F19" i="5"/>
  <c r="J19" i="5" s="1"/>
  <c r="E19" i="5"/>
  <c r="AA18" i="5"/>
  <c r="E18" i="5"/>
  <c r="AA17" i="5"/>
  <c r="F17" i="5"/>
  <c r="E17" i="5"/>
  <c r="G17" i="5" s="1"/>
  <c r="J16" i="5"/>
  <c r="I16" i="5"/>
  <c r="H16" i="5"/>
  <c r="F16" i="5"/>
  <c r="E16" i="5"/>
  <c r="G16" i="5" s="1"/>
  <c r="E15" i="5"/>
  <c r="F14" i="5"/>
  <c r="E14" i="5"/>
  <c r="J14" i="5" s="1"/>
  <c r="J13" i="5"/>
  <c r="I13" i="5"/>
  <c r="H13" i="5"/>
  <c r="F13" i="5"/>
  <c r="E13" i="5"/>
  <c r="G13" i="5" s="1"/>
  <c r="E12" i="5"/>
  <c r="F11" i="5"/>
  <c r="E11" i="5"/>
  <c r="J11" i="5" s="1"/>
  <c r="J10" i="5"/>
  <c r="I10" i="5"/>
  <c r="H10" i="5"/>
  <c r="F10" i="5"/>
  <c r="E10" i="5"/>
  <c r="G10" i="5" s="1"/>
  <c r="E9" i="5"/>
  <c r="F8" i="5"/>
  <c r="E8" i="5"/>
  <c r="J8" i="5" s="1"/>
  <c r="J7" i="5"/>
  <c r="I7" i="5"/>
  <c r="H7" i="5"/>
  <c r="F7" i="5"/>
  <c r="E7" i="5"/>
  <c r="G7" i="5" s="1"/>
  <c r="E6" i="5"/>
  <c r="F5" i="5"/>
  <c r="E5" i="5"/>
  <c r="J5" i="5" s="1"/>
  <c r="O1" i="5"/>
  <c r="H32" i="5" l="1"/>
  <c r="G38" i="5"/>
  <c r="H15" i="5"/>
  <c r="H6" i="5"/>
  <c r="H12" i="5"/>
  <c r="G19" i="5"/>
  <c r="G23" i="5"/>
  <c r="G27" i="5"/>
  <c r="G31" i="5"/>
  <c r="G35" i="5"/>
  <c r="G39" i="5"/>
  <c r="F88" i="5"/>
  <c r="F100" i="5"/>
  <c r="F6" i="5"/>
  <c r="G6" i="5" s="1"/>
  <c r="F9" i="5"/>
  <c r="G9" i="5" s="1"/>
  <c r="F12" i="5"/>
  <c r="G12" i="5" s="1"/>
  <c r="F15" i="5"/>
  <c r="H19" i="5"/>
  <c r="H23" i="5"/>
  <c r="H27" i="5"/>
  <c r="H31" i="5"/>
  <c r="H35" i="5"/>
  <c r="H39" i="5"/>
  <c r="F83" i="5"/>
  <c r="G88" i="5"/>
  <c r="F95" i="5"/>
  <c r="G100" i="5"/>
  <c r="G15" i="5"/>
  <c r="F18" i="5"/>
  <c r="I19" i="5"/>
  <c r="F22" i="5"/>
  <c r="I23" i="5"/>
  <c r="F26" i="5"/>
  <c r="I27" i="5"/>
  <c r="F30" i="5"/>
  <c r="I31" i="5"/>
  <c r="F34" i="5"/>
  <c r="I35" i="5"/>
  <c r="F38" i="5"/>
  <c r="I39" i="5"/>
  <c r="F42" i="5"/>
  <c r="F46" i="5"/>
  <c r="F50" i="5"/>
  <c r="F54" i="5"/>
  <c r="F58" i="5"/>
  <c r="F62" i="5"/>
  <c r="F66" i="5"/>
  <c r="F70" i="5"/>
  <c r="F74" i="5"/>
  <c r="F78" i="5"/>
  <c r="G83" i="5"/>
  <c r="J86" i="5"/>
  <c r="H88" i="5"/>
  <c r="F90" i="5"/>
  <c r="G95" i="5"/>
  <c r="J98" i="5"/>
  <c r="H100" i="5"/>
  <c r="F102" i="5"/>
  <c r="I88" i="5"/>
  <c r="I100" i="5"/>
  <c r="G102" i="5"/>
  <c r="H102" i="5"/>
  <c r="F104" i="5"/>
  <c r="I102" i="5"/>
  <c r="G104" i="5"/>
  <c r="G5" i="5"/>
  <c r="G21" i="5"/>
  <c r="G41" i="5"/>
  <c r="G45" i="5"/>
  <c r="G53" i="5"/>
  <c r="G57" i="5"/>
  <c r="G61" i="5"/>
  <c r="G65" i="5"/>
  <c r="G69" i="5"/>
  <c r="G73" i="5"/>
  <c r="G77" i="5"/>
  <c r="F82" i="5"/>
  <c r="G87" i="5"/>
  <c r="F94" i="5"/>
  <c r="G99" i="5"/>
  <c r="H104" i="5"/>
  <c r="H5" i="5"/>
  <c r="H8" i="5"/>
  <c r="H11" i="5"/>
  <c r="H14" i="5"/>
  <c r="H17" i="5"/>
  <c r="H21" i="5"/>
  <c r="H25" i="5"/>
  <c r="H29" i="5"/>
  <c r="H33" i="5"/>
  <c r="H37" i="5"/>
  <c r="H41" i="5"/>
  <c r="H45" i="5"/>
  <c r="H49" i="5"/>
  <c r="H53" i="5"/>
  <c r="H57" i="5"/>
  <c r="H61" i="5"/>
  <c r="H65" i="5"/>
  <c r="H69" i="5"/>
  <c r="H73" i="5"/>
  <c r="H77" i="5"/>
  <c r="I80" i="5"/>
  <c r="G82" i="5"/>
  <c r="H87" i="5"/>
  <c r="F89" i="5"/>
  <c r="I92" i="5"/>
  <c r="G94" i="5"/>
  <c r="H99" i="5"/>
  <c r="F101" i="5"/>
  <c r="I104" i="5"/>
  <c r="G14" i="5"/>
  <c r="G37" i="5"/>
  <c r="I5" i="5"/>
  <c r="I8" i="5"/>
  <c r="I11" i="5"/>
  <c r="I14" i="5"/>
  <c r="I17" i="5"/>
  <c r="F20" i="5"/>
  <c r="I21" i="5"/>
  <c r="F24" i="5"/>
  <c r="H24" i="5" s="1"/>
  <c r="I25" i="5"/>
  <c r="F28" i="5"/>
  <c r="I29" i="5"/>
  <c r="F32" i="5"/>
  <c r="I33" i="5"/>
  <c r="F36" i="5"/>
  <c r="H36" i="5" s="1"/>
  <c r="I37" i="5"/>
  <c r="F40" i="5"/>
  <c r="G40" i="5" s="1"/>
  <c r="I41" i="5"/>
  <c r="F44" i="5"/>
  <c r="I45" i="5"/>
  <c r="F48" i="5"/>
  <c r="I49" i="5"/>
  <c r="F52" i="5"/>
  <c r="I53" i="5"/>
  <c r="F56" i="5"/>
  <c r="I57" i="5"/>
  <c r="F60" i="5"/>
  <c r="I61" i="5"/>
  <c r="F64" i="5"/>
  <c r="I65" i="5"/>
  <c r="F68" i="5"/>
  <c r="I69" i="5"/>
  <c r="F72" i="5"/>
  <c r="I73" i="5"/>
  <c r="I77" i="5"/>
  <c r="H82" i="5"/>
  <c r="I87" i="5"/>
  <c r="G89" i="5"/>
  <c r="H94" i="5"/>
  <c r="I99" i="5"/>
  <c r="G101" i="5"/>
  <c r="G8" i="5"/>
  <c r="G11" i="5"/>
  <c r="G25" i="5"/>
  <c r="G29" i="5"/>
  <c r="G33" i="5"/>
  <c r="G49" i="5"/>
  <c r="J17" i="5"/>
  <c r="G20" i="5"/>
  <c r="G24" i="5"/>
  <c r="G28" i="5"/>
  <c r="G32" i="5"/>
  <c r="G36" i="5"/>
  <c r="G44" i="5"/>
  <c r="G48" i="5"/>
  <c r="G52" i="5"/>
  <c r="I82" i="5"/>
  <c r="H89" i="5"/>
  <c r="I94" i="5"/>
  <c r="H101" i="5"/>
  <c r="B137" i="5" l="1"/>
  <c r="I28" i="5"/>
  <c r="J28" i="5"/>
  <c r="I18" i="5"/>
  <c r="J18" i="5"/>
  <c r="H18" i="5"/>
  <c r="J24" i="5"/>
  <c r="I24" i="5"/>
  <c r="J22" i="5"/>
  <c r="H22" i="5"/>
  <c r="I22" i="5"/>
  <c r="J38" i="5"/>
  <c r="I38" i="5"/>
  <c r="H38" i="5"/>
  <c r="H28" i="5"/>
  <c r="J20" i="5"/>
  <c r="I20" i="5"/>
  <c r="J34" i="5"/>
  <c r="H34" i="5"/>
  <c r="I34" i="5"/>
  <c r="I15" i="5"/>
  <c r="J15" i="5"/>
  <c r="G18" i="5"/>
  <c r="B111" i="5" s="1"/>
  <c r="I40" i="5"/>
  <c r="J40" i="5"/>
  <c r="J12" i="5"/>
  <c r="I12" i="5"/>
  <c r="H40" i="5"/>
  <c r="I30" i="5"/>
  <c r="J30" i="5"/>
  <c r="H30" i="5"/>
  <c r="J9" i="5"/>
  <c r="I9" i="5"/>
  <c r="J36" i="5"/>
  <c r="I36" i="5"/>
  <c r="I6" i="5"/>
  <c r="J6" i="5"/>
  <c r="G30" i="5"/>
  <c r="B135" i="5" s="1"/>
  <c r="H9" i="5"/>
  <c r="J26" i="5"/>
  <c r="I26" i="5"/>
  <c r="H26" i="5"/>
  <c r="H20" i="5"/>
  <c r="G22" i="5"/>
  <c r="I32" i="5"/>
  <c r="J32" i="5"/>
  <c r="G34" i="5"/>
  <c r="G26" i="5"/>
  <c r="B139" i="5" l="1"/>
  <c r="B136" i="5"/>
  <c r="N27" i="5" s="1"/>
  <c r="B113" i="5"/>
  <c r="B110" i="5"/>
  <c r="B114" i="5"/>
  <c r="B109" i="5"/>
  <c r="B140" i="5"/>
  <c r="M53" i="5" l="1"/>
  <c r="M43" i="5"/>
  <c r="N52" i="5"/>
  <c r="N7" i="5"/>
  <c r="N19" i="5"/>
  <c r="N50" i="5"/>
  <c r="N21" i="5"/>
  <c r="M28" i="5"/>
  <c r="M76" i="5"/>
  <c r="M47" i="5"/>
  <c r="M30" i="5"/>
  <c r="M9" i="5"/>
  <c r="M37" i="5"/>
  <c r="N48" i="5"/>
  <c r="N15" i="5"/>
  <c r="M24" i="5"/>
  <c r="M33" i="5"/>
  <c r="N11" i="5"/>
  <c r="N25" i="5"/>
  <c r="N56" i="5"/>
  <c r="N10" i="5"/>
  <c r="N39" i="5"/>
  <c r="N54" i="5"/>
  <c r="N41" i="5"/>
  <c r="M32" i="5"/>
  <c r="M7" i="5"/>
  <c r="M51" i="5"/>
  <c r="M34" i="5"/>
  <c r="M6" i="5"/>
  <c r="M41" i="5"/>
  <c r="N17" i="5"/>
  <c r="N60" i="5"/>
  <c r="N13" i="5"/>
  <c r="N43" i="5"/>
  <c r="N58" i="5"/>
  <c r="N45" i="5"/>
  <c r="M36" i="5"/>
  <c r="M10" i="5"/>
  <c r="M55" i="5"/>
  <c r="M38" i="5"/>
  <c r="M12" i="5"/>
  <c r="M45" i="5"/>
  <c r="N33" i="5"/>
  <c r="N64" i="5"/>
  <c r="N16" i="5"/>
  <c r="N75" i="5"/>
  <c r="N62" i="5"/>
  <c r="N53" i="5"/>
  <c r="M40" i="5"/>
  <c r="M13" i="5"/>
  <c r="M59" i="5"/>
  <c r="M42" i="5"/>
  <c r="M5" i="5"/>
  <c r="M49" i="5"/>
  <c r="N20" i="5"/>
  <c r="N68" i="5"/>
  <c r="N47" i="5"/>
  <c r="N18" i="5"/>
  <c r="N66" i="5"/>
  <c r="N57" i="5"/>
  <c r="M44" i="5"/>
  <c r="M16" i="5"/>
  <c r="M63" i="5"/>
  <c r="M46" i="5"/>
  <c r="M8" i="5"/>
  <c r="B117" i="5"/>
  <c r="B116" i="5"/>
  <c r="N24" i="5"/>
  <c r="N72" i="5"/>
  <c r="N51" i="5"/>
  <c r="N22" i="5"/>
  <c r="N70" i="5"/>
  <c r="N61" i="5"/>
  <c r="M48" i="5"/>
  <c r="M19" i="5"/>
  <c r="M67" i="5"/>
  <c r="M50" i="5"/>
  <c r="M11" i="5"/>
  <c r="M57" i="5"/>
  <c r="N28" i="5"/>
  <c r="N76" i="5"/>
  <c r="N59" i="5"/>
  <c r="N26" i="5"/>
  <c r="N74" i="5"/>
  <c r="N65" i="5"/>
  <c r="M52" i="5"/>
  <c r="M23" i="5"/>
  <c r="M71" i="5"/>
  <c r="M54" i="5"/>
  <c r="M14" i="5"/>
  <c r="M61" i="5"/>
  <c r="N23" i="5"/>
  <c r="N46" i="5"/>
  <c r="M72" i="5"/>
  <c r="M74" i="5"/>
  <c r="N5" i="5"/>
  <c r="M56" i="5"/>
  <c r="M58" i="5"/>
  <c r="M17" i="5"/>
  <c r="M65" i="5"/>
  <c r="B143" i="5"/>
  <c r="B142" i="5"/>
  <c r="N63" i="5"/>
  <c r="N69" i="5"/>
  <c r="M27" i="5"/>
  <c r="N6" i="5"/>
  <c r="N31" i="5"/>
  <c r="N73" i="5"/>
  <c r="M31" i="5"/>
  <c r="M15" i="5"/>
  <c r="M62" i="5"/>
  <c r="M21" i="5"/>
  <c r="M69" i="5"/>
  <c r="N49" i="5"/>
  <c r="N35" i="5"/>
  <c r="M26" i="5"/>
  <c r="N32" i="5"/>
  <c r="N30" i="5"/>
  <c r="M75" i="5"/>
  <c r="N71" i="5"/>
  <c r="N36" i="5"/>
  <c r="N8" i="5"/>
  <c r="N34" i="5"/>
  <c r="M60" i="5"/>
  <c r="N55" i="5"/>
  <c r="N40" i="5"/>
  <c r="N14" i="5"/>
  <c r="N9" i="5"/>
  <c r="N38" i="5"/>
  <c r="N77" i="5"/>
  <c r="M64" i="5"/>
  <c r="M35" i="5"/>
  <c r="M18" i="5"/>
  <c r="M66" i="5"/>
  <c r="M25" i="5"/>
  <c r="M73" i="5"/>
  <c r="N29" i="5"/>
  <c r="N44" i="5"/>
  <c r="N37" i="5"/>
  <c r="N12" i="5"/>
  <c r="N42" i="5"/>
  <c r="N67" i="5"/>
  <c r="M20" i="5"/>
  <c r="M68" i="5"/>
  <c r="M39" i="5"/>
  <c r="M22" i="5"/>
  <c r="M70" i="5"/>
  <c r="M29" i="5"/>
  <c r="M77" i="5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AB74" i="1"/>
  <c r="AA74" i="1"/>
  <c r="Z74" i="1"/>
  <c r="Y74" i="1"/>
  <c r="V74" i="1"/>
  <c r="U74" i="1"/>
  <c r="AB73" i="1"/>
  <c r="AA73" i="1"/>
  <c r="Z73" i="1"/>
  <c r="Y73" i="1"/>
  <c r="V73" i="1"/>
  <c r="U73" i="1"/>
  <c r="AB72" i="1"/>
  <c r="AA72" i="1"/>
  <c r="Z72" i="1"/>
  <c r="Y72" i="1"/>
  <c r="AC72" i="1" s="1"/>
  <c r="V72" i="1"/>
  <c r="U72" i="1"/>
  <c r="AB71" i="1"/>
  <c r="AA71" i="1"/>
  <c r="Z71" i="1"/>
  <c r="Y71" i="1"/>
  <c r="V71" i="1"/>
  <c r="U71" i="1"/>
  <c r="AB70" i="1"/>
  <c r="AA70" i="1"/>
  <c r="Z70" i="1"/>
  <c r="Y70" i="1"/>
  <c r="V70" i="1"/>
  <c r="U70" i="1"/>
  <c r="AB69" i="1"/>
  <c r="AA69" i="1"/>
  <c r="Z69" i="1"/>
  <c r="Y69" i="1"/>
  <c r="V69" i="1"/>
  <c r="U69" i="1"/>
  <c r="AB68" i="1"/>
  <c r="AA68" i="1"/>
  <c r="Z68" i="1"/>
  <c r="Y68" i="1"/>
  <c r="V68" i="1"/>
  <c r="U68" i="1"/>
  <c r="AB67" i="1"/>
  <c r="AA67" i="1"/>
  <c r="Z67" i="1"/>
  <c r="Y67" i="1"/>
  <c r="V67" i="1"/>
  <c r="U67" i="1"/>
  <c r="AB66" i="1"/>
  <c r="AA66" i="1"/>
  <c r="Z66" i="1"/>
  <c r="Y66" i="1"/>
  <c r="V66" i="1"/>
  <c r="U66" i="1"/>
  <c r="AB65" i="1"/>
  <c r="AA65" i="1"/>
  <c r="Z65" i="1"/>
  <c r="Y65" i="1"/>
  <c r="V65" i="1"/>
  <c r="U65" i="1"/>
  <c r="AB64" i="1"/>
  <c r="AA64" i="1"/>
  <c r="Z64" i="1"/>
  <c r="Y64" i="1"/>
  <c r="V64" i="1"/>
  <c r="U64" i="1"/>
  <c r="AB63" i="1"/>
  <c r="AA63" i="1"/>
  <c r="Z63" i="1"/>
  <c r="Y63" i="1"/>
  <c r="V63" i="1"/>
  <c r="U63" i="1"/>
  <c r="AB62" i="1"/>
  <c r="AA62" i="1"/>
  <c r="Z62" i="1"/>
  <c r="Y62" i="1"/>
  <c r="V62" i="1"/>
  <c r="U62" i="1"/>
  <c r="AB61" i="1"/>
  <c r="AA61" i="1"/>
  <c r="Z61" i="1"/>
  <c r="Y61" i="1"/>
  <c r="AE61" i="1" s="1"/>
  <c r="AF61" i="1" s="1"/>
  <c r="V61" i="1"/>
  <c r="U61" i="1"/>
  <c r="AB60" i="1"/>
  <c r="AA60" i="1"/>
  <c r="Z60" i="1"/>
  <c r="Y60" i="1"/>
  <c r="V60" i="1"/>
  <c r="U60" i="1"/>
  <c r="AB59" i="1"/>
  <c r="AA59" i="1"/>
  <c r="Z59" i="1"/>
  <c r="Y59" i="1"/>
  <c r="V59" i="1"/>
  <c r="U59" i="1"/>
  <c r="AB58" i="1"/>
  <c r="AA58" i="1"/>
  <c r="Z58" i="1"/>
  <c r="Y58" i="1"/>
  <c r="V58" i="1"/>
  <c r="U58" i="1"/>
  <c r="AB57" i="1"/>
  <c r="AA57" i="1"/>
  <c r="Z57" i="1"/>
  <c r="Y57" i="1"/>
  <c r="V57" i="1"/>
  <c r="U57" i="1"/>
  <c r="AB56" i="1"/>
  <c r="AA56" i="1"/>
  <c r="Z56" i="1"/>
  <c r="Y56" i="1"/>
  <c r="V56" i="1"/>
  <c r="U56" i="1"/>
  <c r="AB55" i="1"/>
  <c r="AA55" i="1"/>
  <c r="AD55" i="1" s="1"/>
  <c r="Z55" i="1"/>
  <c r="Y55" i="1"/>
  <c r="V55" i="1"/>
  <c r="U55" i="1"/>
  <c r="AB54" i="1"/>
  <c r="AA54" i="1"/>
  <c r="Z54" i="1"/>
  <c r="Y54" i="1"/>
  <c r="V54" i="1"/>
  <c r="U54" i="1"/>
  <c r="AB53" i="1"/>
  <c r="AA53" i="1"/>
  <c r="AD53" i="1" s="1"/>
  <c r="Z53" i="1"/>
  <c r="Y53" i="1"/>
  <c r="V53" i="1"/>
  <c r="U53" i="1"/>
  <c r="AB52" i="1"/>
  <c r="AA52" i="1"/>
  <c r="Z52" i="1"/>
  <c r="Y52" i="1"/>
  <c r="V52" i="1"/>
  <c r="U52" i="1"/>
  <c r="AB51" i="1"/>
  <c r="AA51" i="1"/>
  <c r="AD51" i="1" s="1"/>
  <c r="Z51" i="1"/>
  <c r="Y51" i="1"/>
  <c r="V51" i="1"/>
  <c r="U51" i="1"/>
  <c r="AB50" i="1"/>
  <c r="AA50" i="1"/>
  <c r="Z50" i="1"/>
  <c r="Y50" i="1"/>
  <c r="V50" i="1"/>
  <c r="U50" i="1"/>
  <c r="AB49" i="1"/>
  <c r="AA49" i="1"/>
  <c r="Z49" i="1"/>
  <c r="Y49" i="1"/>
  <c r="V49" i="1"/>
  <c r="U49" i="1"/>
  <c r="AB48" i="1"/>
  <c r="AA48" i="1"/>
  <c r="Z48" i="1"/>
  <c r="Y48" i="1"/>
  <c r="V48" i="1"/>
  <c r="U48" i="1"/>
  <c r="AB47" i="1"/>
  <c r="AA47" i="1"/>
  <c r="Z47" i="1"/>
  <c r="Y47" i="1"/>
  <c r="V47" i="1"/>
  <c r="U47" i="1"/>
  <c r="AB46" i="1"/>
  <c r="AA46" i="1"/>
  <c r="Z46" i="1"/>
  <c r="Y46" i="1"/>
  <c r="V46" i="1"/>
  <c r="U46" i="1"/>
  <c r="AB45" i="1"/>
  <c r="AA45" i="1"/>
  <c r="Z45" i="1"/>
  <c r="Y45" i="1"/>
  <c r="V45" i="1"/>
  <c r="U45" i="1"/>
  <c r="AB44" i="1"/>
  <c r="AA44" i="1"/>
  <c r="Z44" i="1"/>
  <c r="Y44" i="1"/>
  <c r="V44" i="1"/>
  <c r="U44" i="1"/>
  <c r="AB43" i="1"/>
  <c r="AA43" i="1"/>
  <c r="Z43" i="1"/>
  <c r="Y43" i="1"/>
  <c r="AE43" i="1" s="1"/>
  <c r="AF43" i="1" s="1"/>
  <c r="V43" i="1"/>
  <c r="U43" i="1"/>
  <c r="AB42" i="1"/>
  <c r="AA42" i="1"/>
  <c r="Z42" i="1"/>
  <c r="Y42" i="1"/>
  <c r="V42" i="1"/>
  <c r="U42" i="1"/>
  <c r="AB41" i="1"/>
  <c r="AA41" i="1"/>
  <c r="Z41" i="1"/>
  <c r="Y41" i="1"/>
  <c r="AC41" i="1" s="1"/>
  <c r="V41" i="1"/>
  <c r="U41" i="1"/>
  <c r="AB40" i="1"/>
  <c r="AA40" i="1"/>
  <c r="Z40" i="1"/>
  <c r="Y40" i="1"/>
  <c r="V40" i="1"/>
  <c r="U40" i="1"/>
  <c r="AB39" i="1"/>
  <c r="AA39" i="1"/>
  <c r="Z39" i="1"/>
  <c r="Y39" i="1"/>
  <c r="AE39" i="1" s="1"/>
  <c r="AF39" i="1" s="1"/>
  <c r="V39" i="1"/>
  <c r="U39" i="1"/>
  <c r="AB38" i="1"/>
  <c r="AA38" i="1"/>
  <c r="Z38" i="1"/>
  <c r="Y38" i="1"/>
  <c r="AE38" i="1" s="1"/>
  <c r="V38" i="1"/>
  <c r="U38" i="1"/>
  <c r="AB37" i="1"/>
  <c r="AA37" i="1"/>
  <c r="Z37" i="1"/>
  <c r="Y37" i="1"/>
  <c r="V37" i="1"/>
  <c r="U37" i="1"/>
  <c r="AB36" i="1"/>
  <c r="AA36" i="1"/>
  <c r="Z36" i="1"/>
  <c r="Y36" i="1"/>
  <c r="V36" i="1"/>
  <c r="V110" i="1" s="1"/>
  <c r="U36" i="1"/>
  <c r="AB35" i="1"/>
  <c r="AA35" i="1"/>
  <c r="Z35" i="1"/>
  <c r="Y35" i="1"/>
  <c r="V35" i="1"/>
  <c r="U35" i="1"/>
  <c r="U34" i="1"/>
  <c r="U33" i="1"/>
  <c r="U32" i="1"/>
  <c r="U31" i="1"/>
  <c r="U30" i="1"/>
  <c r="U29" i="1"/>
  <c r="U28" i="1"/>
  <c r="U27" i="1"/>
  <c r="U26" i="1"/>
  <c r="U100" i="1" s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V34" i="1"/>
  <c r="V108" i="1" s="1"/>
  <c r="V33" i="1"/>
  <c r="V32" i="1"/>
  <c r="V31" i="1"/>
  <c r="V30" i="1"/>
  <c r="V29" i="1"/>
  <c r="V28" i="1"/>
  <c r="V27" i="1"/>
  <c r="V26" i="1"/>
  <c r="V25" i="1"/>
  <c r="V24" i="1"/>
  <c r="V23" i="1"/>
  <c r="V22" i="1"/>
  <c r="V96" i="1" s="1"/>
  <c r="V21" i="1"/>
  <c r="V95" i="1" s="1"/>
  <c r="V20" i="1"/>
  <c r="V19" i="1"/>
  <c r="V18" i="1"/>
  <c r="V17" i="1"/>
  <c r="V16" i="1"/>
  <c r="V15" i="1"/>
  <c r="V14" i="1"/>
  <c r="V13" i="1"/>
  <c r="V12" i="1"/>
  <c r="V11" i="1"/>
  <c r="V10" i="1"/>
  <c r="V84" i="1" s="1"/>
  <c r="V9" i="1"/>
  <c r="V8" i="1"/>
  <c r="V7" i="1"/>
  <c r="V6" i="1"/>
  <c r="V5" i="1"/>
  <c r="V4" i="1"/>
  <c r="V3" i="1"/>
  <c r="G18" i="2"/>
  <c r="AB14" i="1"/>
  <c r="AA14" i="1"/>
  <c r="Z14" i="1"/>
  <c r="Y14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3" i="1"/>
  <c r="AB12" i="1"/>
  <c r="AB11" i="1"/>
  <c r="AB10" i="1"/>
  <c r="AB9" i="1"/>
  <c r="AB8" i="1"/>
  <c r="AB7" i="1"/>
  <c r="AB6" i="1"/>
  <c r="AB5" i="1"/>
  <c r="AB4" i="1"/>
  <c r="AB3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3" i="1"/>
  <c r="AA12" i="1"/>
  <c r="AA11" i="1"/>
  <c r="AA10" i="1"/>
  <c r="AA9" i="1"/>
  <c r="AA8" i="1"/>
  <c r="AA7" i="1"/>
  <c r="AA6" i="1"/>
  <c r="AA5" i="1"/>
  <c r="AA4" i="1"/>
  <c r="AA3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3" i="1"/>
  <c r="Z12" i="1"/>
  <c r="Z11" i="1"/>
  <c r="Z10" i="1"/>
  <c r="Z9" i="1"/>
  <c r="Z8" i="1"/>
  <c r="Z7" i="1"/>
  <c r="Z6" i="1"/>
  <c r="Z5" i="1"/>
  <c r="Z4" i="1"/>
  <c r="Z3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3" i="1"/>
  <c r="Y12" i="1"/>
  <c r="Y11" i="1"/>
  <c r="Y10" i="1"/>
  <c r="Y9" i="1"/>
  <c r="Y8" i="1"/>
  <c r="Y7" i="1"/>
  <c r="Y6" i="1"/>
  <c r="Y5" i="1"/>
  <c r="Y4" i="1"/>
  <c r="Y3" i="1"/>
  <c r="G12" i="2"/>
  <c r="G10" i="2"/>
  <c r="AE67" i="1" l="1"/>
  <c r="AF67" i="1" s="1"/>
  <c r="M87" i="1"/>
  <c r="V78" i="1"/>
  <c r="U94" i="1"/>
  <c r="V80" i="1"/>
  <c r="V82" i="1"/>
  <c r="V106" i="1"/>
  <c r="U86" i="1"/>
  <c r="U84" i="1"/>
  <c r="M79" i="1"/>
  <c r="U112" i="1"/>
  <c r="AD74" i="1"/>
  <c r="M94" i="1"/>
  <c r="V85" i="1"/>
  <c r="V97" i="1"/>
  <c r="U89" i="1"/>
  <c r="U101" i="1"/>
  <c r="M78" i="1"/>
  <c r="V99" i="1"/>
  <c r="U103" i="1"/>
  <c r="U105" i="1"/>
  <c r="AD62" i="1"/>
  <c r="AD64" i="1"/>
  <c r="AD66" i="1"/>
  <c r="AD70" i="1"/>
  <c r="AD72" i="1"/>
  <c r="U109" i="1"/>
  <c r="U99" i="1"/>
  <c r="AD37" i="1"/>
  <c r="V112" i="1"/>
  <c r="AC36" i="1"/>
  <c r="AC110" i="1" s="1"/>
  <c r="U107" i="1"/>
  <c r="AE44" i="1"/>
  <c r="AF44" i="1" s="1"/>
  <c r="AC60" i="1"/>
  <c r="AE55" i="1"/>
  <c r="AF55" i="1" s="1"/>
  <c r="M102" i="1"/>
  <c r="V101" i="1"/>
  <c r="AE56" i="1"/>
  <c r="AF56" i="1" s="1"/>
  <c r="V103" i="1"/>
  <c r="AC66" i="1"/>
  <c r="AE68" i="1"/>
  <c r="AF68" i="1" s="1"/>
  <c r="AD50" i="1"/>
  <c r="V105" i="1"/>
  <c r="U111" i="1"/>
  <c r="V109" i="1"/>
  <c r="V111" i="1"/>
  <c r="V107" i="1"/>
  <c r="V92" i="1"/>
  <c r="U96" i="1"/>
  <c r="AD38" i="1"/>
  <c r="AE48" i="1"/>
  <c r="AF48" i="1" s="1"/>
  <c r="AC54" i="1"/>
  <c r="U104" i="1"/>
  <c r="AC67" i="1"/>
  <c r="AD73" i="1"/>
  <c r="AD111" i="1" s="1"/>
  <c r="M96" i="1"/>
  <c r="M85" i="1"/>
  <c r="AE37" i="1"/>
  <c r="AF37" i="1" s="1"/>
  <c r="U88" i="1"/>
  <c r="AD27" i="1"/>
  <c r="U98" i="1"/>
  <c r="U77" i="1"/>
  <c r="AE49" i="1"/>
  <c r="AF49" i="1" s="1"/>
  <c r="V94" i="1"/>
  <c r="V86" i="1"/>
  <c r="V98" i="1"/>
  <c r="U78" i="1"/>
  <c r="U90" i="1"/>
  <c r="U102" i="1"/>
  <c r="AC61" i="1"/>
  <c r="AD68" i="1"/>
  <c r="M82" i="1"/>
  <c r="V90" i="1"/>
  <c r="U82" i="1"/>
  <c r="AE69" i="1"/>
  <c r="AF69" i="1" s="1"/>
  <c r="M77" i="1"/>
  <c r="M83" i="1"/>
  <c r="M112" i="1"/>
  <c r="AE62" i="1"/>
  <c r="AF62" i="1" s="1"/>
  <c r="U91" i="1"/>
  <c r="M106" i="1"/>
  <c r="AD34" i="1"/>
  <c r="V88" i="1"/>
  <c r="V100" i="1"/>
  <c r="U80" i="1"/>
  <c r="U92" i="1"/>
  <c r="U110" i="1"/>
  <c r="AD39" i="1"/>
  <c r="AD41" i="1"/>
  <c r="AD43" i="1"/>
  <c r="AE51" i="1"/>
  <c r="AF51" i="1" s="1"/>
  <c r="M97" i="1"/>
  <c r="M107" i="1"/>
  <c r="U79" i="1"/>
  <c r="V89" i="1"/>
  <c r="U81" i="1"/>
  <c r="U93" i="1"/>
  <c r="AD45" i="1"/>
  <c r="AD47" i="1"/>
  <c r="AE57" i="1"/>
  <c r="AF57" i="1" s="1"/>
  <c r="M81" i="1"/>
  <c r="M98" i="1"/>
  <c r="AD8" i="1"/>
  <c r="U106" i="1"/>
  <c r="V79" i="1"/>
  <c r="V91" i="1"/>
  <c r="U83" i="1"/>
  <c r="U95" i="1"/>
  <c r="M90" i="1"/>
  <c r="V87" i="1"/>
  <c r="V104" i="1"/>
  <c r="U108" i="1"/>
  <c r="AD36" i="1"/>
  <c r="AC42" i="1"/>
  <c r="AD61" i="1"/>
  <c r="M109" i="1"/>
  <c r="V102" i="1"/>
  <c r="V81" i="1"/>
  <c r="V93" i="1"/>
  <c r="U85" i="1"/>
  <c r="U97" i="1"/>
  <c r="AD63" i="1"/>
  <c r="AD65" i="1"/>
  <c r="AD67" i="1"/>
  <c r="M99" i="1"/>
  <c r="V83" i="1"/>
  <c r="U87" i="1"/>
  <c r="AD44" i="1"/>
  <c r="AD46" i="1"/>
  <c r="AD48" i="1"/>
  <c r="AE73" i="1"/>
  <c r="AF73" i="1" s="1"/>
  <c r="M95" i="1"/>
  <c r="AC37" i="1"/>
  <c r="AD52" i="1"/>
  <c r="AD54" i="1"/>
  <c r="AD56" i="1"/>
  <c r="AD69" i="1"/>
  <c r="AD71" i="1"/>
  <c r="M111" i="1"/>
  <c r="M84" i="1"/>
  <c r="M86" i="1"/>
  <c r="M88" i="1"/>
  <c r="M92" i="1"/>
  <c r="AE36" i="1"/>
  <c r="AF36" i="1" s="1"/>
  <c r="AE28" i="1"/>
  <c r="AF28" i="1" s="1"/>
  <c r="AC49" i="1"/>
  <c r="AE60" i="1"/>
  <c r="AF60" i="1" s="1"/>
  <c r="X17" i="2"/>
  <c r="T17" i="2"/>
  <c r="AD58" i="1"/>
  <c r="AD60" i="1"/>
  <c r="M100" i="1"/>
  <c r="M104" i="1"/>
  <c r="M108" i="1"/>
  <c r="M110" i="1"/>
  <c r="M89" i="1"/>
  <c r="M91" i="1"/>
  <c r="M93" i="1"/>
  <c r="AF38" i="1"/>
  <c r="AC48" i="1"/>
  <c r="AC55" i="1"/>
  <c r="AE66" i="1"/>
  <c r="AF66" i="1" s="1"/>
  <c r="AC43" i="1"/>
  <c r="AE45" i="1"/>
  <c r="AF45" i="1" s="1"/>
  <c r="AC47" i="1"/>
  <c r="AE54" i="1"/>
  <c r="AF54" i="1" s="1"/>
  <c r="AD57" i="1"/>
  <c r="AD59" i="1"/>
  <c r="AC73" i="1"/>
  <c r="M101" i="1"/>
  <c r="M103" i="1"/>
  <c r="M105" i="1"/>
  <c r="R17" i="2"/>
  <c r="V17" i="2"/>
  <c r="AC38" i="1"/>
  <c r="AE42" i="1"/>
  <c r="AF42" i="1" s="1"/>
  <c r="AE50" i="1"/>
  <c r="AF50" i="1" s="1"/>
  <c r="AD35" i="1"/>
  <c r="AD40" i="1"/>
  <c r="AD42" i="1"/>
  <c r="AD49" i="1"/>
  <c r="AE63" i="1"/>
  <c r="AF63" i="1" s="1"/>
  <c r="AE72" i="1"/>
  <c r="AF72" i="1" s="1"/>
  <c r="M80" i="1"/>
  <c r="V77" i="1"/>
  <c r="AC53" i="1"/>
  <c r="AC59" i="1"/>
  <c r="AC65" i="1"/>
  <c r="AC71" i="1"/>
  <c r="AE35" i="1"/>
  <c r="AF35" i="1" s="1"/>
  <c r="AC40" i="1"/>
  <c r="AC46" i="1"/>
  <c r="AE47" i="1"/>
  <c r="AF47" i="1" s="1"/>
  <c r="AC52" i="1"/>
  <c r="AE53" i="1"/>
  <c r="AF53" i="1" s="1"/>
  <c r="AC58" i="1"/>
  <c r="AE59" i="1"/>
  <c r="AF59" i="1" s="1"/>
  <c r="AC64" i="1"/>
  <c r="AE65" i="1"/>
  <c r="AF65" i="1" s="1"/>
  <c r="AC70" i="1"/>
  <c r="AE71" i="1"/>
  <c r="AF71" i="1" s="1"/>
  <c r="AC35" i="1"/>
  <c r="AE41" i="1"/>
  <c r="AF41" i="1" s="1"/>
  <c r="AC39" i="1"/>
  <c r="AE40" i="1"/>
  <c r="AF40" i="1" s="1"/>
  <c r="AC45" i="1"/>
  <c r="AE46" i="1"/>
  <c r="AF46" i="1" s="1"/>
  <c r="AC51" i="1"/>
  <c r="AE52" i="1"/>
  <c r="AF52" i="1" s="1"/>
  <c r="AC57" i="1"/>
  <c r="AE58" i="1"/>
  <c r="AF58" i="1" s="1"/>
  <c r="AC63" i="1"/>
  <c r="AE64" i="1"/>
  <c r="AF64" i="1" s="1"/>
  <c r="AC69" i="1"/>
  <c r="AE70" i="1"/>
  <c r="AF70" i="1" s="1"/>
  <c r="AC44" i="1"/>
  <c r="AC50" i="1"/>
  <c r="AC56" i="1"/>
  <c r="AC62" i="1"/>
  <c r="AC68" i="1"/>
  <c r="AC74" i="1"/>
  <c r="AE74" i="1"/>
  <c r="AF74" i="1" s="1"/>
  <c r="AD33" i="1"/>
  <c r="AD4" i="1"/>
  <c r="AC34" i="1"/>
  <c r="AD28" i="1"/>
  <c r="AD19" i="1"/>
  <c r="AD93" i="1" s="1"/>
  <c r="AE25" i="1"/>
  <c r="AF25" i="1" s="1"/>
  <c r="AE31" i="1"/>
  <c r="AF31" i="1" s="1"/>
  <c r="AE21" i="1"/>
  <c r="AF21" i="1" s="1"/>
  <c r="AD32" i="1"/>
  <c r="AD18" i="1"/>
  <c r="AD24" i="1"/>
  <c r="AD22" i="1"/>
  <c r="AD11" i="1"/>
  <c r="AD14" i="1"/>
  <c r="AD88" i="1" s="1"/>
  <c r="AD23" i="1"/>
  <c r="AD26" i="1"/>
  <c r="AD100" i="1" s="1"/>
  <c r="AC24" i="1"/>
  <c r="AC27" i="1"/>
  <c r="AD3" i="1"/>
  <c r="AD77" i="1" s="1"/>
  <c r="AD6" i="1"/>
  <c r="AD80" i="1" s="1"/>
  <c r="AD9" i="1"/>
  <c r="AD12" i="1"/>
  <c r="AD15" i="1"/>
  <c r="AD89" i="1" s="1"/>
  <c r="AD21" i="1"/>
  <c r="AC18" i="1"/>
  <c r="AC92" i="1" s="1"/>
  <c r="AE30" i="1"/>
  <c r="AF30" i="1" s="1"/>
  <c r="AD30" i="1"/>
  <c r="AD25" i="1"/>
  <c r="AE22" i="1"/>
  <c r="AF22" i="1" s="1"/>
  <c r="AD31" i="1"/>
  <c r="AD20" i="1"/>
  <c r="AE3" i="1"/>
  <c r="AF3" i="1" s="1"/>
  <c r="AC6" i="1"/>
  <c r="AC12" i="1"/>
  <c r="AC15" i="1"/>
  <c r="AC21" i="1"/>
  <c r="AC95" i="1" s="1"/>
  <c r="AE29" i="1"/>
  <c r="AF29" i="1" s="1"/>
  <c r="AE34" i="1"/>
  <c r="AF34" i="1" s="1"/>
  <c r="AE23" i="1"/>
  <c r="AF23" i="1" s="1"/>
  <c r="AE33" i="1"/>
  <c r="AF33" i="1" s="1"/>
  <c r="AE26" i="1"/>
  <c r="AF26" i="1" s="1"/>
  <c r="AE18" i="1"/>
  <c r="AF18" i="1" s="1"/>
  <c r="AE19" i="1"/>
  <c r="AF19" i="1" s="1"/>
  <c r="AE27" i="1"/>
  <c r="AF27" i="1" s="1"/>
  <c r="AD29" i="1"/>
  <c r="AE24" i="1"/>
  <c r="AF24" i="1" s="1"/>
  <c r="AC19" i="1"/>
  <c r="AE20" i="1"/>
  <c r="AF20" i="1" s="1"/>
  <c r="AC30" i="1"/>
  <c r="AC104" i="1" s="1"/>
  <c r="AE32" i="1"/>
  <c r="AF32" i="1" s="1"/>
  <c r="AC33" i="1"/>
  <c r="AC20" i="1"/>
  <c r="AC23" i="1"/>
  <c r="AC26" i="1"/>
  <c r="AC29" i="1"/>
  <c r="AC32" i="1"/>
  <c r="AC22" i="1"/>
  <c r="AC25" i="1"/>
  <c r="AC28" i="1"/>
  <c r="AC102" i="1" s="1"/>
  <c r="AC31" i="1"/>
  <c r="AD13" i="1"/>
  <c r="AD16" i="1"/>
  <c r="AD7" i="1"/>
  <c r="AD10" i="1"/>
  <c r="AD5" i="1"/>
  <c r="AC9" i="1"/>
  <c r="AD17" i="1"/>
  <c r="AD91" i="1" s="1"/>
  <c r="AC5" i="1"/>
  <c r="AC79" i="1" s="1"/>
  <c r="AC8" i="1"/>
  <c r="AC11" i="1"/>
  <c r="AC14" i="1"/>
  <c r="AC17" i="1"/>
  <c r="AC91" i="1" s="1"/>
  <c r="AE5" i="1"/>
  <c r="AF5" i="1" s="1"/>
  <c r="AE8" i="1"/>
  <c r="AF8" i="1" s="1"/>
  <c r="AE11" i="1"/>
  <c r="AF11" i="1" s="1"/>
  <c r="AE14" i="1"/>
  <c r="AF14" i="1" s="1"/>
  <c r="AE17" i="1"/>
  <c r="AF17" i="1" s="1"/>
  <c r="AC4" i="1"/>
  <c r="AC7" i="1"/>
  <c r="AC10" i="1"/>
  <c r="AC13" i="1"/>
  <c r="AC16" i="1"/>
  <c r="AE4" i="1"/>
  <c r="AF4" i="1" s="1"/>
  <c r="AE7" i="1"/>
  <c r="AF7" i="1" s="1"/>
  <c r="AE10" i="1"/>
  <c r="AF10" i="1" s="1"/>
  <c r="AE13" i="1"/>
  <c r="AF13" i="1" s="1"/>
  <c r="AE16" i="1"/>
  <c r="AF16" i="1" s="1"/>
  <c r="AE6" i="1"/>
  <c r="AF6" i="1" s="1"/>
  <c r="AE9" i="1"/>
  <c r="AF9" i="1" s="1"/>
  <c r="AE12" i="1"/>
  <c r="AF12" i="1" s="1"/>
  <c r="AE15" i="1"/>
  <c r="AF15" i="1" s="1"/>
  <c r="AC3" i="1"/>
  <c r="AD82" i="1" l="1"/>
  <c r="AD104" i="1"/>
  <c r="AC112" i="1"/>
  <c r="AD112" i="1"/>
  <c r="AC98" i="1"/>
  <c r="AC108" i="1"/>
  <c r="AD110" i="1"/>
  <c r="AD108" i="1"/>
  <c r="AC103" i="1"/>
  <c r="AC101" i="1"/>
  <c r="AD102" i="1"/>
  <c r="AD101" i="1"/>
  <c r="AD78" i="1"/>
  <c r="AD85" i="1"/>
  <c r="AC78" i="1"/>
  <c r="AC97" i="1"/>
  <c r="AC111" i="1"/>
  <c r="AC106" i="1"/>
  <c r="AC89" i="1"/>
  <c r="AC81" i="1"/>
  <c r="AD84" i="1"/>
  <c r="AD99" i="1"/>
  <c r="AD109" i="1"/>
  <c r="AC93" i="1"/>
  <c r="AC107" i="1"/>
  <c r="AD87" i="1"/>
  <c r="AD107" i="1"/>
  <c r="AC105" i="1"/>
  <c r="AD96" i="1"/>
  <c r="AD98" i="1"/>
  <c r="AC99" i="1"/>
  <c r="AC86" i="1"/>
  <c r="AC80" i="1"/>
  <c r="AD83" i="1"/>
  <c r="AD106" i="1"/>
  <c r="AD79" i="1"/>
  <c r="AD105" i="1"/>
  <c r="AC94" i="1"/>
  <c r="AC100" i="1"/>
  <c r="AC109" i="1"/>
  <c r="AD94" i="1"/>
  <c r="AD81" i="1"/>
  <c r="AC83" i="1"/>
  <c r="AD97" i="1"/>
  <c r="AD95" i="1"/>
  <c r="AD90" i="1"/>
  <c r="AC85" i="1"/>
  <c r="AC87" i="1"/>
  <c r="AC96" i="1"/>
  <c r="AD103" i="1"/>
  <c r="AD86" i="1"/>
  <c r="AD92" i="1"/>
  <c r="AC88" i="1"/>
  <c r="AC90" i="1"/>
  <c r="AC82" i="1"/>
  <c r="AC77" i="1"/>
  <c r="AC84" i="1"/>
</calcChain>
</file>

<file path=xl/sharedStrings.xml><?xml version="1.0" encoding="utf-8"?>
<sst xmlns="http://schemas.openxmlformats.org/spreadsheetml/2006/main" count="190" uniqueCount="94">
  <si>
    <t>azimut</t>
  </si>
  <si>
    <t>n</t>
  </si>
  <si>
    <t>xA_prumer</t>
  </si>
  <si>
    <t>xC_prumer</t>
  </si>
  <si>
    <t>diffx_prumer</t>
  </si>
  <si>
    <t>yA_prumer</t>
  </si>
  <si>
    <t>yC_prumer</t>
  </si>
  <si>
    <t>diffy_prumer</t>
  </si>
  <si>
    <t>axA_prumer</t>
  </si>
  <si>
    <t>axC_prumer</t>
  </si>
  <si>
    <t>diffax_prumer</t>
  </si>
  <si>
    <t>ayA_prumer</t>
  </si>
  <si>
    <t>ayC_prumer</t>
  </si>
  <si>
    <t>diffay_prumer</t>
  </si>
  <si>
    <t>(yA-yC)/2</t>
  </si>
  <si>
    <t>Theoretical earth rotation rate</t>
  </si>
  <si>
    <t>°/s</t>
  </si>
  <si>
    <t>Latitude</t>
  </si>
  <si>
    <t>°</t>
  </si>
  <si>
    <t>Theoretical earth rotation rate at latitude cos(lat)</t>
  </si>
  <si>
    <t>Rotation direction</t>
  </si>
  <si>
    <t>Cycles</t>
  </si>
  <si>
    <t>Samples per position</t>
  </si>
  <si>
    <t>Trim</t>
  </si>
  <si>
    <t>°/°</t>
  </si>
  <si>
    <t>min X</t>
  </si>
  <si>
    <t>min Y</t>
  </si>
  <si>
    <t>max X</t>
  </si>
  <si>
    <t>max Y</t>
  </si>
  <si>
    <t>Test ID</t>
  </si>
  <si>
    <t>Mount azimuth</t>
  </si>
  <si>
    <t>Arm start azimuth</t>
  </si>
  <si>
    <t>Measuring plane deviation/slope azimuth</t>
  </si>
  <si>
    <t>Azimuth step</t>
  </si>
  <si>
    <t>Azimuth step count</t>
  </si>
  <si>
    <t>Total samples</t>
  </si>
  <si>
    <t>Cable protection</t>
  </si>
  <si>
    <t>axA</t>
  </si>
  <si>
    <t>ayA</t>
  </si>
  <si>
    <t>axC</t>
  </si>
  <si>
    <t>ayC</t>
  </si>
  <si>
    <t>tiltA</t>
  </si>
  <si>
    <t>tiltC</t>
  </si>
  <si>
    <t>směr náklonu A</t>
  </si>
  <si>
    <t>kontrola azimut+směr</t>
  </si>
  <si>
    <t>Description/title:</t>
  </si>
  <si>
    <t>Code:</t>
  </si>
  <si>
    <t>CC/CCW</t>
  </si>
  <si>
    <t>|</t>
  </si>
  <si>
    <t>Location</t>
  </si>
  <si>
    <t>Orientation</t>
  </si>
  <si>
    <t>smer</t>
  </si>
  <si>
    <t>tA_prumer</t>
  </si>
  <si>
    <t>tC_prumer</t>
  </si>
  <si>
    <t>difft_prumer</t>
  </si>
  <si>
    <t>cyklus</t>
  </si>
  <si>
    <t>living room</t>
  </si>
  <si>
    <t>(xC-xA)/2</t>
  </si>
  <si>
    <t xml:space="preserve">Test (Randomized 360° Step Scan) </t>
  </si>
  <si>
    <t>- Rotace ramene CW/CCW
- Náhodné azimuty pro celých 360°
- Azimut ramene při startu vžy 0° (sever)
- Kalibrace do nulového náklony do 0,5° (přibližně)
- Oprava xA-xC na správný směr xC-xA</t>
  </si>
  <si>
    <t>- _najdi sever 3-move to azimuth-AC-watchdog.py
- HORIZONTAL slepý test 360-kontrola accel-lepší csv-azimut parametr-fixed trim settle-s navratem do A-antibacklash-CW-CCW-I2Coprava-název testu-teplota-oprava2-watchdog.py</t>
  </si>
  <si>
    <t>CCW</t>
  </si>
  <si>
    <t>CW</t>
  </si>
  <si>
    <t>Harmonická regrese pomocí LINEST</t>
  </si>
  <si>
    <t>n_data =</t>
  </si>
  <si>
    <t>Model: diff(θ) = a0 + a1·cos(θ) + a2·sin(θ)  [+ a3·cos(2θ) + a4·sin(2θ) pro 2. harmonickou]. Amplituda = √(a1²+a2²), fáze = atan2(a2,a1).</t>
  </si>
  <si>
    <t>Modře = vstupní data k přepsání (sloupce A:C). Vlož azimut, diffx_prumer, diffy_prumer z mereni_random_summary.csv.</t>
  </si>
  <si>
    <t>Azimut (°)</t>
  </si>
  <si>
    <t>diffX_prumer (°/s)</t>
  </si>
  <si>
    <t>diffY_prumer (°/s)</t>
  </si>
  <si>
    <t>θ (rad)</t>
  </si>
  <si>
    <t>cos θ</t>
  </si>
  <si>
    <t>sin θ</t>
  </si>
  <si>
    <t>cos 2θ</t>
  </si>
  <si>
    <t>sin 2θ</t>
  </si>
  <si>
    <t>Azimut - proklad (°)</t>
  </si>
  <si>
    <t>diffX proklad (1H)</t>
  </si>
  <si>
    <t>diffY proklad (1H)</t>
  </si>
  <si>
    <t>Osa X - 1. harmonická (cos θ, sin θ)</t>
  </si>
  <si>
    <t>Koeficient</t>
  </si>
  <si>
    <t>Hodnota</t>
  </si>
  <si>
    <t>a_sin</t>
  </si>
  <si>
    <t>a_cos</t>
  </si>
  <si>
    <t>a0 (intercept)</t>
  </si>
  <si>
    <t>R²</t>
  </si>
  <si>
    <t>SE odhadu (y)</t>
  </si>
  <si>
    <t>Amplituda (°/s)</t>
  </si>
  <si>
    <t>Fáze (°, 0-360)</t>
  </si>
  <si>
    <t>Osa Y - 1. harmonická (cos θ, sin θ)</t>
  </si>
  <si>
    <t>T19-6</t>
  </si>
  <si>
    <t>0 najdi sever ???</t>
  </si>
  <si>
    <t>↗</t>
  </si>
  <si>
    <t>0°?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</si>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</sst>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"/>
    <numFmt numFmtId="165" formatCode="0.0000000"/>
    <numFmt numFmtId="166" formatCode="0.0000"/>
    <numFmt numFmtId="167" formatCode="0.000"/>
  </numFmts>
  <fonts count="13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30"/>
      <color theme="1"/>
      <name val="Calibri"/>
      <family val="2"/>
      <charset val="238"/>
      <scheme val="minor"/>
    </font>
    <font>
      <b/>
      <sz val="30"/>
      <color rgb="FFFF0000"/>
      <name val="Calibri"/>
      <family val="2"/>
      <charset val="238"/>
      <scheme val="minor"/>
    </font>
    <font>
      <b/>
      <sz val="22"/>
      <color rgb="FFFF0000"/>
      <name val="Calibri"/>
      <family val="2"/>
      <charset val="238"/>
      <scheme val="minor"/>
    </font>
    <font>
      <b/>
      <sz val="24"/>
      <color theme="1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i/>
      <sz val="12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rgb="FFBFBFBF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1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49" fontId="1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0" fontId="1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top" wrapText="1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4" fontId="5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0" fontId="0" fillId="2" borderId="0" xfId="0" applyFill="1" applyAlignment="1">
      <alignment horizontal="right"/>
    </xf>
    <xf numFmtId="164" fontId="0" fillId="2" borderId="0" xfId="0" applyNumberForma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2" fontId="5" fillId="2" borderId="0" xfId="0" applyNumberFormat="1" applyFont="1" applyFill="1" applyAlignment="1">
      <alignment horizontal="right"/>
    </xf>
    <xf numFmtId="0" fontId="0" fillId="2" borderId="0" xfId="0" applyFill="1"/>
    <xf numFmtId="0" fontId="10" fillId="0" borderId="0" xfId="0" applyFont="1"/>
    <xf numFmtId="0" fontId="10" fillId="3" borderId="16" xfId="0" applyFont="1" applyFill="1" applyBorder="1"/>
    <xf numFmtId="0" fontId="10" fillId="0" borderId="16" xfId="0" applyFont="1" applyBorder="1"/>
    <xf numFmtId="165" fontId="10" fillId="0" borderId="16" xfId="0" applyNumberFormat="1" applyFont="1" applyBorder="1"/>
    <xf numFmtId="2" fontId="10" fillId="0" borderId="16" xfId="0" applyNumberFormat="1" applyFont="1" applyBorder="1"/>
    <xf numFmtId="0" fontId="10" fillId="0" borderId="17" xfId="0" applyFont="1" applyBorder="1"/>
    <xf numFmtId="165" fontId="10" fillId="0" borderId="17" xfId="0" applyNumberFormat="1" applyFont="1" applyBorder="1"/>
    <xf numFmtId="0" fontId="11" fillId="0" borderId="0" xfId="0" applyFont="1"/>
    <xf numFmtId="0" fontId="12" fillId="0" borderId="0" xfId="0" applyFont="1"/>
    <xf numFmtId="0" fontId="11" fillId="0" borderId="16" xfId="0" applyFont="1" applyBorder="1" applyAlignment="1">
      <alignment horizontal="center"/>
    </xf>
    <xf numFmtId="165" fontId="11" fillId="0" borderId="16" xfId="0" applyNumberFormat="1" applyFont="1" applyBorder="1" applyAlignment="1">
      <alignment horizontal="center"/>
    </xf>
    <xf numFmtId="0" fontId="11" fillId="0" borderId="16" xfId="0" applyFont="1" applyBorder="1"/>
    <xf numFmtId="165" fontId="11" fillId="0" borderId="16" xfId="0" applyNumberFormat="1" applyFont="1" applyBorder="1"/>
    <xf numFmtId="166" fontId="11" fillId="0" borderId="16" xfId="0" applyNumberFormat="1" applyFont="1" applyBorder="1"/>
    <xf numFmtId="0" fontId="11" fillId="0" borderId="1" xfId="0" applyFont="1" applyBorder="1" applyAlignment="1">
      <alignment horizontal="right"/>
    </xf>
    <xf numFmtId="164" fontId="11" fillId="0" borderId="1" xfId="0" applyNumberFormat="1" applyFont="1" applyBorder="1" applyAlignment="1">
      <alignment horizontal="right"/>
    </xf>
    <xf numFmtId="0" fontId="11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0" xfId="0" applyFont="1" applyAlignment="1">
      <alignment horizontal="center" wrapText="1"/>
    </xf>
    <xf numFmtId="164" fontId="11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  <xf numFmtId="165" fontId="11" fillId="0" borderId="0" xfId="0" applyNumberFormat="1" applyFont="1"/>
    <xf numFmtId="166" fontId="11" fillId="0" borderId="0" xfId="0" applyNumberFormat="1" applyFont="1"/>
    <xf numFmtId="165" fontId="10" fillId="0" borderId="0" xfId="0" applyNumberFormat="1" applyFont="1"/>
    <xf numFmtId="2" fontId="10" fillId="0" borderId="0" xfId="0" applyNumberFormat="1" applyFont="1"/>
    <xf numFmtId="2" fontId="10" fillId="0" borderId="0" xfId="0" applyNumberFormat="1" applyFont="1" applyAlignment="1">
      <alignment horizontal="center"/>
    </xf>
    <xf numFmtId="167" fontId="10" fillId="0" borderId="0" xfId="0" applyNumberFormat="1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6" fillId="0" borderId="0" xfId="0" applyFont="1" applyAlignment="1">
      <alignment horizontal="right" vertical="center"/>
    </xf>
    <xf numFmtId="0" fontId="6" fillId="0" borderId="9" xfId="0" applyFont="1" applyBorder="1" applyAlignment="1">
      <alignment horizontal="right" vertical="center"/>
    </xf>
    <xf numFmtId="0" fontId="1" fillId="0" borderId="3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textRotation="45"/>
    </xf>
    <xf numFmtId="0" fontId="6" fillId="0" borderId="14" xfId="0" applyFont="1" applyBorder="1" applyAlignment="1">
      <alignment horizontal="center" vertical="center" textRotation="45"/>
    </xf>
    <xf numFmtId="0" fontId="6" fillId="0" borderId="15" xfId="0" applyFont="1" applyBorder="1" applyAlignment="1">
      <alignment horizontal="center" vertical="center" textRotation="45"/>
    </xf>
    <xf numFmtId="0" fontId="6" fillId="0" borderId="10" xfId="0" applyFont="1" applyBorder="1" applyAlignment="1">
      <alignment horizontal="left" vertical="center"/>
    </xf>
    <xf numFmtId="49" fontId="1" fillId="0" borderId="5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6" xfId="0" applyNumberFormat="1" applyFont="1" applyBorder="1" applyAlignment="1">
      <alignment horizontal="left" vertical="top" wrapText="1"/>
    </xf>
    <xf numFmtId="49" fontId="1" fillId="0" borderId="9" xfId="0" applyNumberFormat="1" applyFont="1" applyBorder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49" fontId="1" fillId="0" borderId="10" xfId="0" applyNumberFormat="1" applyFont="1" applyBorder="1" applyAlignment="1">
      <alignment horizontal="left" vertical="top" wrapText="1"/>
    </xf>
    <xf numFmtId="49" fontId="1" fillId="0" borderId="11" xfId="0" applyNumberFormat="1" applyFont="1" applyBorder="1" applyAlignment="1">
      <alignment horizontal="left" vertical="top" wrapText="1"/>
    </xf>
    <xf numFmtId="49" fontId="1" fillId="0" borderId="12" xfId="0" applyNumberFormat="1" applyFont="1" applyBorder="1" applyAlignment="1">
      <alignment horizontal="left" vertical="top" wrapText="1"/>
    </xf>
    <xf numFmtId="49" fontId="1" fillId="0" borderId="13" xfId="0" applyNumberFormat="1" applyFont="1" applyBorder="1" applyAlignment="1">
      <alignment horizontal="left" vertical="top" wrapText="1"/>
    </xf>
    <xf numFmtId="0" fontId="1" fillId="0" borderId="3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6" fillId="0" borderId="0" xfId="0" applyFont="1" applyAlignment="1">
      <alignment horizontal="left" vertical="center" textRotation="45"/>
    </xf>
    <xf numFmtId="0" fontId="6" fillId="0" borderId="0" xfId="0" applyFont="1" applyAlignment="1">
      <alignment horizontal="right" vertical="center" textRotation="135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textRotation="90"/>
    </xf>
    <xf numFmtId="0" fontId="6" fillId="0" borderId="0" xfId="0" applyFont="1" applyAlignment="1">
      <alignment horizontal="center" textRotation="90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45"/>
    </xf>
    <xf numFmtId="0" fontId="9" fillId="0" borderId="7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left"/>
    </xf>
    <xf numFmtId="3" fontId="2" fillId="0" borderId="4" xfId="0" applyNumberFormat="1" applyFont="1" applyBorder="1" applyAlignment="1">
      <alignment horizontal="left"/>
    </xf>
    <xf numFmtId="0" fontId="1" fillId="0" borderId="12" xfId="0" applyFont="1" applyBorder="1" applyAlignment="1">
      <alignment horizontal="center"/>
    </xf>
    <xf numFmtId="0" fontId="10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0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Earth rotation rate gyroscope raw data CW-CCW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'T19-6'!$U$2</c:f>
              <c:strCache>
                <c:ptCount val="1"/>
                <c:pt idx="0">
                  <c:v>(xC-xA)/2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'T19-6'!$C$3:$C$38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'T19-6'!$U$3:$U$38</c:f>
              <c:numCache>
                <c:formatCode>0.000000</c:formatCode>
                <c:ptCount val="36"/>
                <c:pt idx="0">
                  <c:v>1.4645400000000142E-3</c:v>
                </c:pt>
                <c:pt idx="1">
                  <c:v>2.1460500000000104E-3</c:v>
                </c:pt>
                <c:pt idx="2">
                  <c:v>1.6217500000000051E-3</c:v>
                </c:pt>
                <c:pt idx="3">
                  <c:v>3.1556000000000084E-3</c:v>
                </c:pt>
                <c:pt idx="4">
                  <c:v>2.5000599999999984E-3</c:v>
                </c:pt>
                <c:pt idx="5">
                  <c:v>7.3592000000000102E-4</c:v>
                </c:pt>
                <c:pt idx="6">
                  <c:v>1.5630500000000103E-3</c:v>
                </c:pt>
                <c:pt idx="7">
                  <c:v>4.3545999999999863E-4</c:v>
                </c:pt>
                <c:pt idx="8">
                  <c:v>4.96255000000001E-3</c:v>
                </c:pt>
                <c:pt idx="9">
                  <c:v>-1.0480099999999881E-3</c:v>
                </c:pt>
                <c:pt idx="10">
                  <c:v>-8.9310000000000778E-4</c:v>
                </c:pt>
                <c:pt idx="11">
                  <c:v>-4.899200000000048E-4</c:v>
                </c:pt>
                <c:pt idx="12">
                  <c:v>8.2922999999998637E-4</c:v>
                </c:pt>
                <c:pt idx="13">
                  <c:v>-2.9388000000000192E-3</c:v>
                </c:pt>
                <c:pt idx="14">
                  <c:v>-1.4864400000000055E-3</c:v>
                </c:pt>
                <c:pt idx="15">
                  <c:v>-2.7073499999999973E-3</c:v>
                </c:pt>
                <c:pt idx="16">
                  <c:v>-1.9980399999999787E-3</c:v>
                </c:pt>
                <c:pt idx="17">
                  <c:v>-3.3620199999999933E-3</c:v>
                </c:pt>
                <c:pt idx="18">
                  <c:v>-2.5646400000000069E-3</c:v>
                </c:pt>
                <c:pt idx="19">
                  <c:v>-7.1549999999998004E-4</c:v>
                </c:pt>
                <c:pt idx="20">
                  <c:v>-3.5700199999999793E-3</c:v>
                </c:pt>
                <c:pt idx="21">
                  <c:v>-1.0207600000000094E-3</c:v>
                </c:pt>
                <c:pt idx="22">
                  <c:v>-2.2834599999999872E-3</c:v>
                </c:pt>
                <c:pt idx="23">
                  <c:v>-2.880340000000009E-3</c:v>
                </c:pt>
                <c:pt idx="24">
                  <c:v>5.1412000000000679E-4</c:v>
                </c:pt>
                <c:pt idx="25">
                  <c:v>6.1410000000000631E-4</c:v>
                </c:pt>
                <c:pt idx="26">
                  <c:v>2.7086000000001165E-4</c:v>
                </c:pt>
                <c:pt idx="27">
                  <c:v>-7.7880000000002392E-5</c:v>
                </c:pt>
                <c:pt idx="28">
                  <c:v>-9.8316999999997767E-4</c:v>
                </c:pt>
                <c:pt idx="29">
                  <c:v>2.1569499999999908E-3</c:v>
                </c:pt>
                <c:pt idx="30">
                  <c:v>-1.0375599999999929E-3</c:v>
                </c:pt>
                <c:pt idx="31">
                  <c:v>1.8301800000000146E-3</c:v>
                </c:pt>
                <c:pt idx="32">
                  <c:v>1.6930199999999895E-3</c:v>
                </c:pt>
                <c:pt idx="33">
                  <c:v>2.6918499999999956E-3</c:v>
                </c:pt>
                <c:pt idx="34">
                  <c:v>2.1270399999999967E-3</c:v>
                </c:pt>
                <c:pt idx="35">
                  <c:v>2.7612800000000048E-3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1AB7-49A3-B47D-D9EEBD6F287D}"/>
            </c:ext>
          </c:extLst>
        </c:ser>
        <c:ser>
          <c:idx val="1"/>
          <c:order val="1"/>
          <c:tx>
            <c:strRef>
              <c:f>'T19-6'!$V$2</c:f>
              <c:strCache>
                <c:ptCount val="1"/>
                <c:pt idx="0">
                  <c:v>(yA-yC)/2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extLst xmlns:c15="http://schemas.microsoft.com/office/drawing/2012/chart">
              <c:ext xmlns:c16="http://schemas.microsoft.com/office/drawing/2014/chart" uri="{C3380CC4-5D6E-409C-BE32-E72D297353CC}">
                <c16:uniqueId val="{00000001-1839-4B3C-9E09-FB5901B765D7}"/>
              </c:ext>
            </c:extLst>
          </c:dPt>
          <c:cat>
            <c:numRef>
              <c:f>'T19-6'!$C$3:$C$38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'T19-6'!$V$3:$V$38</c:f>
              <c:numCache>
                <c:formatCode>0.000000</c:formatCode>
                <c:ptCount val="36"/>
                <c:pt idx="0">
                  <c:v>-1.6264899999999805E-3</c:v>
                </c:pt>
                <c:pt idx="1">
                  <c:v>2.7493000000000656E-4</c:v>
                </c:pt>
                <c:pt idx="2">
                  <c:v>1.3074000000000141E-3</c:v>
                </c:pt>
                <c:pt idx="3">
                  <c:v>-4.7223999999995714E-4</c:v>
                </c:pt>
                <c:pt idx="4">
                  <c:v>4.014500000000254E-4</c:v>
                </c:pt>
                <c:pt idx="5">
                  <c:v>3.2337000000004501E-4</c:v>
                </c:pt>
                <c:pt idx="6">
                  <c:v>3.8162599999999602E-3</c:v>
                </c:pt>
                <c:pt idx="7">
                  <c:v>-1.3062500000000088E-3</c:v>
                </c:pt>
                <c:pt idx="8">
                  <c:v>1.4512299999999978E-2</c:v>
                </c:pt>
                <c:pt idx="9">
                  <c:v>1.7395399999999839E-3</c:v>
                </c:pt>
                <c:pt idx="10">
                  <c:v>1.1833500000000274E-3</c:v>
                </c:pt>
                <c:pt idx="11">
                  <c:v>3.7458599999999898E-3</c:v>
                </c:pt>
                <c:pt idx="12">
                  <c:v>-1.9335500000000061E-3</c:v>
                </c:pt>
                <c:pt idx="13">
                  <c:v>2.3886300000000027E-3</c:v>
                </c:pt>
                <c:pt idx="14">
                  <c:v>6.3480000000004644E-5</c:v>
                </c:pt>
                <c:pt idx="15">
                  <c:v>8.7832999999998274E-4</c:v>
                </c:pt>
                <c:pt idx="16">
                  <c:v>6.7900000000009619E-5</c:v>
                </c:pt>
                <c:pt idx="17">
                  <c:v>-6.8788000000002958E-4</c:v>
                </c:pt>
                <c:pt idx="18">
                  <c:v>-3.4803999999999391E-4</c:v>
                </c:pt>
                <c:pt idx="19">
                  <c:v>-4.0154999999997276E-4</c:v>
                </c:pt>
                <c:pt idx="20">
                  <c:v>-2.6718699999999651E-3</c:v>
                </c:pt>
                <c:pt idx="21">
                  <c:v>-2.7973000000000026E-3</c:v>
                </c:pt>
                <c:pt idx="22">
                  <c:v>-2.2050999999999599E-3</c:v>
                </c:pt>
                <c:pt idx="23">
                  <c:v>-2.4056899999999604E-3</c:v>
                </c:pt>
                <c:pt idx="24">
                  <c:v>-2.4009400000000181E-3</c:v>
                </c:pt>
                <c:pt idx="25">
                  <c:v>2.005060000000003E-3</c:v>
                </c:pt>
                <c:pt idx="26">
                  <c:v>-2.3402500000000437E-3</c:v>
                </c:pt>
                <c:pt idx="27">
                  <c:v>-4.5974999999999766E-3</c:v>
                </c:pt>
                <c:pt idx="28">
                  <c:v>-3.6165699999999856E-3</c:v>
                </c:pt>
                <c:pt idx="29">
                  <c:v>-2.6932999999995655E-4</c:v>
                </c:pt>
                <c:pt idx="30">
                  <c:v>-2.1777499999999783E-3</c:v>
                </c:pt>
                <c:pt idx="31">
                  <c:v>-3.4775999999999696E-3</c:v>
                </c:pt>
                <c:pt idx="32">
                  <c:v>-1.8988999999999812E-3</c:v>
                </c:pt>
                <c:pt idx="33">
                  <c:v>-8.154900000000298E-4</c:v>
                </c:pt>
                <c:pt idx="34">
                  <c:v>-3.1980199999999681E-3</c:v>
                </c:pt>
                <c:pt idx="35">
                  <c:v>5.5837999999996946E-4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1AB7-49A3-B47D-D9EEBD6F287D}"/>
            </c:ext>
          </c:extLst>
        </c:ser>
        <c:ser>
          <c:idx val="2"/>
          <c:order val="2"/>
          <c:tx>
            <c:strRef>
              <c:f>'T19-6'!$U$2</c:f>
              <c:strCache>
                <c:ptCount val="1"/>
                <c:pt idx="0">
                  <c:v>(xC-xA)/2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'T19-6'!$C$3:$C$38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'T19-6'!$U$39:$U$74</c:f>
              <c:numCache>
                <c:formatCode>0.000000</c:formatCode>
                <c:ptCount val="36"/>
                <c:pt idx="0">
                  <c:v>2.100249999999998E-3</c:v>
                </c:pt>
                <c:pt idx="1">
                  <c:v>2.5110799999999989E-3</c:v>
                </c:pt>
                <c:pt idx="2">
                  <c:v>3.1683799999999984E-3</c:v>
                </c:pt>
                <c:pt idx="3">
                  <c:v>1.571870000000003E-3</c:v>
                </c:pt>
                <c:pt idx="4">
                  <c:v>1.1507600000000007E-3</c:v>
                </c:pt>
                <c:pt idx="5">
                  <c:v>1.7354099999999928E-3</c:v>
                </c:pt>
                <c:pt idx="6">
                  <c:v>-2.875119999999981E-3</c:v>
                </c:pt>
                <c:pt idx="7">
                  <c:v>-1.6459200000000229E-3</c:v>
                </c:pt>
                <c:pt idx="8">
                  <c:v>-2.7031999999999057E-4</c:v>
                </c:pt>
                <c:pt idx="9">
                  <c:v>-4.0582000000000118E-4</c:v>
                </c:pt>
                <c:pt idx="10">
                  <c:v>-1.9138300000000052E-3</c:v>
                </c:pt>
                <c:pt idx="11">
                  <c:v>1.4749599999999974E-3</c:v>
                </c:pt>
                <c:pt idx="12">
                  <c:v>-1.5418000000000098E-3</c:v>
                </c:pt>
                <c:pt idx="13">
                  <c:v>-2.7931499999999942E-3</c:v>
                </c:pt>
                <c:pt idx="14">
                  <c:v>-1.0757799999999984E-3</c:v>
                </c:pt>
                <c:pt idx="15">
                  <c:v>-3.4123699999999979E-3</c:v>
                </c:pt>
                <c:pt idx="16">
                  <c:v>-2.3103500000000166E-3</c:v>
                </c:pt>
                <c:pt idx="17">
                  <c:v>-3.9837500000000081E-3</c:v>
                </c:pt>
                <c:pt idx="18">
                  <c:v>-4.5290400000000119E-3</c:v>
                </c:pt>
                <c:pt idx="19">
                  <c:v>-1.7014399999999985E-3</c:v>
                </c:pt>
                <c:pt idx="20">
                  <c:v>-2.8000200000000142E-3</c:v>
                </c:pt>
                <c:pt idx="21">
                  <c:v>-2.4606199999999967E-3</c:v>
                </c:pt>
                <c:pt idx="22">
                  <c:v>1.3335999999999903E-4</c:v>
                </c:pt>
                <c:pt idx="23">
                  <c:v>3.1389999999992257E-5</c:v>
                </c:pt>
                <c:pt idx="24">
                  <c:v>-2.9143999999999837E-3</c:v>
                </c:pt>
                <c:pt idx="25">
                  <c:v>3.5398999999999847E-4</c:v>
                </c:pt>
                <c:pt idx="26">
                  <c:v>9.973899999999869E-4</c:v>
                </c:pt>
                <c:pt idx="27">
                  <c:v>1.5269599999999939E-3</c:v>
                </c:pt>
                <c:pt idx="28">
                  <c:v>-3.1524999999998915E-4</c:v>
                </c:pt>
                <c:pt idx="29">
                  <c:v>7.8374000000000499E-4</c:v>
                </c:pt>
                <c:pt idx="30">
                  <c:v>2.3487000000000091E-3</c:v>
                </c:pt>
                <c:pt idx="31">
                  <c:v>3.0940100000000081E-3</c:v>
                </c:pt>
                <c:pt idx="32">
                  <c:v>9.8738000000000992E-4</c:v>
                </c:pt>
                <c:pt idx="33">
                  <c:v>1.9603499999999996E-3</c:v>
                </c:pt>
                <c:pt idx="34">
                  <c:v>3.0626500000000001E-3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96-4536-9F5F-FF569D95390C}"/>
            </c:ext>
          </c:extLst>
        </c:ser>
        <c:ser>
          <c:idx val="3"/>
          <c:order val="3"/>
          <c:tx>
            <c:strRef>
              <c:f>'T19-6'!$V$2</c:f>
              <c:strCache>
                <c:ptCount val="1"/>
                <c:pt idx="0">
                  <c:v>(yA-yC)/2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'T19-6'!$C$3:$C$38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'T19-6'!$V$39:$V$74</c:f>
              <c:numCache>
                <c:formatCode>0.000000</c:formatCode>
                <c:ptCount val="36"/>
                <c:pt idx="0">
                  <c:v>-1.3332799999999922E-3</c:v>
                </c:pt>
                <c:pt idx="1">
                  <c:v>-8.2088999999996304E-4</c:v>
                </c:pt>
                <c:pt idx="2">
                  <c:v>5.4932999999995902E-4</c:v>
                </c:pt>
                <c:pt idx="3">
                  <c:v>1.306300000000038E-3</c:v>
                </c:pt>
                <c:pt idx="4">
                  <c:v>2.3809200000000086E-3</c:v>
                </c:pt>
                <c:pt idx="5">
                  <c:v>2.9354000000000324E-3</c:v>
                </c:pt>
                <c:pt idx="6">
                  <c:v>-2.2929999999998785E-4</c:v>
                </c:pt>
                <c:pt idx="7">
                  <c:v>2.5146600000000019E-3</c:v>
                </c:pt>
                <c:pt idx="8">
                  <c:v>4.1350499999999735E-3</c:v>
                </c:pt>
                <c:pt idx="9">
                  <c:v>3.158139999999976E-3</c:v>
                </c:pt>
                <c:pt idx="10">
                  <c:v>3.3098200000000189E-3</c:v>
                </c:pt>
                <c:pt idx="11">
                  <c:v>9.3311999999995399E-4</c:v>
                </c:pt>
                <c:pt idx="12">
                  <c:v>6.1751199999999784E-3</c:v>
                </c:pt>
                <c:pt idx="13">
                  <c:v>3.6265699999999956E-3</c:v>
                </c:pt>
                <c:pt idx="14">
                  <c:v>1.0125400000000062E-3</c:v>
                </c:pt>
                <c:pt idx="15">
                  <c:v>1.6459099999999727E-3</c:v>
                </c:pt>
                <c:pt idx="16">
                  <c:v>2.2886400000000084E-3</c:v>
                </c:pt>
                <c:pt idx="17">
                  <c:v>-1.6583500000000306E-3</c:v>
                </c:pt>
                <c:pt idx="18">
                  <c:v>-3.5669500000000132E-3</c:v>
                </c:pt>
                <c:pt idx="19">
                  <c:v>5.2887000000001461E-4</c:v>
                </c:pt>
                <c:pt idx="20">
                  <c:v>7.4603000000000863E-4</c:v>
                </c:pt>
                <c:pt idx="21">
                  <c:v>-5.0648000000003135E-4</c:v>
                </c:pt>
                <c:pt idx="22">
                  <c:v>-1.2126000000000081E-3</c:v>
                </c:pt>
                <c:pt idx="23">
                  <c:v>1.7494999999995153E-4</c:v>
                </c:pt>
                <c:pt idx="24">
                  <c:v>-2.4542300000000017E-3</c:v>
                </c:pt>
                <c:pt idx="25">
                  <c:v>-3.4306499999999795E-3</c:v>
                </c:pt>
                <c:pt idx="26">
                  <c:v>-1.0666599999999971E-3</c:v>
                </c:pt>
                <c:pt idx="27">
                  <c:v>-3.195950000000003E-3</c:v>
                </c:pt>
                <c:pt idx="28">
                  <c:v>-1.1027399999999909E-3</c:v>
                </c:pt>
                <c:pt idx="29">
                  <c:v>-5.5961700000000114E-3</c:v>
                </c:pt>
                <c:pt idx="30">
                  <c:v>-3.1806200000000229E-3</c:v>
                </c:pt>
                <c:pt idx="31">
                  <c:v>-5.2791500000000102E-3</c:v>
                </c:pt>
                <c:pt idx="32">
                  <c:v>-1.0432800000000353E-3</c:v>
                </c:pt>
                <c:pt idx="33">
                  <c:v>-1.4981500000000314E-3</c:v>
                </c:pt>
                <c:pt idx="34">
                  <c:v>1.6857499999999859E-3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96-4536-9F5F-FF569D953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  <c:extLst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.0000000000000019E-3"/>
          <c:min val="-8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Arm measuring plane deviation accelerometer raw data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'T19-6'!$AC$2</c:f>
              <c:strCache>
                <c:ptCount val="1"/>
                <c:pt idx="0">
                  <c:v>tiltA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'T19-6'!$C$77:$C$112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'T19-6'!$AC$77:$AC$112</c:f>
              <c:numCache>
                <c:formatCode>General</c:formatCode>
                <c:ptCount val="36"/>
                <c:pt idx="0">
                  <c:v>3.9922252551656592</c:v>
                </c:pt>
                <c:pt idx="1">
                  <c:v>3.9241739964159392</c:v>
                </c:pt>
                <c:pt idx="2">
                  <c:v>3.8458322486464374</c:v>
                </c:pt>
                <c:pt idx="3">
                  <c:v>3.7092370967595478</c:v>
                </c:pt>
                <c:pt idx="4">
                  <c:v>3.5472250098038902</c:v>
                </c:pt>
                <c:pt idx="5">
                  <c:v>3.3505115244184811</c:v>
                </c:pt>
                <c:pt idx="6">
                  <c:v>3.0937078725272511</c:v>
                </c:pt>
                <c:pt idx="7">
                  <c:v>2.9423381483756295</c:v>
                </c:pt>
                <c:pt idx="8">
                  <c:v>2.7048969748679621</c:v>
                </c:pt>
                <c:pt idx="9">
                  <c:v>2.3410870075140124</c:v>
                </c:pt>
                <c:pt idx="10">
                  <c:v>2.0888515823132536</c:v>
                </c:pt>
                <c:pt idx="11">
                  <c:v>1.7903223689867942</c:v>
                </c:pt>
                <c:pt idx="12">
                  <c:v>1.3770907760460294</c:v>
                </c:pt>
                <c:pt idx="13">
                  <c:v>1.1403596574152048</c:v>
                </c:pt>
                <c:pt idx="14">
                  <c:v>0.80458877215022562</c:v>
                </c:pt>
                <c:pt idx="15">
                  <c:v>0.4899675000722451</c:v>
                </c:pt>
                <c:pt idx="16">
                  <c:v>0.30261281975084298</c:v>
                </c:pt>
                <c:pt idx="17">
                  <c:v>0.44968851548850786</c:v>
                </c:pt>
                <c:pt idx="18">
                  <c:v>0.74397463656096163</c:v>
                </c:pt>
                <c:pt idx="19">
                  <c:v>1.061512442604001</c:v>
                </c:pt>
                <c:pt idx="20">
                  <c:v>1.4225681822586806</c:v>
                </c:pt>
                <c:pt idx="21">
                  <c:v>1.730024635329876</c:v>
                </c:pt>
                <c:pt idx="22">
                  <c:v>2.0384050560639624</c:v>
                </c:pt>
                <c:pt idx="23">
                  <c:v>2.4613959927922116</c:v>
                </c:pt>
                <c:pt idx="24">
                  <c:v>2.7520444646944444</c:v>
                </c:pt>
                <c:pt idx="25">
                  <c:v>3.0088337803135978</c:v>
                </c:pt>
                <c:pt idx="26">
                  <c:v>3.2143813547491584</c:v>
                </c:pt>
                <c:pt idx="27">
                  <c:v>3.4150998416073985</c:v>
                </c:pt>
                <c:pt idx="28">
                  <c:v>3.6129402201977752</c:v>
                </c:pt>
                <c:pt idx="29">
                  <c:v>3.7537715440242851</c:v>
                </c:pt>
                <c:pt idx="30">
                  <c:v>3.8679318284857915</c:v>
                </c:pt>
                <c:pt idx="31">
                  <c:v>3.959296169291461</c:v>
                </c:pt>
                <c:pt idx="32">
                  <c:v>4.0188835867136081</c:v>
                </c:pt>
                <c:pt idx="33">
                  <c:v>4.064637887019277</c:v>
                </c:pt>
                <c:pt idx="34">
                  <c:v>4.0595551162387373</c:v>
                </c:pt>
                <c:pt idx="35">
                  <c:v>2.0377622980570584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BF-4B9A-9620-C4562C1024A1}"/>
            </c:ext>
          </c:extLst>
        </c:ser>
        <c:ser>
          <c:idx val="1"/>
          <c:order val="1"/>
          <c:tx>
            <c:strRef>
              <c:f>'T19-6'!$AD$2</c:f>
              <c:strCache>
                <c:ptCount val="1"/>
                <c:pt idx="0">
                  <c:v>tiltC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'T19-6'!$C$77:$C$112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'T19-6'!$AD$77:$AD$112</c:f>
              <c:numCache>
                <c:formatCode>General</c:formatCode>
                <c:ptCount val="36"/>
                <c:pt idx="0">
                  <c:v>0.77368708920176754</c:v>
                </c:pt>
                <c:pt idx="1">
                  <c:v>1.07286083084092</c:v>
                </c:pt>
                <c:pt idx="2">
                  <c:v>1.3976934853942209</c:v>
                </c:pt>
                <c:pt idx="3">
                  <c:v>1.7090273716184958</c:v>
                </c:pt>
                <c:pt idx="4">
                  <c:v>2.0405638577813612</c:v>
                </c:pt>
                <c:pt idx="5">
                  <c:v>2.318235232458985</c:v>
                </c:pt>
                <c:pt idx="6">
                  <c:v>2.6189507786343471</c:v>
                </c:pt>
                <c:pt idx="7">
                  <c:v>2.8539173601418444</c:v>
                </c:pt>
                <c:pt idx="8">
                  <c:v>3.1406179791753503</c:v>
                </c:pt>
                <c:pt idx="9">
                  <c:v>3.3296711636124643</c:v>
                </c:pt>
                <c:pt idx="10">
                  <c:v>3.522119924684735</c:v>
                </c:pt>
                <c:pt idx="11">
                  <c:v>3.717045740440402</c:v>
                </c:pt>
                <c:pt idx="12">
                  <c:v>3.7982121049252764</c:v>
                </c:pt>
                <c:pt idx="13">
                  <c:v>3.9318332954566206</c:v>
                </c:pt>
                <c:pt idx="14">
                  <c:v>4.030201967666887</c:v>
                </c:pt>
                <c:pt idx="15">
                  <c:v>4.0522202483729561</c:v>
                </c:pt>
                <c:pt idx="16">
                  <c:v>4.0999088397862637</c:v>
                </c:pt>
                <c:pt idx="17">
                  <c:v>4.0351063244945351</c:v>
                </c:pt>
                <c:pt idx="18">
                  <c:v>4.0552096538364042</c:v>
                </c:pt>
                <c:pt idx="19">
                  <c:v>3.9474676489389831</c:v>
                </c:pt>
                <c:pt idx="20">
                  <c:v>3.8260497933569857</c:v>
                </c:pt>
                <c:pt idx="21">
                  <c:v>3.6967101212142817</c:v>
                </c:pt>
                <c:pt idx="22">
                  <c:v>3.5597156368583986</c:v>
                </c:pt>
                <c:pt idx="23">
                  <c:v>3.2910805852549725</c:v>
                </c:pt>
                <c:pt idx="24">
                  <c:v>3.0199629309561775</c:v>
                </c:pt>
                <c:pt idx="25">
                  <c:v>2.8111057018747925</c:v>
                </c:pt>
                <c:pt idx="26">
                  <c:v>2.5476570822473703</c:v>
                </c:pt>
                <c:pt idx="27">
                  <c:v>2.2797460113785966</c:v>
                </c:pt>
                <c:pt idx="28">
                  <c:v>1.9753558212709854</c:v>
                </c:pt>
                <c:pt idx="29">
                  <c:v>1.613442897806264</c:v>
                </c:pt>
                <c:pt idx="30">
                  <c:v>1.286405357485241</c:v>
                </c:pt>
                <c:pt idx="31">
                  <c:v>0.95271866315492237</c:v>
                </c:pt>
                <c:pt idx="32">
                  <c:v>0.65413123734675871</c:v>
                </c:pt>
                <c:pt idx="33">
                  <c:v>0.40819804595876807</c:v>
                </c:pt>
                <c:pt idx="34">
                  <c:v>0.40740391523878339</c:v>
                </c:pt>
                <c:pt idx="35">
                  <c:v>0.22475553981479621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BF-4B9A-9620-C4562C102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Tilt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MEMS temperature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'T19-6'!$K$2</c:f>
              <c:strCache>
                <c:ptCount val="1"/>
                <c:pt idx="0">
                  <c:v>tA_prumer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'T19-6'!$C$77:$C$112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'T19-6'!$K$77:$K$112</c:f>
              <c:numCache>
                <c:formatCode>General</c:formatCode>
                <c:ptCount val="36"/>
                <c:pt idx="0">
                  <c:v>25.405000000000001</c:v>
                </c:pt>
                <c:pt idx="1">
                  <c:v>25.384999999999998</c:v>
                </c:pt>
                <c:pt idx="2">
                  <c:v>25.395</c:v>
                </c:pt>
                <c:pt idx="3">
                  <c:v>25.305</c:v>
                </c:pt>
                <c:pt idx="4">
                  <c:v>25.18</c:v>
                </c:pt>
                <c:pt idx="5">
                  <c:v>25.375</c:v>
                </c:pt>
                <c:pt idx="6">
                  <c:v>25.414999999999999</c:v>
                </c:pt>
                <c:pt idx="7">
                  <c:v>25.274999999999999</c:v>
                </c:pt>
                <c:pt idx="8">
                  <c:v>24.905000000000001</c:v>
                </c:pt>
                <c:pt idx="9">
                  <c:v>25.435000000000002</c:v>
                </c:pt>
                <c:pt idx="10">
                  <c:v>25.16</c:v>
                </c:pt>
                <c:pt idx="11">
                  <c:v>25.310000000000002</c:v>
                </c:pt>
                <c:pt idx="12">
                  <c:v>25.515000000000001</c:v>
                </c:pt>
                <c:pt idx="13">
                  <c:v>25.344999999999999</c:v>
                </c:pt>
                <c:pt idx="14">
                  <c:v>25.324999999999999</c:v>
                </c:pt>
                <c:pt idx="15">
                  <c:v>25.335000000000001</c:v>
                </c:pt>
                <c:pt idx="16">
                  <c:v>25.265000000000001</c:v>
                </c:pt>
                <c:pt idx="17">
                  <c:v>25.39</c:v>
                </c:pt>
                <c:pt idx="18">
                  <c:v>25.32</c:v>
                </c:pt>
                <c:pt idx="19">
                  <c:v>25.41</c:v>
                </c:pt>
                <c:pt idx="20">
                  <c:v>25.445</c:v>
                </c:pt>
                <c:pt idx="21">
                  <c:v>25.38</c:v>
                </c:pt>
                <c:pt idx="22">
                  <c:v>25.385000000000002</c:v>
                </c:pt>
                <c:pt idx="23">
                  <c:v>25.274999999999999</c:v>
                </c:pt>
                <c:pt idx="24">
                  <c:v>25.225000000000001</c:v>
                </c:pt>
                <c:pt idx="25">
                  <c:v>25.11</c:v>
                </c:pt>
                <c:pt idx="26">
                  <c:v>25.33</c:v>
                </c:pt>
                <c:pt idx="27">
                  <c:v>25.385000000000002</c:v>
                </c:pt>
                <c:pt idx="28">
                  <c:v>25.29</c:v>
                </c:pt>
                <c:pt idx="29">
                  <c:v>25.28</c:v>
                </c:pt>
                <c:pt idx="30">
                  <c:v>25.395000000000003</c:v>
                </c:pt>
                <c:pt idx="31">
                  <c:v>25.395</c:v>
                </c:pt>
                <c:pt idx="32">
                  <c:v>25.384999999999998</c:v>
                </c:pt>
                <c:pt idx="33">
                  <c:v>25.31</c:v>
                </c:pt>
                <c:pt idx="34">
                  <c:v>25.310000000000002</c:v>
                </c:pt>
                <c:pt idx="35">
                  <c:v>12.68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87-441A-9F88-8F6BC251192B}"/>
            </c:ext>
          </c:extLst>
        </c:ser>
        <c:ser>
          <c:idx val="1"/>
          <c:order val="1"/>
          <c:tx>
            <c:strRef>
              <c:f>'T19-6'!$L$2</c:f>
              <c:strCache>
                <c:ptCount val="1"/>
                <c:pt idx="0">
                  <c:v>tC_prumer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'T19-6'!$C$77:$C$112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'T19-6'!$L$77:$L$112</c:f>
              <c:numCache>
                <c:formatCode>General</c:formatCode>
                <c:ptCount val="36"/>
                <c:pt idx="0">
                  <c:v>25.39</c:v>
                </c:pt>
                <c:pt idx="1">
                  <c:v>25.375</c:v>
                </c:pt>
                <c:pt idx="2">
                  <c:v>25.384999999999998</c:v>
                </c:pt>
                <c:pt idx="3">
                  <c:v>25.299999999999997</c:v>
                </c:pt>
                <c:pt idx="4">
                  <c:v>25.185000000000002</c:v>
                </c:pt>
                <c:pt idx="5">
                  <c:v>25.385000000000002</c:v>
                </c:pt>
                <c:pt idx="6">
                  <c:v>25.4</c:v>
                </c:pt>
                <c:pt idx="7">
                  <c:v>25.270000000000003</c:v>
                </c:pt>
                <c:pt idx="8">
                  <c:v>24.914999999999999</c:v>
                </c:pt>
                <c:pt idx="9">
                  <c:v>25.435000000000002</c:v>
                </c:pt>
                <c:pt idx="10">
                  <c:v>25.17</c:v>
                </c:pt>
                <c:pt idx="11">
                  <c:v>25.324999999999999</c:v>
                </c:pt>
                <c:pt idx="12">
                  <c:v>25.535</c:v>
                </c:pt>
                <c:pt idx="13">
                  <c:v>25.36</c:v>
                </c:pt>
                <c:pt idx="14">
                  <c:v>25.314999999999998</c:v>
                </c:pt>
                <c:pt idx="15">
                  <c:v>25.32</c:v>
                </c:pt>
                <c:pt idx="16">
                  <c:v>25.274999999999999</c:v>
                </c:pt>
                <c:pt idx="17">
                  <c:v>25.38</c:v>
                </c:pt>
                <c:pt idx="18">
                  <c:v>25.324999999999999</c:v>
                </c:pt>
                <c:pt idx="19">
                  <c:v>25.42</c:v>
                </c:pt>
                <c:pt idx="20">
                  <c:v>25.435000000000002</c:v>
                </c:pt>
                <c:pt idx="21">
                  <c:v>25.375</c:v>
                </c:pt>
                <c:pt idx="22">
                  <c:v>25.39</c:v>
                </c:pt>
                <c:pt idx="23">
                  <c:v>25.28</c:v>
                </c:pt>
                <c:pt idx="24">
                  <c:v>25.23</c:v>
                </c:pt>
                <c:pt idx="25">
                  <c:v>25.12</c:v>
                </c:pt>
                <c:pt idx="26">
                  <c:v>25.32</c:v>
                </c:pt>
                <c:pt idx="27">
                  <c:v>25.384999999999998</c:v>
                </c:pt>
                <c:pt idx="28">
                  <c:v>25.285</c:v>
                </c:pt>
                <c:pt idx="29">
                  <c:v>25.259999999999998</c:v>
                </c:pt>
                <c:pt idx="30">
                  <c:v>25.384999999999998</c:v>
                </c:pt>
                <c:pt idx="31">
                  <c:v>25.38</c:v>
                </c:pt>
                <c:pt idx="32">
                  <c:v>25.4</c:v>
                </c:pt>
                <c:pt idx="33">
                  <c:v>25.314999999999998</c:v>
                </c:pt>
                <c:pt idx="34">
                  <c:v>25.314999999999998</c:v>
                </c:pt>
                <c:pt idx="35">
                  <c:v>12.67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87-441A-9F88-8F6BC2511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Cycles per azimuth CW-CCW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'T19-6'!$D$2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'T19-6'!$C$3:$C$38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'T19-6'!$D$3:$D$38</c:f>
              <c:numCache>
                <c:formatCode>General</c:formatCode>
                <c:ptCount val="36"/>
                <c:pt idx="0">
                  <c:v>6</c:v>
                </c:pt>
                <c:pt idx="1">
                  <c:v>3</c:v>
                </c:pt>
                <c:pt idx="2">
                  <c:v>5</c:v>
                </c:pt>
                <c:pt idx="3">
                  <c:v>3</c:v>
                </c:pt>
                <c:pt idx="4">
                  <c:v>3</c:v>
                </c:pt>
                <c:pt idx="5">
                  <c:v>5</c:v>
                </c:pt>
                <c:pt idx="6">
                  <c:v>8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7</c:v>
                </c:pt>
                <c:pt idx="12">
                  <c:v>1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4</c:v>
                </c:pt>
                <c:pt idx="17">
                  <c:v>1</c:v>
                </c:pt>
                <c:pt idx="18">
                  <c:v>4</c:v>
                </c:pt>
                <c:pt idx="19">
                  <c:v>3</c:v>
                </c:pt>
                <c:pt idx="20">
                  <c:v>5</c:v>
                </c:pt>
                <c:pt idx="21">
                  <c:v>3</c:v>
                </c:pt>
                <c:pt idx="22">
                  <c:v>5</c:v>
                </c:pt>
                <c:pt idx="23">
                  <c:v>3</c:v>
                </c:pt>
                <c:pt idx="24">
                  <c:v>5</c:v>
                </c:pt>
                <c:pt idx="25">
                  <c:v>5</c:v>
                </c:pt>
                <c:pt idx="26">
                  <c:v>3</c:v>
                </c:pt>
                <c:pt idx="27">
                  <c:v>3</c:v>
                </c:pt>
                <c:pt idx="28">
                  <c:v>2</c:v>
                </c:pt>
                <c:pt idx="29">
                  <c:v>3</c:v>
                </c:pt>
                <c:pt idx="30">
                  <c:v>3</c:v>
                </c:pt>
                <c:pt idx="31">
                  <c:v>5</c:v>
                </c:pt>
                <c:pt idx="32">
                  <c:v>4</c:v>
                </c:pt>
                <c:pt idx="33">
                  <c:v>4</c:v>
                </c:pt>
                <c:pt idx="34">
                  <c:v>6</c:v>
                </c:pt>
                <c:pt idx="3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1E-49D6-8B3F-0FACE8E94F88}"/>
            </c:ext>
          </c:extLst>
        </c:ser>
        <c:ser>
          <c:idx val="1"/>
          <c:order val="1"/>
          <c:tx>
            <c:strRef>
              <c:f>'T19-6'!$D$2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'T19-6'!$C$3:$C$38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'T19-6'!$D$39:$D$74</c:f>
              <c:numCache>
                <c:formatCode>General</c:formatCode>
                <c:ptCount val="36"/>
                <c:pt idx="0">
                  <c:v>1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1</c:v>
                </c:pt>
                <c:pt idx="7">
                  <c:v>2</c:v>
                </c:pt>
                <c:pt idx="8">
                  <c:v>8</c:v>
                </c:pt>
                <c:pt idx="9">
                  <c:v>5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5</c:v>
                </c:pt>
                <c:pt idx="15">
                  <c:v>1</c:v>
                </c:pt>
                <c:pt idx="16">
                  <c:v>4</c:v>
                </c:pt>
                <c:pt idx="17">
                  <c:v>2</c:v>
                </c:pt>
                <c:pt idx="18">
                  <c:v>1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3</c:v>
                </c:pt>
                <c:pt idx="26">
                  <c:v>5</c:v>
                </c:pt>
                <c:pt idx="27">
                  <c:v>2</c:v>
                </c:pt>
                <c:pt idx="28">
                  <c:v>3</c:v>
                </c:pt>
                <c:pt idx="29">
                  <c:v>1</c:v>
                </c:pt>
                <c:pt idx="30">
                  <c:v>6</c:v>
                </c:pt>
                <c:pt idx="31">
                  <c:v>2</c:v>
                </c:pt>
                <c:pt idx="32">
                  <c:v>3</c:v>
                </c:pt>
                <c:pt idx="33">
                  <c:v>2</c:v>
                </c:pt>
                <c:pt idx="3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52-4DA1-AC3C-2B7B83623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Cycles per azimuth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MEMS temperature diff (A-C)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'T19-6'!$M$2</c:f>
              <c:strCache>
                <c:ptCount val="1"/>
                <c:pt idx="0">
                  <c:v>difft_prumer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'T19-6'!$C$77:$C$112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'T19-6'!$M$77:$M$112</c:f>
              <c:numCache>
                <c:formatCode>General</c:formatCode>
                <c:ptCount val="36"/>
                <c:pt idx="0">
                  <c:v>1.5000000000000568E-2</c:v>
                </c:pt>
                <c:pt idx="1">
                  <c:v>9.9999999999980105E-3</c:v>
                </c:pt>
                <c:pt idx="2">
                  <c:v>1.0000000000001563E-2</c:v>
                </c:pt>
                <c:pt idx="3">
                  <c:v>5.000000000002558E-3</c:v>
                </c:pt>
                <c:pt idx="4">
                  <c:v>-5.000000000002558E-3</c:v>
                </c:pt>
                <c:pt idx="5">
                  <c:v>-1.0000000000001563E-2</c:v>
                </c:pt>
                <c:pt idx="6">
                  <c:v>1.5000000000000568E-2</c:v>
                </c:pt>
                <c:pt idx="7">
                  <c:v>4.9999999999954525E-3</c:v>
                </c:pt>
                <c:pt idx="8">
                  <c:v>-9.9999999999980105E-3</c:v>
                </c:pt>
                <c:pt idx="9">
                  <c:v>0</c:v>
                </c:pt>
                <c:pt idx="10">
                  <c:v>-1.0000000000001563E-2</c:v>
                </c:pt>
                <c:pt idx="11">
                  <c:v>-1.4999999999997016E-2</c:v>
                </c:pt>
                <c:pt idx="12">
                  <c:v>-1.9999999999999574E-2</c:v>
                </c:pt>
                <c:pt idx="13">
                  <c:v>-1.5000000000000568E-2</c:v>
                </c:pt>
                <c:pt idx="14">
                  <c:v>1.0000000000001563E-2</c:v>
                </c:pt>
                <c:pt idx="15">
                  <c:v>1.5000000000000568E-2</c:v>
                </c:pt>
                <c:pt idx="16">
                  <c:v>-9.9999999999980105E-3</c:v>
                </c:pt>
                <c:pt idx="17">
                  <c:v>1.0000000000001563E-2</c:v>
                </c:pt>
                <c:pt idx="18">
                  <c:v>-4.9999999999990052E-3</c:v>
                </c:pt>
                <c:pt idx="19">
                  <c:v>-1.0000000000001563E-2</c:v>
                </c:pt>
                <c:pt idx="20">
                  <c:v>9.9999999999980105E-3</c:v>
                </c:pt>
                <c:pt idx="21">
                  <c:v>4.9999999999990052E-3</c:v>
                </c:pt>
                <c:pt idx="22">
                  <c:v>-4.9999999999990052E-3</c:v>
                </c:pt>
                <c:pt idx="23">
                  <c:v>-5.000000000002558E-3</c:v>
                </c:pt>
                <c:pt idx="24">
                  <c:v>-4.9999999999990052E-3</c:v>
                </c:pt>
                <c:pt idx="25">
                  <c:v>-1.0000000000001563E-2</c:v>
                </c:pt>
                <c:pt idx="26">
                  <c:v>9.9999999999980105E-3</c:v>
                </c:pt>
                <c:pt idx="27">
                  <c:v>0</c:v>
                </c:pt>
                <c:pt idx="28">
                  <c:v>4.9999999999990052E-3</c:v>
                </c:pt>
                <c:pt idx="29">
                  <c:v>2.0000000000003126E-2</c:v>
                </c:pt>
                <c:pt idx="30">
                  <c:v>1.0000000000005116E-2</c:v>
                </c:pt>
                <c:pt idx="31">
                  <c:v>1.5000000000000568E-2</c:v>
                </c:pt>
                <c:pt idx="32">
                  <c:v>-1.5000000000000568E-2</c:v>
                </c:pt>
                <c:pt idx="33">
                  <c:v>-4.9999999999990052E-3</c:v>
                </c:pt>
                <c:pt idx="34">
                  <c:v>-4.9999999999954525E-3</c:v>
                </c:pt>
                <c:pt idx="35">
                  <c:v>9.9999999999997868E-3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AF-4A15-9E6B-BB4AE3751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5.000000000000001E-2"/>
          <c:min val="-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Earth rotation rate gyroscope raw data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'T19-6'!$U$2</c:f>
              <c:strCache>
                <c:ptCount val="1"/>
                <c:pt idx="0">
                  <c:v>(xC-xA)/2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'T19-6'!$C$77:$C$112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'T19-6'!$U$77:$U$112</c:f>
              <c:numCache>
                <c:formatCode>General</c:formatCode>
                <c:ptCount val="36"/>
                <c:pt idx="0">
                  <c:v>1.7823950000000061E-3</c:v>
                </c:pt>
                <c:pt idx="1">
                  <c:v>2.3285650000000047E-3</c:v>
                </c:pt>
                <c:pt idx="2">
                  <c:v>2.3950650000000018E-3</c:v>
                </c:pt>
                <c:pt idx="3">
                  <c:v>2.3637350000000057E-3</c:v>
                </c:pt>
                <c:pt idx="4">
                  <c:v>1.8254099999999995E-3</c:v>
                </c:pt>
                <c:pt idx="5">
                  <c:v>1.2356649999999969E-3</c:v>
                </c:pt>
                <c:pt idx="6">
                  <c:v>-6.5603499999998538E-4</c:v>
                </c:pt>
                <c:pt idx="7">
                  <c:v>-6.0523000000001215E-4</c:v>
                </c:pt>
                <c:pt idx="8">
                  <c:v>2.3461150000000097E-3</c:v>
                </c:pt>
                <c:pt idx="9">
                  <c:v>-7.2691499999999465E-4</c:v>
                </c:pt>
                <c:pt idx="10">
                  <c:v>-1.4034650000000065E-3</c:v>
                </c:pt>
                <c:pt idx="11">
                  <c:v>4.9251999999999629E-4</c:v>
                </c:pt>
                <c:pt idx="12">
                  <c:v>-3.5628500000001173E-4</c:v>
                </c:pt>
                <c:pt idx="13">
                  <c:v>-2.8659750000000067E-3</c:v>
                </c:pt>
                <c:pt idx="14">
                  <c:v>-1.281110000000002E-3</c:v>
                </c:pt>
                <c:pt idx="15">
                  <c:v>-3.0598599999999976E-3</c:v>
                </c:pt>
                <c:pt idx="16">
                  <c:v>-2.1541949999999976E-3</c:v>
                </c:pt>
                <c:pt idx="17">
                  <c:v>-3.6728850000000007E-3</c:v>
                </c:pt>
                <c:pt idx="18">
                  <c:v>-3.5468400000000094E-3</c:v>
                </c:pt>
                <c:pt idx="19">
                  <c:v>-1.2084699999999893E-3</c:v>
                </c:pt>
                <c:pt idx="20">
                  <c:v>-3.1850199999999967E-3</c:v>
                </c:pt>
                <c:pt idx="21">
                  <c:v>-1.7406900000000031E-3</c:v>
                </c:pt>
                <c:pt idx="22">
                  <c:v>-1.0750499999999941E-3</c:v>
                </c:pt>
                <c:pt idx="23">
                  <c:v>-1.4244750000000084E-3</c:v>
                </c:pt>
                <c:pt idx="24">
                  <c:v>-1.2001399999999884E-3</c:v>
                </c:pt>
                <c:pt idx="25">
                  <c:v>4.8404500000000239E-4</c:v>
                </c:pt>
                <c:pt idx="26">
                  <c:v>6.3412499999999927E-4</c:v>
                </c:pt>
                <c:pt idx="27">
                  <c:v>7.2453999999999574E-4</c:v>
                </c:pt>
                <c:pt idx="28">
                  <c:v>-6.4920999999998341E-4</c:v>
                </c:pt>
                <c:pt idx="29">
                  <c:v>1.4703449999999979E-3</c:v>
                </c:pt>
                <c:pt idx="30">
                  <c:v>6.5557000000000809E-4</c:v>
                </c:pt>
                <c:pt idx="31">
                  <c:v>2.4620950000000114E-3</c:v>
                </c:pt>
                <c:pt idx="32">
                  <c:v>1.3401999999999997E-3</c:v>
                </c:pt>
                <c:pt idx="33">
                  <c:v>2.3260999999999976E-3</c:v>
                </c:pt>
                <c:pt idx="34">
                  <c:v>2.5948449999999984E-3</c:v>
                </c:pt>
                <c:pt idx="35">
                  <c:v>1.3806400000000024E-3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7A84-4C1B-B53C-514DBB4B0305}"/>
            </c:ext>
          </c:extLst>
        </c:ser>
        <c:ser>
          <c:idx val="1"/>
          <c:order val="1"/>
          <c:tx>
            <c:strRef>
              <c:f>'T19-6'!$V$2</c:f>
              <c:strCache>
                <c:ptCount val="1"/>
                <c:pt idx="0">
                  <c:v>(yA-yC)/2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'T19-6'!$C$77:$C$112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'T19-6'!$V$77:$V$112</c:f>
              <c:numCache>
                <c:formatCode>General</c:formatCode>
                <c:ptCount val="36"/>
                <c:pt idx="0">
                  <c:v>-1.4798849999999864E-3</c:v>
                </c:pt>
                <c:pt idx="1">
                  <c:v>-2.7297999999997824E-4</c:v>
                </c:pt>
                <c:pt idx="2">
                  <c:v>9.2836499999998656E-4</c:v>
                </c:pt>
                <c:pt idx="3">
                  <c:v>4.1703000000004042E-4</c:v>
                </c:pt>
                <c:pt idx="4">
                  <c:v>1.391185000000017E-3</c:v>
                </c:pt>
                <c:pt idx="5">
                  <c:v>1.6293850000000387E-3</c:v>
                </c:pt>
                <c:pt idx="6">
                  <c:v>1.7934799999999862E-3</c:v>
                </c:pt>
                <c:pt idx="7">
                  <c:v>6.0420499999999655E-4</c:v>
                </c:pt>
                <c:pt idx="8">
                  <c:v>9.3236749999999757E-3</c:v>
                </c:pt>
                <c:pt idx="9">
                  <c:v>2.4488399999999799E-3</c:v>
                </c:pt>
                <c:pt idx="10">
                  <c:v>2.2465850000000231E-3</c:v>
                </c:pt>
                <c:pt idx="11">
                  <c:v>2.3394899999999719E-3</c:v>
                </c:pt>
                <c:pt idx="12">
                  <c:v>2.1207849999999862E-3</c:v>
                </c:pt>
                <c:pt idx="13">
                  <c:v>3.0075999999999992E-3</c:v>
                </c:pt>
                <c:pt idx="14">
                  <c:v>5.3801000000000543E-4</c:v>
                </c:pt>
                <c:pt idx="15">
                  <c:v>1.2621199999999777E-3</c:v>
                </c:pt>
                <c:pt idx="16">
                  <c:v>1.178270000000009E-3</c:v>
                </c:pt>
                <c:pt idx="17">
                  <c:v>-1.1731150000000301E-3</c:v>
                </c:pt>
                <c:pt idx="18">
                  <c:v>-1.9574950000000035E-3</c:v>
                </c:pt>
                <c:pt idx="19">
                  <c:v>6.3660000000020922E-5</c:v>
                </c:pt>
                <c:pt idx="20">
                  <c:v>-9.6291999999997824E-4</c:v>
                </c:pt>
                <c:pt idx="21">
                  <c:v>-1.651890000000017E-3</c:v>
                </c:pt>
                <c:pt idx="22">
                  <c:v>-1.708849999999984E-3</c:v>
                </c:pt>
                <c:pt idx="23">
                  <c:v>-1.1153700000000044E-3</c:v>
                </c:pt>
                <c:pt idx="24">
                  <c:v>-2.4275850000000099E-3</c:v>
                </c:pt>
                <c:pt idx="25">
                  <c:v>-7.127949999999883E-4</c:v>
                </c:pt>
                <c:pt idx="26">
                  <c:v>-1.7034550000000204E-3</c:v>
                </c:pt>
                <c:pt idx="27">
                  <c:v>-3.8967249999999898E-3</c:v>
                </c:pt>
                <c:pt idx="28">
                  <c:v>-2.3596549999999883E-3</c:v>
                </c:pt>
                <c:pt idx="29">
                  <c:v>-2.932749999999984E-3</c:v>
                </c:pt>
                <c:pt idx="30">
                  <c:v>-2.6791850000000006E-3</c:v>
                </c:pt>
                <c:pt idx="31">
                  <c:v>-4.3783749999999899E-3</c:v>
                </c:pt>
                <c:pt idx="32">
                  <c:v>-1.4710900000000082E-3</c:v>
                </c:pt>
                <c:pt idx="33">
                  <c:v>-1.1568200000000306E-3</c:v>
                </c:pt>
                <c:pt idx="34">
                  <c:v>-7.5613499999999112E-4</c:v>
                </c:pt>
                <c:pt idx="35">
                  <c:v>2.7918999999998473E-4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7A84-4C1B-B53C-514DBB4B0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  <c:extLst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.0000000000000019E-3"/>
          <c:min val="-8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cs-CZ" b="1">
                <a:solidFill>
                  <a:sysClr val="windowText" lastClr="000000"/>
                </a:solidFill>
              </a:rPr>
              <a:t>Harmonická regrese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Regrese!$M$4</c:f>
              <c:strCache>
                <c:ptCount val="1"/>
                <c:pt idx="0">
                  <c:v>diffX proklad (1H)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Regrese!$L$5:$L$77</c:f>
              <c:numCache>
                <c:formatCode>General</c:formatCode>
                <c:ptCount val="7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</c:numCache>
            </c:numRef>
          </c:xVal>
          <c:yVal>
            <c:numRef>
              <c:f>Regrese!$M$5:$M$77</c:f>
              <c:numCache>
                <c:formatCode>0.0000000</c:formatCode>
                <c:ptCount val="73"/>
                <c:pt idx="0">
                  <c:v>2.2923460597387975E-3</c:v>
                </c:pt>
                <c:pt idx="1">
                  <c:v>2.2575586625495263E-3</c:v>
                </c:pt>
                <c:pt idx="2">
                  <c:v>2.2051734380594775E-3</c:v>
                </c:pt>
                <c:pt idx="3">
                  <c:v>2.1355890694580858E-3</c:v>
                </c:pt>
                <c:pt idx="4">
                  <c:v>2.0493351358065962E-3</c:v>
                </c:pt>
                <c:pt idx="5">
                  <c:v>1.9470680816216464E-3</c:v>
                </c:pt>
                <c:pt idx="6">
                  <c:v>1.82956622093612E-3</c:v>
                </c:pt>
                <c:pt idx="7">
                  <c:v>1.6977238138593969E-3</c:v>
                </c:pt>
                <c:pt idx="8">
                  <c:v>1.5525442607179525E-3</c:v>
                </c:pt>
                <c:pt idx="9">
                  <c:v>1.3951324655730045E-3</c:v>
                </c:pt>
                <c:pt idx="10">
                  <c:v>1.2266864272334464E-3</c:v>
                </c:pt>
                <c:pt idx="11">
                  <c:v>1.0484881217615412E-3</c:v>
                </c:pt>
                <c:pt idx="12">
                  <c:v>8.6189374586100867E-4</c:v>
                </c:pt>
                <c:pt idx="13">
                  <c:v>6.6832339540121607E-4</c:v>
                </c:pt>
                <c:pt idx="14">
                  <c:v>4.6925025763013695E-4</c:v>
                </c:pt>
                <c:pt idx="15">
                  <c:v>2.66189399329855E-4</c:v>
                </c:pt>
                <c:pt idx="16">
                  <c:v>6.0686236243534834E-5</c:v>
                </c:pt>
                <c:pt idx="17">
                  <c:v>-1.4569522847153484E-4</c:v>
                </c:pt>
                <c:pt idx="18">
                  <c:v>-3.5138430725233614E-4</c:v>
                </c:pt>
                <c:pt idx="19">
                  <c:v>-5.5481558201088649E-4</c:v>
                </c:pt>
                <c:pt idx="20">
                  <c:v>-7.5444081791111025E-4</c:v>
                </c:pt>
                <c:pt idx="21">
                  <c:v>-9.4874074637079481E-4</c:v>
                </c:pt>
                <c:pt idx="22">
                  <c:v>-1.1362366276128563E-3</c:v>
                </c:pt>
                <c:pt idx="23">
                  <c:v>-1.3155015047679347E-3</c:v>
                </c:pt>
                <c:pt idx="24">
                  <c:v>-1.4851710638777876E-3</c:v>
                </c:pt>
                <c:pt idx="25">
                  <c:v>-1.6439540171483088E-3</c:v>
                </c:pt>
                <c:pt idx="26">
                  <c:v>-1.7906419304293398E-3</c:v>
                </c:pt>
                <c:pt idx="27">
                  <c:v>-1.9241184201282291E-3</c:v>
                </c:pt>
                <c:pt idx="28">
                  <c:v>-2.04336764956306E-3</c:v>
                </c:pt>
                <c:pt idx="29">
                  <c:v>-2.1474820600931805E-3</c:v>
                </c:pt>
                <c:pt idx="30">
                  <c:v>-2.2356692781884554E-3</c:v>
                </c:pt>
                <c:pt idx="31">
                  <c:v>-2.307258145870282E-3</c:v>
                </c:pt>
                <c:pt idx="32">
                  <c:v>-2.3617038286290614E-3</c:v>
                </c:pt>
                <c:pt idx="33">
                  <c:v>-2.3985919619437975E-3</c:v>
                </c:pt>
                <c:pt idx="34">
                  <c:v>-2.417641804846301E-3</c:v>
                </c:pt>
                <c:pt idx="35">
                  <c:v>-2.4187083765294746E-3</c:v>
                </c:pt>
                <c:pt idx="36">
                  <c:v>-2.401783559738795E-3</c:v>
                </c:pt>
                <c:pt idx="37">
                  <c:v>-2.3669961625495239E-3</c:v>
                </c:pt>
                <c:pt idx="38">
                  <c:v>-2.3146109380594751E-3</c:v>
                </c:pt>
                <c:pt idx="39">
                  <c:v>-2.2450265694580833E-3</c:v>
                </c:pt>
                <c:pt idx="40">
                  <c:v>-2.1587726358065938E-3</c:v>
                </c:pt>
                <c:pt idx="41">
                  <c:v>-2.0565055816216446E-3</c:v>
                </c:pt>
                <c:pt idx="42">
                  <c:v>-1.9390037209361176E-3</c:v>
                </c:pt>
                <c:pt idx="43">
                  <c:v>-1.8071613138593943E-3</c:v>
                </c:pt>
                <c:pt idx="44">
                  <c:v>-1.6619817607179497E-3</c:v>
                </c:pt>
                <c:pt idx="45">
                  <c:v>-1.5045699655730019E-3</c:v>
                </c:pt>
                <c:pt idx="46">
                  <c:v>-1.3361239272334437E-3</c:v>
                </c:pt>
                <c:pt idx="47">
                  <c:v>-1.1579256217615387E-3</c:v>
                </c:pt>
                <c:pt idx="48">
                  <c:v>-9.7133124586100666E-4</c:v>
                </c:pt>
                <c:pt idx="49">
                  <c:v>-7.7776089540121265E-4</c:v>
                </c:pt>
                <c:pt idx="50">
                  <c:v>-5.7868775763013358E-4</c:v>
                </c:pt>
                <c:pt idx="51">
                  <c:v>-3.7562689932985201E-4</c:v>
                </c:pt>
                <c:pt idx="52">
                  <c:v>-1.7012373624353201E-4</c:v>
                </c:pt>
                <c:pt idx="53">
                  <c:v>3.6257728471537313E-5</c:v>
                </c:pt>
                <c:pt idx="54">
                  <c:v>2.4194680725233856E-4</c:v>
                </c:pt>
                <c:pt idx="55">
                  <c:v>4.4537808201088839E-4</c:v>
                </c:pt>
                <c:pt idx="56">
                  <c:v>6.4500331791111226E-4</c:v>
                </c:pt>
                <c:pt idx="57">
                  <c:v>8.3930324637079617E-4</c:v>
                </c:pt>
                <c:pt idx="58">
                  <c:v>1.0267991276128596E-3</c:v>
                </c:pt>
                <c:pt idx="59">
                  <c:v>1.206064004767938E-3</c:v>
                </c:pt>
                <c:pt idx="60">
                  <c:v>1.3757335638777909E-3</c:v>
                </c:pt>
                <c:pt idx="61">
                  <c:v>1.5345165171483115E-3</c:v>
                </c:pt>
                <c:pt idx="62">
                  <c:v>1.6812044304293427E-3</c:v>
                </c:pt>
                <c:pt idx="63">
                  <c:v>1.8146809201282316E-3</c:v>
                </c:pt>
                <c:pt idx="64">
                  <c:v>1.9339301495630624E-3</c:v>
                </c:pt>
                <c:pt idx="65">
                  <c:v>2.0380445600931825E-3</c:v>
                </c:pt>
                <c:pt idx="66">
                  <c:v>2.1262317781884574E-3</c:v>
                </c:pt>
                <c:pt idx="67">
                  <c:v>2.1978206458702844E-3</c:v>
                </c:pt>
                <c:pt idx="68">
                  <c:v>2.2522663286290642E-3</c:v>
                </c:pt>
                <c:pt idx="69">
                  <c:v>2.2891544619438003E-3</c:v>
                </c:pt>
                <c:pt idx="70">
                  <c:v>2.3082043048463035E-3</c:v>
                </c:pt>
                <c:pt idx="71">
                  <c:v>2.309270876529477E-3</c:v>
                </c:pt>
                <c:pt idx="72">
                  <c:v>2.2923460597387975E-3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92-4F5E-A298-005C6C8A18E3}"/>
            </c:ext>
          </c:extLst>
        </c:ser>
        <c:ser>
          <c:idx val="0"/>
          <c:order val="0"/>
          <c:tx>
            <c:strRef>
              <c:f>Regrese!$B$4</c:f>
              <c:strCache>
                <c:ptCount val="1"/>
                <c:pt idx="0">
                  <c:v>diffX_prumer (°/s)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 cap="rnd">
                <a:solidFill>
                  <a:srgbClr val="FF0000"/>
                </a:solidFill>
              </a:ln>
              <a:effectLst/>
            </c:spPr>
          </c:marker>
          <c:xVal>
            <c:numRef>
              <c:f>Regrese!$A$5:$A$40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xVal>
          <c:yVal>
            <c:numRef>
              <c:f>Regrese!$B$5:$B$40</c:f>
              <c:numCache>
                <c:formatCode>0.000000</c:formatCode>
                <c:ptCount val="36"/>
                <c:pt idx="0">
                  <c:v>1.7823950000000061E-3</c:v>
                </c:pt>
                <c:pt idx="1">
                  <c:v>2.3285650000000047E-3</c:v>
                </c:pt>
                <c:pt idx="2">
                  <c:v>2.3950650000000018E-3</c:v>
                </c:pt>
                <c:pt idx="3">
                  <c:v>2.3637350000000057E-3</c:v>
                </c:pt>
                <c:pt idx="4">
                  <c:v>1.8254099999999995E-3</c:v>
                </c:pt>
                <c:pt idx="5">
                  <c:v>1.2356649999999969E-3</c:v>
                </c:pt>
                <c:pt idx="6">
                  <c:v>-6.5603499999998538E-4</c:v>
                </c:pt>
                <c:pt idx="7">
                  <c:v>-6.0523000000001215E-4</c:v>
                </c:pt>
                <c:pt idx="8">
                  <c:v>2.3461150000000097E-3</c:v>
                </c:pt>
                <c:pt idx="9">
                  <c:v>-7.2691499999999465E-4</c:v>
                </c:pt>
                <c:pt idx="10">
                  <c:v>-1.4034650000000065E-3</c:v>
                </c:pt>
                <c:pt idx="11">
                  <c:v>4.9251999999999629E-4</c:v>
                </c:pt>
                <c:pt idx="12">
                  <c:v>-3.5628500000001173E-4</c:v>
                </c:pt>
                <c:pt idx="13">
                  <c:v>-2.8659750000000067E-3</c:v>
                </c:pt>
                <c:pt idx="14">
                  <c:v>-1.281110000000002E-3</c:v>
                </c:pt>
                <c:pt idx="15">
                  <c:v>-3.0598599999999976E-3</c:v>
                </c:pt>
                <c:pt idx="16">
                  <c:v>-2.1541949999999976E-3</c:v>
                </c:pt>
                <c:pt idx="17">
                  <c:v>-3.6728850000000007E-3</c:v>
                </c:pt>
                <c:pt idx="18">
                  <c:v>-3.5468400000000094E-3</c:v>
                </c:pt>
                <c:pt idx="19">
                  <c:v>-1.2084699999999893E-3</c:v>
                </c:pt>
                <c:pt idx="20">
                  <c:v>-3.1850199999999967E-3</c:v>
                </c:pt>
                <c:pt idx="21">
                  <c:v>-1.7406900000000031E-3</c:v>
                </c:pt>
                <c:pt idx="22">
                  <c:v>-1.0750499999999941E-3</c:v>
                </c:pt>
                <c:pt idx="23">
                  <c:v>-1.4244750000000084E-3</c:v>
                </c:pt>
                <c:pt idx="24">
                  <c:v>-1.2001399999999884E-3</c:v>
                </c:pt>
                <c:pt idx="25">
                  <c:v>4.8404500000000239E-4</c:v>
                </c:pt>
                <c:pt idx="26">
                  <c:v>6.3412499999999927E-4</c:v>
                </c:pt>
                <c:pt idx="27">
                  <c:v>7.2453999999999574E-4</c:v>
                </c:pt>
                <c:pt idx="28">
                  <c:v>-6.4920999999998341E-4</c:v>
                </c:pt>
                <c:pt idx="29">
                  <c:v>1.4703449999999979E-3</c:v>
                </c:pt>
                <c:pt idx="30">
                  <c:v>6.5557000000000809E-4</c:v>
                </c:pt>
                <c:pt idx="31">
                  <c:v>2.4620950000000114E-3</c:v>
                </c:pt>
                <c:pt idx="32">
                  <c:v>1.3401999999999997E-3</c:v>
                </c:pt>
                <c:pt idx="33">
                  <c:v>2.3260999999999976E-3</c:v>
                </c:pt>
                <c:pt idx="34">
                  <c:v>2.5948449999999984E-3</c:v>
                </c:pt>
                <c:pt idx="35">
                  <c:v>1.3806400000000024E-3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92-4F5E-A298-005C6C8A18E3}"/>
            </c:ext>
          </c:extLst>
        </c:ser>
        <c:ser>
          <c:idx val="2"/>
          <c:order val="2"/>
          <c:tx>
            <c:strRef>
              <c:f>Regrese!$C$4</c:f>
              <c:strCache>
                <c:ptCount val="1"/>
                <c:pt idx="0">
                  <c:v>diffY_prumer (°/s)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Regrese!$A$5:$A$40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xVal>
          <c:yVal>
            <c:numRef>
              <c:f>Regrese!$C$5:$C$40</c:f>
              <c:numCache>
                <c:formatCode>0.000000</c:formatCode>
                <c:ptCount val="36"/>
                <c:pt idx="0">
                  <c:v>-1.4798849999999864E-3</c:v>
                </c:pt>
                <c:pt idx="1">
                  <c:v>-2.7297999999997824E-4</c:v>
                </c:pt>
                <c:pt idx="2">
                  <c:v>9.2836499999998656E-4</c:v>
                </c:pt>
                <c:pt idx="3">
                  <c:v>4.1703000000004042E-4</c:v>
                </c:pt>
                <c:pt idx="4">
                  <c:v>1.391185000000017E-3</c:v>
                </c:pt>
                <c:pt idx="5">
                  <c:v>1.6293850000000387E-3</c:v>
                </c:pt>
                <c:pt idx="6">
                  <c:v>1.7934799999999862E-3</c:v>
                </c:pt>
                <c:pt idx="7">
                  <c:v>6.0420499999999655E-4</c:v>
                </c:pt>
                <c:pt idx="8">
                  <c:v>9.3236749999999757E-3</c:v>
                </c:pt>
                <c:pt idx="9">
                  <c:v>2.4488399999999799E-3</c:v>
                </c:pt>
                <c:pt idx="10">
                  <c:v>2.2465850000000231E-3</c:v>
                </c:pt>
                <c:pt idx="11">
                  <c:v>2.3394899999999719E-3</c:v>
                </c:pt>
                <c:pt idx="12">
                  <c:v>2.1207849999999862E-3</c:v>
                </c:pt>
                <c:pt idx="13">
                  <c:v>3.0075999999999992E-3</c:v>
                </c:pt>
                <c:pt idx="14">
                  <c:v>5.3801000000000543E-4</c:v>
                </c:pt>
                <c:pt idx="15">
                  <c:v>1.2621199999999777E-3</c:v>
                </c:pt>
                <c:pt idx="16">
                  <c:v>1.178270000000009E-3</c:v>
                </c:pt>
                <c:pt idx="17">
                  <c:v>-1.1731150000000301E-3</c:v>
                </c:pt>
                <c:pt idx="18">
                  <c:v>-1.9574950000000035E-3</c:v>
                </c:pt>
                <c:pt idx="19">
                  <c:v>6.3660000000020922E-5</c:v>
                </c:pt>
                <c:pt idx="20">
                  <c:v>-9.6291999999997824E-4</c:v>
                </c:pt>
                <c:pt idx="21">
                  <c:v>-1.651890000000017E-3</c:v>
                </c:pt>
                <c:pt idx="22">
                  <c:v>-1.708849999999984E-3</c:v>
                </c:pt>
                <c:pt idx="23">
                  <c:v>-1.1153700000000044E-3</c:v>
                </c:pt>
                <c:pt idx="24">
                  <c:v>-2.4275850000000099E-3</c:v>
                </c:pt>
                <c:pt idx="25">
                  <c:v>-7.127949999999883E-4</c:v>
                </c:pt>
                <c:pt idx="26">
                  <c:v>-1.7034550000000204E-3</c:v>
                </c:pt>
                <c:pt idx="27">
                  <c:v>-3.8967249999999898E-3</c:v>
                </c:pt>
                <c:pt idx="28">
                  <c:v>-2.3596549999999883E-3</c:v>
                </c:pt>
                <c:pt idx="29">
                  <c:v>-2.932749999999984E-3</c:v>
                </c:pt>
                <c:pt idx="30">
                  <c:v>-2.6791850000000006E-3</c:v>
                </c:pt>
                <c:pt idx="31">
                  <c:v>-4.3783749999999899E-3</c:v>
                </c:pt>
                <c:pt idx="32">
                  <c:v>-1.4710900000000082E-3</c:v>
                </c:pt>
                <c:pt idx="33">
                  <c:v>-1.1568200000000306E-3</c:v>
                </c:pt>
                <c:pt idx="34">
                  <c:v>-7.5613499999999112E-4</c:v>
                </c:pt>
                <c:pt idx="35">
                  <c:v>2.7918999999998473E-4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92-4F5E-A298-005C6C8A18E3}"/>
            </c:ext>
          </c:extLst>
        </c:ser>
        <c:ser>
          <c:idx val="3"/>
          <c:order val="3"/>
          <c:tx>
            <c:strRef>
              <c:f>Regrese!$N$4</c:f>
              <c:strCache>
                <c:ptCount val="1"/>
                <c:pt idx="0">
                  <c:v>diffY proklad (1H)</c:v>
                </c:pt>
              </c:strCache>
            </c:strRef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Regrese!$L$5:$L$77</c:f>
              <c:numCache>
                <c:formatCode>General</c:formatCode>
                <c:ptCount val="7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</c:numCache>
            </c:numRef>
          </c:xVal>
          <c:yVal>
            <c:numRef>
              <c:f>Regrese!$N$5:$N$77</c:f>
              <c:numCache>
                <c:formatCode>0.0000000</c:formatCode>
                <c:ptCount val="73"/>
                <c:pt idx="0">
                  <c:v>-1.6971014640774606E-4</c:v>
                </c:pt>
                <c:pt idx="1">
                  <c:v>7.284973684787752E-5</c:v>
                </c:pt>
                <c:pt idx="2">
                  <c:v>3.1417336407852037E-4</c:v>
                </c:pt>
                <c:pt idx="3">
                  <c:v>5.5242411676576734E-4</c:v>
                </c:pt>
                <c:pt idx="4">
                  <c:v>7.8578876282193056E-4</c:v>
                </c:pt>
                <c:pt idx="5">
                  <c:v>1.0124912563810966E-3</c:v>
                </c:pt>
                <c:pt idx="6">
                  <c:v>1.2308062545805722E-3</c:v>
                </c:pt>
                <c:pt idx="7">
                  <c:v>1.4390722484618596E-3</c:v>
                </c:pt>
                <c:pt idx="8">
                  <c:v>1.6357042080570763E-3</c:v>
                </c:pt>
                <c:pt idx="9">
                  <c:v>1.8192056454240796E-3</c:v>
                </c:pt>
                <c:pt idx="10">
                  <c:v>1.9881800038233088E-3</c:v>
                </c:pt>
                <c:pt idx="11">
                  <c:v>2.1413412863578395E-3</c:v>
                </c:pt>
                <c:pt idx="12">
                  <c:v>2.2775238431862726E-3</c:v>
                </c:pt>
                <c:pt idx="13">
                  <c:v>2.3956912428218674E-3</c:v>
                </c:pt>
                <c:pt idx="14">
                  <c:v>2.4949441600019698E-3</c:v>
                </c:pt>
                <c:pt idx="15">
                  <c:v>2.5745272200962911E-3</c:v>
                </c:pt>
                <c:pt idx="16">
                  <c:v>2.6338347479639462E-3</c:v>
                </c:pt>
                <c:pt idx="17">
                  <c:v>2.6724153775069988E-3</c:v>
                </c:pt>
                <c:pt idx="18">
                  <c:v>2.6899754868390047E-3</c:v>
                </c:pt>
                <c:pt idx="19">
                  <c:v>2.6863814329248633E-3</c:v>
                </c:pt>
                <c:pt idx="20">
                  <c:v>2.6616605686850111E-3</c:v>
                </c:pt>
                <c:pt idx="21">
                  <c:v>2.6160010348231788E-3</c:v>
                </c:pt>
                <c:pt idx="22">
                  <c:v>2.5497503279620351E-3</c:v>
                </c:pt>
                <c:pt idx="23">
                  <c:v>2.4634126559840647E-3</c:v>
                </c:pt>
                <c:pt idx="24">
                  <c:v>2.3576451007051302E-3</c:v>
                </c:pt>
                <c:pt idx="25">
                  <c:v>2.2332526170851011E-3</c:v>
                </c:pt>
                <c:pt idx="26">
                  <c:v>2.0911819070345613E-3</c:v>
                </c:pt>
                <c:pt idx="27">
                  <c:v>1.9325142144416352E-3</c:v>
                </c:pt>
                <c:pt idx="28">
                  <c:v>1.7584570962531276E-3</c:v>
                </c:pt>
                <c:pt idx="29">
                  <c:v>1.570335232237013E-3</c:v>
                </c:pt>
                <c:pt idx="30">
                  <c:v>1.3695803433695433E-3</c:v>
                </c:pt>
                <c:pt idx="31">
                  <c:v>1.1577202955741154E-3</c:v>
                </c:pt>
                <c:pt idx="32">
                  <c:v>9.3636747173904671E-4</c:v>
                </c:pt>
                <c:pt idx="33">
                  <c:v>7.0720650051021134E-4</c:v>
                </c:pt>
                <c:pt idx="34">
                  <c:v>4.7198143524983726E-4</c:v>
                </c:pt>
                <c:pt idx="35">
                  <c:v>2.3248248073733606E-4</c:v>
                </c:pt>
                <c:pt idx="36">
                  <c:v>-9.4676313700307277E-6</c:v>
                </c:pt>
                <c:pt idx="37">
                  <c:v>-2.5202751462565404E-4</c:v>
                </c:pt>
                <c:pt idx="38">
                  <c:v>-4.9335114185629792E-4</c:v>
                </c:pt>
                <c:pt idx="39">
                  <c:v>-7.3160189454354462E-4</c:v>
                </c:pt>
                <c:pt idx="40">
                  <c:v>-9.649665405997074E-4</c:v>
                </c:pt>
                <c:pt idx="41">
                  <c:v>-1.1916690341588734E-3</c:v>
                </c:pt>
                <c:pt idx="42">
                  <c:v>-1.4099840323583499E-3</c:v>
                </c:pt>
                <c:pt idx="43">
                  <c:v>-1.6182500262396369E-3</c:v>
                </c:pt>
                <c:pt idx="44">
                  <c:v>-1.8148819858348534E-3</c:v>
                </c:pt>
                <c:pt idx="45">
                  <c:v>-1.9983834232018566E-3</c:v>
                </c:pt>
                <c:pt idx="46">
                  <c:v>-2.1673577816010859E-3</c:v>
                </c:pt>
                <c:pt idx="47">
                  <c:v>-2.3205190641356161E-3</c:v>
                </c:pt>
                <c:pt idx="48">
                  <c:v>-2.4567016209640488E-3</c:v>
                </c:pt>
                <c:pt idx="49">
                  <c:v>-2.5748690205996448E-3</c:v>
                </c:pt>
                <c:pt idx="50">
                  <c:v>-2.6741219377797477E-3</c:v>
                </c:pt>
                <c:pt idx="51">
                  <c:v>-2.7537049978740681E-3</c:v>
                </c:pt>
                <c:pt idx="52">
                  <c:v>-2.8130125257417237E-3</c:v>
                </c:pt>
                <c:pt idx="53">
                  <c:v>-2.8515931552847758E-3</c:v>
                </c:pt>
                <c:pt idx="54">
                  <c:v>-2.8691532646167818E-3</c:v>
                </c:pt>
                <c:pt idx="55">
                  <c:v>-2.8655592107026404E-3</c:v>
                </c:pt>
                <c:pt idx="56">
                  <c:v>-2.8408383464627886E-3</c:v>
                </c:pt>
                <c:pt idx="57">
                  <c:v>-2.7951788126009563E-3</c:v>
                </c:pt>
                <c:pt idx="58">
                  <c:v>-2.7289281057398121E-3</c:v>
                </c:pt>
                <c:pt idx="59">
                  <c:v>-2.6425904337618413E-3</c:v>
                </c:pt>
                <c:pt idx="60">
                  <c:v>-2.5368228784829073E-3</c:v>
                </c:pt>
                <c:pt idx="61">
                  <c:v>-2.4124303948628782E-3</c:v>
                </c:pt>
                <c:pt idx="62">
                  <c:v>-2.2703596848123388E-3</c:v>
                </c:pt>
                <c:pt idx="63">
                  <c:v>-2.1116919922194127E-3</c:v>
                </c:pt>
                <c:pt idx="64">
                  <c:v>-1.9376348740309051E-3</c:v>
                </c:pt>
                <c:pt idx="65">
                  <c:v>-1.7495130100147916E-3</c:v>
                </c:pt>
                <c:pt idx="66">
                  <c:v>-1.5487581211473221E-3</c:v>
                </c:pt>
                <c:pt idx="67">
                  <c:v>-1.336898073351892E-3</c:v>
                </c:pt>
                <c:pt idx="68">
                  <c:v>-1.1155452495168231E-3</c:v>
                </c:pt>
                <c:pt idx="69">
                  <c:v>-8.8638427828798753E-4</c:v>
                </c:pt>
                <c:pt idx="70">
                  <c:v>-6.5115921302761476E-4</c:v>
                </c:pt>
                <c:pt idx="71">
                  <c:v>-4.1166025851511356E-4</c:v>
                </c:pt>
                <c:pt idx="72">
                  <c:v>-1.6971014640774674E-4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F92-4F5E-A298-005C6C8A1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691919"/>
        <c:axId val="420391407"/>
      </c:scatterChart>
      <c:valAx>
        <c:axId val="715691919"/>
        <c:scaling>
          <c:orientation val="minMax"/>
          <c:max val="3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1" i="0" u="none" strike="noStrike" kern="1200" baseline="0">
                    <a:solidFill>
                      <a:sysClr val="windowText" lastClr="000000"/>
                    </a:solidFill>
                  </a:rPr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20391407"/>
        <c:crosses val="autoZero"/>
        <c:crossBetween val="midCat"/>
      </c:valAx>
      <c:valAx>
        <c:axId val="420391407"/>
        <c:scaling>
          <c:orientation val="minMax"/>
          <c:min val="-5.000000000000001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1" i="0" u="none" strike="noStrike" kern="1200" baseline="0">
                    <a:solidFill>
                      <a:sysClr val="windowText" lastClr="000000"/>
                    </a:solidFill>
                  </a:rPr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0000" sourceLinked="0"/>
        <c:majorTickMark val="none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15691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200024</xdr:rowOff>
    </xdr:from>
    <xdr:to>
      <xdr:col>12</xdr:col>
      <xdr:colOff>0</xdr:colOff>
      <xdr:row>52</xdr:row>
      <xdr:rowOff>200024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3BDD5E-DDA6-CAAF-FB4B-E8CED9E2B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24</xdr:row>
      <xdr:rowOff>0</xdr:rowOff>
    </xdr:from>
    <xdr:to>
      <xdr:col>38</xdr:col>
      <xdr:colOff>0</xdr:colOff>
      <xdr:row>53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C7438E-0EB4-F6E9-C9D9-2732312FF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55</xdr:row>
      <xdr:rowOff>0</xdr:rowOff>
    </xdr:from>
    <xdr:to>
      <xdr:col>25</xdr:col>
      <xdr:colOff>0</xdr:colOff>
      <xdr:row>84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6D7221-8ABD-41CE-B4A0-C455AE77B6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11207</xdr:colOff>
      <xdr:row>55</xdr:row>
      <xdr:rowOff>0</xdr:rowOff>
    </xdr:from>
    <xdr:to>
      <xdr:col>12</xdr:col>
      <xdr:colOff>1</xdr:colOff>
      <xdr:row>83</xdr:row>
      <xdr:rowOff>190499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8BA4AE-CB7E-458B-AC82-EDB6A55BC6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0</xdr:colOff>
      <xdr:row>55</xdr:row>
      <xdr:rowOff>0</xdr:rowOff>
    </xdr:from>
    <xdr:to>
      <xdr:col>38</xdr:col>
      <xdr:colOff>0</xdr:colOff>
      <xdr:row>83</xdr:row>
      <xdr:rowOff>201704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61ED1E-5DC5-4628-BB95-ACD6F96093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24</xdr:row>
      <xdr:rowOff>1</xdr:rowOff>
    </xdr:from>
    <xdr:to>
      <xdr:col>25</xdr:col>
      <xdr:colOff>0</xdr:colOff>
      <xdr:row>53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9592A88-6ADD-474A-BDCB-BBE97CBB0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533656</xdr:colOff>
      <xdr:row>9</xdr:row>
      <xdr:rowOff>36240</xdr:rowOff>
    </xdr:from>
    <xdr:to>
      <xdr:col>27</xdr:col>
      <xdr:colOff>112059</xdr:colOff>
      <xdr:row>41</xdr:row>
      <xdr:rowOff>138546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7F3AB4-C6A9-444B-B8BE-0B88247F53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FE68-A055-4662-A0AD-4DC09BF30950}">
  <dimension ref="A1:AG22"/>
  <sheetViews>
    <sheetView tabSelected="1" zoomScaleNormal="100" workbookViewId="0">
      <selection activeCell="AK7" sqref="AK7"/>
    </sheetView>
  </sheetViews>
  <sheetFormatPr defaultRowHeight="15.75" x14ac:dyDescent="0.25"/>
  <cols>
    <col min="1" max="4" width="9.140625" style="1"/>
    <col min="5" max="6" width="9.140625" style="1" customWidth="1"/>
    <col min="7" max="16384" width="9.140625" style="1"/>
  </cols>
  <sheetData>
    <row r="1" spans="1:33" ht="15.75" customHeight="1" x14ac:dyDescent="0.25">
      <c r="A1" s="105" t="s">
        <v>29</v>
      </c>
      <c r="B1" s="105"/>
      <c r="C1" s="105" t="s">
        <v>89</v>
      </c>
      <c r="D1" s="105"/>
      <c r="E1" s="105" t="s">
        <v>58</v>
      </c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AC1" s="53" t="s">
        <v>50</v>
      </c>
      <c r="AD1" s="54"/>
      <c r="AE1" s="54"/>
      <c r="AF1" s="54"/>
      <c r="AG1" s="55"/>
    </row>
    <row r="2" spans="1:33" ht="15.75" customHeight="1" x14ac:dyDescent="0.25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AC2" s="56"/>
      <c r="AD2" s="57"/>
      <c r="AE2" s="57"/>
      <c r="AF2" s="57"/>
      <c r="AG2" s="58"/>
    </row>
    <row r="4" spans="1:33" x14ac:dyDescent="0.25">
      <c r="A4" s="104" t="s">
        <v>30</v>
      </c>
      <c r="B4" s="104"/>
      <c r="C4" s="104"/>
      <c r="D4" s="104"/>
      <c r="E4" s="104"/>
      <c r="F4" s="104"/>
      <c r="G4" s="64" t="s">
        <v>93</v>
      </c>
      <c r="H4" s="65"/>
      <c r="I4" s="2" t="s">
        <v>18</v>
      </c>
      <c r="K4" s="106" t="s">
        <v>45</v>
      </c>
      <c r="L4" s="106"/>
      <c r="M4" s="106"/>
      <c r="N4" s="106"/>
      <c r="O4" s="106"/>
      <c r="P4" s="106"/>
      <c r="R4" s="106" t="s">
        <v>46</v>
      </c>
      <c r="S4" s="106"/>
      <c r="T4" s="106"/>
      <c r="U4" s="106"/>
      <c r="V4" s="106"/>
      <c r="W4" s="106"/>
      <c r="X4" s="106"/>
      <c r="Y4" s="106"/>
      <c r="AC4" s="87"/>
      <c r="AD4" s="90"/>
      <c r="AE4" s="91" t="s">
        <v>93</v>
      </c>
      <c r="AF4" s="90"/>
      <c r="AG4" s="87"/>
    </row>
    <row r="5" spans="1:33" ht="15.75" customHeight="1" x14ac:dyDescent="0.25">
      <c r="A5" s="61" t="s">
        <v>31</v>
      </c>
      <c r="B5" s="62"/>
      <c r="C5" s="62"/>
      <c r="D5" s="62"/>
      <c r="E5" s="62"/>
      <c r="F5" s="63"/>
      <c r="G5" s="64" t="s">
        <v>90</v>
      </c>
      <c r="H5" s="65"/>
      <c r="I5" s="2" t="s">
        <v>18</v>
      </c>
      <c r="K5" s="73" t="s">
        <v>59</v>
      </c>
      <c r="L5" s="74"/>
      <c r="M5" s="74"/>
      <c r="N5" s="74"/>
      <c r="O5" s="74"/>
      <c r="P5" s="75"/>
      <c r="R5" s="107" t="s">
        <v>60</v>
      </c>
      <c r="S5" s="107"/>
      <c r="T5" s="107"/>
      <c r="U5" s="107"/>
      <c r="V5" s="107"/>
      <c r="W5" s="107"/>
      <c r="X5" s="107"/>
      <c r="Y5" s="107"/>
      <c r="AC5" s="87"/>
      <c r="AD5" s="90"/>
      <c r="AE5" s="91"/>
      <c r="AF5" s="90"/>
      <c r="AG5" s="87"/>
    </row>
    <row r="6" spans="1:33" x14ac:dyDescent="0.25">
      <c r="A6" s="104" t="s">
        <v>32</v>
      </c>
      <c r="B6" s="104"/>
      <c r="C6" s="104"/>
      <c r="D6" s="104"/>
      <c r="E6" s="104"/>
      <c r="F6" s="104"/>
      <c r="G6" s="103">
        <v>0</v>
      </c>
      <c r="H6" s="103"/>
      <c r="I6" s="2" t="s">
        <v>24</v>
      </c>
      <c r="K6" s="76"/>
      <c r="L6" s="77"/>
      <c r="M6" s="77"/>
      <c r="N6" s="77"/>
      <c r="O6" s="77"/>
      <c r="P6" s="78"/>
      <c r="R6" s="107"/>
      <c r="S6" s="107"/>
      <c r="T6" s="107"/>
      <c r="U6" s="107"/>
      <c r="V6" s="107"/>
      <c r="W6" s="107"/>
      <c r="X6" s="107"/>
      <c r="Y6" s="107"/>
      <c r="AC6" s="87"/>
      <c r="AD6" s="90"/>
      <c r="AE6" s="91"/>
      <c r="AF6" s="90"/>
      <c r="AG6" s="87"/>
    </row>
    <row r="7" spans="1:33" ht="15.75" customHeight="1" x14ac:dyDescent="0.25">
      <c r="A7" s="61" t="s">
        <v>49</v>
      </c>
      <c r="B7" s="62"/>
      <c r="C7" s="62"/>
      <c r="D7" s="62"/>
      <c r="E7" s="62"/>
      <c r="F7" s="63"/>
      <c r="G7" s="64" t="s">
        <v>56</v>
      </c>
      <c r="H7" s="65"/>
      <c r="I7" s="2"/>
      <c r="K7" s="76"/>
      <c r="L7" s="77"/>
      <c r="M7" s="77"/>
      <c r="N7" s="77"/>
      <c r="O7" s="77"/>
      <c r="P7" s="78"/>
      <c r="R7" s="107"/>
      <c r="S7" s="107"/>
      <c r="T7" s="107"/>
      <c r="U7" s="107"/>
      <c r="V7" s="107"/>
      <c r="W7" s="107"/>
      <c r="X7" s="107"/>
      <c r="Y7" s="107"/>
      <c r="AC7" s="90"/>
      <c r="AD7" s="90"/>
      <c r="AE7" s="90"/>
      <c r="AF7" s="90"/>
      <c r="AG7" s="90"/>
    </row>
    <row r="8" spans="1:33" x14ac:dyDescent="0.25">
      <c r="A8" s="104" t="s">
        <v>15</v>
      </c>
      <c r="B8" s="104"/>
      <c r="C8" s="104"/>
      <c r="D8" s="104"/>
      <c r="E8" s="104"/>
      <c r="F8" s="104"/>
      <c r="G8" s="108">
        <f>360/((23*60*60)+(56*60)+4.09)</f>
        <v>4.1780746480349299E-3</v>
      </c>
      <c r="H8" s="108"/>
      <c r="I8" s="2" t="s">
        <v>16</v>
      </c>
      <c r="K8" s="76"/>
      <c r="L8" s="77"/>
      <c r="M8" s="77"/>
      <c r="N8" s="77"/>
      <c r="O8" s="77"/>
      <c r="P8" s="78"/>
      <c r="R8" s="107"/>
      <c r="S8" s="107"/>
      <c r="T8" s="107"/>
      <c r="U8" s="107"/>
      <c r="V8" s="107"/>
      <c r="W8" s="107"/>
      <c r="X8" s="107"/>
      <c r="Y8" s="107"/>
      <c r="AC8" s="90"/>
      <c r="AD8" s="90"/>
      <c r="AE8" s="90"/>
      <c r="AF8" s="90"/>
      <c r="AG8" s="90"/>
    </row>
    <row r="9" spans="1:33" x14ac:dyDescent="0.25">
      <c r="A9" s="104" t="s">
        <v>17</v>
      </c>
      <c r="B9" s="104"/>
      <c r="C9" s="104"/>
      <c r="D9" s="104"/>
      <c r="E9" s="104"/>
      <c r="F9" s="104"/>
      <c r="G9" s="103">
        <v>49</v>
      </c>
      <c r="H9" s="103"/>
      <c r="I9" s="2" t="s">
        <v>18</v>
      </c>
      <c r="K9" s="76"/>
      <c r="L9" s="77"/>
      <c r="M9" s="77"/>
      <c r="N9" s="77"/>
      <c r="O9" s="77"/>
      <c r="P9" s="78"/>
      <c r="R9" s="107"/>
      <c r="S9" s="107"/>
      <c r="T9" s="107"/>
      <c r="U9" s="107"/>
      <c r="V9" s="107"/>
      <c r="W9" s="107"/>
      <c r="X9" s="107"/>
      <c r="Y9" s="107"/>
      <c r="AC9" s="90"/>
      <c r="AD9" s="113"/>
      <c r="AE9" s="113"/>
      <c r="AF9" s="113"/>
      <c r="AG9" s="90"/>
    </row>
    <row r="10" spans="1:33" ht="15.75" customHeight="1" x14ac:dyDescent="0.25">
      <c r="A10" s="98" t="s">
        <v>19</v>
      </c>
      <c r="B10" s="99"/>
      <c r="C10" s="99"/>
      <c r="D10" s="99"/>
      <c r="E10" s="99"/>
      <c r="F10" s="100"/>
      <c r="G10" s="101">
        <f>(COS(RADIANS(G9))*G8)</f>
        <v>2.7410635966396515E-3</v>
      </c>
      <c r="H10" s="102"/>
      <c r="I10" s="3" t="s">
        <v>16</v>
      </c>
      <c r="K10" s="76"/>
      <c r="L10" s="77"/>
      <c r="M10" s="77"/>
      <c r="N10" s="77"/>
      <c r="O10" s="77"/>
      <c r="P10" s="78"/>
      <c r="R10" s="13"/>
      <c r="S10" s="13"/>
      <c r="T10" s="13"/>
      <c r="U10" s="13"/>
      <c r="V10" s="13"/>
      <c r="W10" s="13"/>
      <c r="X10" s="13"/>
      <c r="Y10" s="13"/>
      <c r="AC10" s="92" t="s">
        <v>48</v>
      </c>
      <c r="AD10" s="93"/>
      <c r="AE10" s="94" t="s">
        <v>91</v>
      </c>
      <c r="AF10" s="93"/>
      <c r="AG10" s="59" t="s">
        <v>48</v>
      </c>
    </row>
    <row r="11" spans="1:33" ht="15.75" customHeight="1" x14ac:dyDescent="0.25">
      <c r="A11" s="104" t="s">
        <v>33</v>
      </c>
      <c r="B11" s="104"/>
      <c r="C11" s="104"/>
      <c r="D11" s="104"/>
      <c r="E11" s="104"/>
      <c r="F11" s="104"/>
      <c r="G11" s="103">
        <v>10</v>
      </c>
      <c r="H11" s="103"/>
      <c r="I11" s="2" t="s">
        <v>18</v>
      </c>
      <c r="K11" s="76"/>
      <c r="L11" s="77"/>
      <c r="M11" s="77"/>
      <c r="N11" s="77"/>
      <c r="O11" s="77"/>
      <c r="P11" s="78"/>
      <c r="R11" s="13"/>
      <c r="S11" s="13"/>
      <c r="T11" s="13"/>
      <c r="U11" s="13"/>
      <c r="V11" s="13"/>
      <c r="W11" s="13"/>
      <c r="X11" s="13"/>
      <c r="Y11" s="13"/>
      <c r="AC11" s="92"/>
      <c r="AD11" s="93"/>
      <c r="AE11" s="94"/>
      <c r="AF11" s="93"/>
      <c r="AG11" s="59"/>
    </row>
    <row r="12" spans="1:33" ht="15.75" customHeight="1" x14ac:dyDescent="0.25">
      <c r="A12" s="61" t="s">
        <v>34</v>
      </c>
      <c r="B12" s="62"/>
      <c r="C12" s="62"/>
      <c r="D12" s="62"/>
      <c r="E12" s="62"/>
      <c r="F12" s="63"/>
      <c r="G12" s="64">
        <f>360/G11</f>
        <v>36</v>
      </c>
      <c r="H12" s="65"/>
      <c r="I12" s="2"/>
      <c r="K12" s="76"/>
      <c r="L12" s="77"/>
      <c r="M12" s="77"/>
      <c r="N12" s="77"/>
      <c r="O12" s="77"/>
      <c r="P12" s="78"/>
      <c r="R12" s="8"/>
      <c r="S12" s="8"/>
      <c r="T12" s="8"/>
      <c r="U12" s="8"/>
      <c r="V12" s="8"/>
      <c r="W12" s="8"/>
      <c r="X12" s="8"/>
      <c r="Y12" s="8"/>
      <c r="AC12" s="92"/>
      <c r="AD12" s="93"/>
      <c r="AE12" s="94"/>
      <c r="AF12" s="93"/>
      <c r="AG12" s="59"/>
    </row>
    <row r="13" spans="1:33" ht="15.75" customHeight="1" x14ac:dyDescent="0.25">
      <c r="A13" s="104" t="s">
        <v>20</v>
      </c>
      <c r="B13" s="104"/>
      <c r="C13" s="104"/>
      <c r="D13" s="104"/>
      <c r="E13" s="104"/>
      <c r="F13" s="104"/>
      <c r="G13" s="103" t="s">
        <v>47</v>
      </c>
      <c r="H13" s="103"/>
      <c r="I13" s="2"/>
      <c r="K13" s="76"/>
      <c r="L13" s="77"/>
      <c r="M13" s="77"/>
      <c r="N13" s="77"/>
      <c r="O13" s="77"/>
      <c r="P13" s="78"/>
      <c r="R13" s="109" t="s">
        <v>25</v>
      </c>
      <c r="S13" s="109"/>
      <c r="T13" s="109" t="s">
        <v>26</v>
      </c>
      <c r="U13" s="109"/>
      <c r="V13" s="109" t="s">
        <v>27</v>
      </c>
      <c r="W13" s="109"/>
      <c r="X13" s="109" t="s">
        <v>28</v>
      </c>
      <c r="Y13" s="109"/>
      <c r="AC13" s="72" t="s">
        <v>48</v>
      </c>
      <c r="AD13" s="66"/>
      <c r="AE13" s="95" t="s">
        <v>92</v>
      </c>
      <c r="AF13" s="66"/>
      <c r="AG13" s="60" t="s">
        <v>48</v>
      </c>
    </row>
    <row r="14" spans="1:33" ht="15.75" customHeight="1" x14ac:dyDescent="0.25">
      <c r="A14" s="61" t="s">
        <v>21</v>
      </c>
      <c r="B14" s="62"/>
      <c r="C14" s="62"/>
      <c r="D14" s="62"/>
      <c r="E14" s="62"/>
      <c r="F14" s="63"/>
      <c r="G14" s="64">
        <v>240</v>
      </c>
      <c r="H14" s="65"/>
      <c r="I14" s="2"/>
      <c r="K14" s="76"/>
      <c r="L14" s="77"/>
      <c r="M14" s="77"/>
      <c r="N14" s="77"/>
      <c r="O14" s="77"/>
      <c r="P14" s="78"/>
      <c r="R14" s="109"/>
      <c r="S14" s="109"/>
      <c r="T14" s="109"/>
      <c r="U14" s="109"/>
      <c r="V14" s="109"/>
      <c r="W14" s="109"/>
      <c r="X14" s="109"/>
      <c r="Y14" s="109"/>
      <c r="AC14" s="72"/>
      <c r="AD14" s="67"/>
      <c r="AE14" s="96"/>
      <c r="AF14" s="67"/>
      <c r="AG14" s="60"/>
    </row>
    <row r="15" spans="1:33" ht="15.75" customHeight="1" x14ac:dyDescent="0.25">
      <c r="A15" s="61" t="s">
        <v>22</v>
      </c>
      <c r="B15" s="62"/>
      <c r="C15" s="62"/>
      <c r="D15" s="62"/>
      <c r="E15" s="62"/>
      <c r="F15" s="63"/>
      <c r="G15" s="64">
        <v>1000</v>
      </c>
      <c r="H15" s="65"/>
      <c r="I15" s="2"/>
      <c r="K15" s="76"/>
      <c r="L15" s="77"/>
      <c r="M15" s="77"/>
      <c r="N15" s="77"/>
      <c r="O15" s="77"/>
      <c r="P15" s="78"/>
      <c r="R15" s="109"/>
      <c r="S15" s="109"/>
      <c r="T15" s="109"/>
      <c r="U15" s="109"/>
      <c r="V15" s="109"/>
      <c r="W15" s="109"/>
      <c r="X15" s="109"/>
      <c r="Y15" s="109"/>
      <c r="AC15" s="72"/>
      <c r="AD15" s="68"/>
      <c r="AE15" s="97"/>
      <c r="AF15" s="68"/>
      <c r="AG15" s="60"/>
    </row>
    <row r="16" spans="1:33" ht="15.75" customHeight="1" x14ac:dyDescent="0.25">
      <c r="A16" s="61" t="s">
        <v>23</v>
      </c>
      <c r="B16" s="62"/>
      <c r="C16" s="62"/>
      <c r="D16" s="62"/>
      <c r="E16" s="62"/>
      <c r="F16" s="63"/>
      <c r="G16" s="64">
        <v>50</v>
      </c>
      <c r="H16" s="65"/>
      <c r="I16" s="2"/>
      <c r="K16" s="76"/>
      <c r="L16" s="77"/>
      <c r="M16" s="77"/>
      <c r="N16" s="77"/>
      <c r="O16" s="77"/>
      <c r="P16" s="78"/>
      <c r="R16" s="109"/>
      <c r="S16" s="109"/>
      <c r="T16" s="109"/>
      <c r="U16" s="109"/>
      <c r="V16" s="109"/>
      <c r="W16" s="109"/>
      <c r="X16" s="109"/>
      <c r="Y16" s="109"/>
      <c r="AC16" s="72" t="s">
        <v>48</v>
      </c>
      <c r="AD16" s="69"/>
      <c r="AE16" s="66" t="s">
        <v>48</v>
      </c>
      <c r="AF16" s="66"/>
      <c r="AG16" s="60" t="s">
        <v>48</v>
      </c>
    </row>
    <row r="17" spans="1:33" ht="15.75" customHeight="1" x14ac:dyDescent="0.25">
      <c r="A17" s="82" t="s">
        <v>36</v>
      </c>
      <c r="B17" s="83"/>
      <c r="C17" s="83"/>
      <c r="D17" s="83"/>
      <c r="E17" s="83"/>
      <c r="F17" s="84"/>
      <c r="G17" s="111">
        <v>400</v>
      </c>
      <c r="H17" s="112"/>
      <c r="I17" s="4" t="s">
        <v>18</v>
      </c>
      <c r="K17" s="76"/>
      <c r="L17" s="77"/>
      <c r="M17" s="77"/>
      <c r="N17" s="77"/>
      <c r="O17" s="77"/>
      <c r="P17" s="78"/>
      <c r="R17" s="110">
        <f>MIN('T19-6'!U3:U74)</f>
        <v>-4.5290400000000119E-3</v>
      </c>
      <c r="S17" s="110"/>
      <c r="T17" s="110">
        <f>MIN('T19-6'!V3:V74)</f>
        <v>-5.5961700000000114E-3</v>
      </c>
      <c r="U17" s="110"/>
      <c r="V17" s="110">
        <f>MAX('T19-6'!U3:U74)</f>
        <v>4.96255000000001E-3</v>
      </c>
      <c r="W17" s="110"/>
      <c r="X17" s="110">
        <f>MAX('T19-6'!V3:V74)</f>
        <v>1.4512299999999978E-2</v>
      </c>
      <c r="Y17" s="110"/>
      <c r="AC17" s="72"/>
      <c r="AD17" s="70"/>
      <c r="AE17" s="67"/>
      <c r="AF17" s="67"/>
      <c r="AG17" s="60"/>
    </row>
    <row r="18" spans="1:33" ht="15.75" customHeight="1" x14ac:dyDescent="0.25">
      <c r="A18" s="82" t="s">
        <v>35</v>
      </c>
      <c r="B18" s="83"/>
      <c r="C18" s="83"/>
      <c r="D18" s="83"/>
      <c r="E18" s="83"/>
      <c r="F18" s="84"/>
      <c r="G18" s="111">
        <f>G14*G15*2</f>
        <v>480000</v>
      </c>
      <c r="H18" s="112"/>
      <c r="I18" s="2"/>
      <c r="K18" s="79"/>
      <c r="L18" s="80"/>
      <c r="M18" s="80"/>
      <c r="N18" s="80"/>
      <c r="O18" s="80"/>
      <c r="P18" s="81"/>
      <c r="R18" s="110"/>
      <c r="S18" s="110"/>
      <c r="T18" s="110"/>
      <c r="U18" s="110"/>
      <c r="V18" s="110"/>
      <c r="W18" s="110"/>
      <c r="X18" s="110"/>
      <c r="Y18" s="110"/>
      <c r="AC18" s="72"/>
      <c r="AD18" s="71"/>
      <c r="AE18" s="68"/>
      <c r="AF18" s="68"/>
      <c r="AG18" s="60"/>
    </row>
    <row r="19" spans="1:33" ht="15.75" customHeight="1" x14ac:dyDescent="0.25">
      <c r="A19" s="9"/>
      <c r="B19" s="9"/>
      <c r="C19" s="9"/>
      <c r="D19" s="9"/>
      <c r="E19" s="9"/>
      <c r="F19" s="9"/>
      <c r="G19" s="10"/>
      <c r="H19" s="10"/>
      <c r="I19" s="11"/>
      <c r="K19" s="7"/>
      <c r="L19" s="7"/>
      <c r="M19" s="7"/>
      <c r="N19" s="7"/>
      <c r="O19" s="7"/>
      <c r="P19" s="7"/>
      <c r="R19" s="12"/>
      <c r="S19" s="12"/>
      <c r="T19" s="12"/>
      <c r="U19" s="12"/>
      <c r="V19" s="12"/>
      <c r="W19" s="12"/>
      <c r="X19" s="12"/>
      <c r="Y19" s="12"/>
      <c r="AC19" s="85" t="s">
        <v>48</v>
      </c>
      <c r="AD19" s="88" t="s">
        <v>48</v>
      </c>
      <c r="AE19" s="88" t="s">
        <v>48</v>
      </c>
      <c r="AF19" s="88" t="s">
        <v>48</v>
      </c>
      <c r="AG19" s="86" t="s">
        <v>48</v>
      </c>
    </row>
    <row r="20" spans="1:33" ht="15.75" customHeight="1" x14ac:dyDescent="0.25">
      <c r="A20" s="9"/>
      <c r="B20" s="9"/>
      <c r="C20" s="9"/>
      <c r="D20" s="9"/>
      <c r="E20" s="9"/>
      <c r="F20" s="9"/>
      <c r="G20" s="10"/>
      <c r="H20" s="10"/>
      <c r="I20" s="11"/>
      <c r="K20" s="7"/>
      <c r="L20" s="7"/>
      <c r="M20" s="7"/>
      <c r="N20" s="7"/>
      <c r="O20" s="7"/>
      <c r="P20" s="7"/>
      <c r="R20" s="12"/>
      <c r="S20" s="12"/>
      <c r="T20" s="12"/>
      <c r="U20" s="12"/>
      <c r="V20" s="12"/>
      <c r="W20" s="12"/>
      <c r="X20" s="12"/>
      <c r="Y20" s="12"/>
      <c r="AC20" s="85"/>
      <c r="AD20" s="89"/>
      <c r="AE20" s="89"/>
      <c r="AF20" s="89"/>
      <c r="AG20" s="86"/>
    </row>
    <row r="21" spans="1:33" ht="15.75" customHeight="1" x14ac:dyDescent="0.25">
      <c r="A21" s="9"/>
      <c r="B21" s="9"/>
      <c r="C21" s="9"/>
      <c r="D21" s="9"/>
      <c r="E21" s="9"/>
      <c r="F21" s="9"/>
      <c r="G21" s="10"/>
      <c r="H21" s="10"/>
      <c r="I21" s="11"/>
      <c r="K21" s="7"/>
      <c r="L21" s="7"/>
      <c r="M21" s="7"/>
      <c r="N21" s="7"/>
      <c r="O21" s="7"/>
      <c r="P21" s="7"/>
      <c r="R21" s="12"/>
      <c r="S21" s="12"/>
      <c r="T21" s="12"/>
      <c r="U21" s="12"/>
      <c r="V21" s="12"/>
      <c r="W21" s="12"/>
      <c r="X21" s="12"/>
      <c r="Y21" s="12"/>
      <c r="AC21" s="85"/>
      <c r="AD21" s="89"/>
      <c r="AE21" s="89"/>
      <c r="AF21" s="89"/>
      <c r="AG21" s="86"/>
    </row>
    <row r="22" spans="1:33" ht="15.75" customHeight="1" x14ac:dyDescent="0.25">
      <c r="A22" s="9"/>
      <c r="B22" s="9"/>
      <c r="C22" s="9"/>
      <c r="D22" s="9"/>
      <c r="E22" s="9"/>
      <c r="F22" s="9"/>
      <c r="G22" s="10"/>
      <c r="H22" s="10"/>
      <c r="I22" s="11"/>
      <c r="K22" s="7"/>
      <c r="L22" s="7"/>
      <c r="M22" s="7"/>
      <c r="N22" s="7"/>
      <c r="O22" s="7"/>
      <c r="P22" s="7"/>
      <c r="R22" s="12"/>
      <c r="S22" s="12"/>
      <c r="T22" s="12"/>
      <c r="U22" s="12"/>
      <c r="V22" s="12"/>
      <c r="W22" s="12"/>
      <c r="X22" s="12"/>
      <c r="Y22" s="12"/>
    </row>
  </sheetData>
  <mergeCells count="76">
    <mergeCell ref="AC7:AC9"/>
    <mergeCell ref="AD7:AD9"/>
    <mergeCell ref="AE7:AE9"/>
    <mergeCell ref="AF7:AF9"/>
    <mergeCell ref="AG7:AG9"/>
    <mergeCell ref="A18:F18"/>
    <mergeCell ref="A14:F14"/>
    <mergeCell ref="A15:F15"/>
    <mergeCell ref="A16:F16"/>
    <mergeCell ref="R17:S18"/>
    <mergeCell ref="R13:S16"/>
    <mergeCell ref="A13:F13"/>
    <mergeCell ref="G17:H17"/>
    <mergeCell ref="G16:H16"/>
    <mergeCell ref="G15:H15"/>
    <mergeCell ref="G14:H14"/>
    <mergeCell ref="G18:H18"/>
    <mergeCell ref="T13:U16"/>
    <mergeCell ref="V13:W16"/>
    <mergeCell ref="X13:Y16"/>
    <mergeCell ref="T17:U18"/>
    <mergeCell ref="V17:W18"/>
    <mergeCell ref="X17:Y18"/>
    <mergeCell ref="R5:Y9"/>
    <mergeCell ref="G8:H8"/>
    <mergeCell ref="A5:F5"/>
    <mergeCell ref="G5:H5"/>
    <mergeCell ref="A6:F6"/>
    <mergeCell ref="G6:H6"/>
    <mergeCell ref="A8:F8"/>
    <mergeCell ref="G4:H4"/>
    <mergeCell ref="A1:B2"/>
    <mergeCell ref="C1:D2"/>
    <mergeCell ref="E1:Y2"/>
    <mergeCell ref="K4:P4"/>
    <mergeCell ref="A4:F4"/>
    <mergeCell ref="R4:Y4"/>
    <mergeCell ref="A10:F10"/>
    <mergeCell ref="G10:H10"/>
    <mergeCell ref="G9:H9"/>
    <mergeCell ref="G11:H11"/>
    <mergeCell ref="G13:H13"/>
    <mergeCell ref="A9:F9"/>
    <mergeCell ref="A11:F11"/>
    <mergeCell ref="AC19:AC21"/>
    <mergeCell ref="AG19:AG21"/>
    <mergeCell ref="AC4:AC6"/>
    <mergeCell ref="AG4:AG6"/>
    <mergeCell ref="AD19:AD21"/>
    <mergeCell ref="AE19:AE21"/>
    <mergeCell ref="AF19:AF21"/>
    <mergeCell ref="AD4:AD6"/>
    <mergeCell ref="AE4:AE6"/>
    <mergeCell ref="AF4:AF6"/>
    <mergeCell ref="AC10:AC12"/>
    <mergeCell ref="AD10:AD12"/>
    <mergeCell ref="AE10:AE12"/>
    <mergeCell ref="AD13:AD15"/>
    <mergeCell ref="AE13:AE15"/>
    <mergeCell ref="AF10:AF12"/>
    <mergeCell ref="AC1:AG2"/>
    <mergeCell ref="AG10:AG12"/>
    <mergeCell ref="AG13:AG15"/>
    <mergeCell ref="AG16:AG18"/>
    <mergeCell ref="A7:F7"/>
    <mergeCell ref="G7:H7"/>
    <mergeCell ref="AF13:AF15"/>
    <mergeCell ref="AD16:AD18"/>
    <mergeCell ref="AE16:AE18"/>
    <mergeCell ref="AF16:AF18"/>
    <mergeCell ref="AC13:AC15"/>
    <mergeCell ref="AC16:AC18"/>
    <mergeCell ref="A12:F12"/>
    <mergeCell ref="G12:H12"/>
    <mergeCell ref="K5:P18"/>
    <mergeCell ref="A17:F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3B5D-C28B-4F1E-93CC-398852228A2C}">
  <dimension ref="A1:AF112"/>
  <sheetViews>
    <sheetView topLeftCell="A33" zoomScale="85" zoomScaleNormal="85" workbookViewId="0">
      <selection activeCell="I30" sqref="I30"/>
    </sheetView>
  </sheetViews>
  <sheetFormatPr defaultRowHeight="15" x14ac:dyDescent="0.25"/>
  <cols>
    <col min="2" max="2" width="5.85546875" customWidth="1"/>
    <col min="3" max="3" width="7.7109375" customWidth="1"/>
    <col min="4" max="4" width="3.5703125" customWidth="1"/>
    <col min="5" max="5" width="10.7109375" customWidth="1"/>
    <col min="6" max="6" width="10.85546875" customWidth="1"/>
    <col min="7" max="7" width="12.7109375" customWidth="1"/>
    <col min="8" max="9" width="10.85546875" customWidth="1"/>
    <col min="10" max="10" width="12.28515625" customWidth="1"/>
    <col min="11" max="11" width="10.42578125" customWidth="1"/>
    <col min="12" max="12" width="10.28515625" customWidth="1"/>
    <col min="13" max="13" width="12.42578125" customWidth="1"/>
    <col min="14" max="14" width="11.85546875" customWidth="1"/>
    <col min="15" max="15" width="11.7109375" customWidth="1"/>
    <col min="16" max="16" width="13.7109375" customWidth="1"/>
    <col min="17" max="18" width="11.7109375" customWidth="1"/>
    <col min="19" max="19" width="13.42578125" customWidth="1"/>
    <col min="20" max="20" width="2.7109375" customWidth="1"/>
    <col min="23" max="23" width="3.5703125" customWidth="1"/>
    <col min="24" max="24" width="3.28515625" customWidth="1"/>
    <col min="25" max="25" width="9.42578125" customWidth="1"/>
    <col min="26" max="26" width="11" customWidth="1"/>
    <col min="27" max="27" width="10.42578125" customWidth="1"/>
    <col min="28" max="28" width="10.28515625" customWidth="1"/>
    <col min="29" max="29" width="7" customWidth="1"/>
    <col min="30" max="30" width="7.140625" customWidth="1"/>
    <col min="31" max="31" width="15" customWidth="1"/>
    <col min="32" max="32" width="20.85546875" customWidth="1"/>
  </cols>
  <sheetData>
    <row r="1" spans="1:32" x14ac:dyDescent="0.25">
      <c r="Y1" s="5"/>
      <c r="Z1" s="5"/>
      <c r="AA1" s="5"/>
      <c r="AB1" s="5"/>
      <c r="AC1" s="5"/>
      <c r="AD1" s="5"/>
      <c r="AE1" s="5"/>
      <c r="AF1" s="5"/>
    </row>
    <row r="2" spans="1:32" x14ac:dyDescent="0.25">
      <c r="A2" t="s">
        <v>55</v>
      </c>
      <c r="B2" t="s">
        <v>51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52</v>
      </c>
      <c r="L2" t="s">
        <v>53</v>
      </c>
      <c r="M2" t="s">
        <v>54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U2" t="s">
        <v>57</v>
      </c>
      <c r="V2" t="s">
        <v>14</v>
      </c>
      <c r="Y2" s="6" t="s">
        <v>37</v>
      </c>
      <c r="Z2" s="6" t="s">
        <v>38</v>
      </c>
      <c r="AA2" s="6" t="s">
        <v>39</v>
      </c>
      <c r="AB2" s="6" t="s">
        <v>40</v>
      </c>
      <c r="AC2" s="6" t="s">
        <v>41</v>
      </c>
      <c r="AD2" s="5" t="s">
        <v>42</v>
      </c>
      <c r="AE2" s="5" t="s">
        <v>43</v>
      </c>
      <c r="AF2" s="5" t="s">
        <v>44</v>
      </c>
    </row>
    <row r="3" spans="1:32" x14ac:dyDescent="0.25">
      <c r="A3" s="14">
        <v>1</v>
      </c>
      <c r="B3" s="14" t="s">
        <v>61</v>
      </c>
      <c r="C3" s="14">
        <v>0</v>
      </c>
      <c r="D3" s="14">
        <v>6</v>
      </c>
      <c r="E3" s="15">
        <v>-0.43255648000000002</v>
      </c>
      <c r="F3" s="15">
        <v>-0.42962739999999999</v>
      </c>
      <c r="G3" s="15">
        <v>-2.9290599999999998E-3</v>
      </c>
      <c r="H3" s="15">
        <v>0.53183170000000002</v>
      </c>
      <c r="I3" s="15">
        <v>0.53508467999999998</v>
      </c>
      <c r="J3" s="15">
        <v>-3.2529799999999999E-3</v>
      </c>
      <c r="K3" s="18">
        <v>25.36</v>
      </c>
      <c r="L3" s="18">
        <v>25.34</v>
      </c>
      <c r="M3" s="18">
        <v>0.02</v>
      </c>
      <c r="N3" s="15">
        <v>6.9777560000000002E-2</v>
      </c>
      <c r="O3" s="15">
        <v>6.0083000000000003E-3</v>
      </c>
      <c r="P3" s="15">
        <v>6.3769259999999994E-2</v>
      </c>
      <c r="Q3" s="15">
        <v>-1.9397699999999999E-3</v>
      </c>
      <c r="R3" s="15">
        <v>1.1740789999999999E-2</v>
      </c>
      <c r="S3" s="15">
        <v>-1.368056E-2</v>
      </c>
      <c r="T3" s="14"/>
      <c r="U3" s="15">
        <f>(F3-E3)/2</f>
        <v>1.4645400000000142E-3</v>
      </c>
      <c r="V3" s="15">
        <f>(H3-I3)/2</f>
        <v>-1.6264899999999805E-3</v>
      </c>
      <c r="W3" s="15"/>
      <c r="X3" s="15"/>
      <c r="Y3" s="16">
        <f t="shared" ref="Y3:Y34" si="0">N3</f>
        <v>6.9777560000000002E-2</v>
      </c>
      <c r="Z3" s="16">
        <f t="shared" ref="Z3:Z34" si="1">Q3</f>
        <v>-1.9397699999999999E-3</v>
      </c>
      <c r="AA3" s="16">
        <f t="shared" ref="AA3:AA34" si="2">O3</f>
        <v>6.0083000000000003E-3</v>
      </c>
      <c r="AB3" s="16">
        <f t="shared" ref="AB3:AB34" si="3">R3</f>
        <v>1.1740789999999999E-2</v>
      </c>
      <c r="AC3" s="17">
        <f>IF(Y3="","",DEGREES(ASIN(SQRT(Y3^2+Z3^2))))</f>
        <v>4.0027593995652735</v>
      </c>
      <c r="AD3" s="17">
        <f>IF(AA3="","",DEGREES(ASIN(SQRT(AA3^2+AB3^2))))</f>
        <v>0.75568746896911432</v>
      </c>
      <c r="AE3" s="17">
        <f>IF(Y3="","",MOD(DEGREES(ATAN2(Y3,Z3)),360))</f>
        <v>358.40762535193909</v>
      </c>
      <c r="AF3" s="17">
        <f t="shared" ref="AF3:AF34" si="4">IF(Y3="","",MOD(F3+AE3,360))</f>
        <v>357.97799795193907</v>
      </c>
    </row>
    <row r="4" spans="1:32" x14ac:dyDescent="0.25">
      <c r="A4" s="14">
        <v>2</v>
      </c>
      <c r="B4" s="14" t="s">
        <v>61</v>
      </c>
      <c r="C4" s="14">
        <v>10</v>
      </c>
      <c r="D4" s="14">
        <v>3</v>
      </c>
      <c r="E4" s="15">
        <v>-0.44088840000000001</v>
      </c>
      <c r="F4" s="15">
        <v>-0.43659629999999999</v>
      </c>
      <c r="G4" s="15">
        <v>-4.2920700000000003E-3</v>
      </c>
      <c r="H4" s="15">
        <v>0.52208549999999998</v>
      </c>
      <c r="I4" s="15">
        <v>0.52153563999999997</v>
      </c>
      <c r="J4" s="15">
        <v>5.4984999999999995E-4</v>
      </c>
      <c r="K4" s="18">
        <v>25.41</v>
      </c>
      <c r="L4" s="18">
        <v>25.41</v>
      </c>
      <c r="M4" s="18">
        <v>0</v>
      </c>
      <c r="N4" s="15">
        <v>6.7698159999999993E-2</v>
      </c>
      <c r="O4" s="15">
        <v>7.3315400000000001E-3</v>
      </c>
      <c r="P4" s="15">
        <v>6.0366620000000003E-2</v>
      </c>
      <c r="Q4" s="15">
        <v>-7.4306900000000002E-3</v>
      </c>
      <c r="R4" s="15">
        <v>1.735745E-2</v>
      </c>
      <c r="S4" s="15">
        <v>-2.478814E-2</v>
      </c>
      <c r="T4" s="14"/>
      <c r="U4" s="15">
        <f t="shared" ref="U4:U34" si="5">(F4-E4)/2</f>
        <v>2.1460500000000104E-3</v>
      </c>
      <c r="V4" s="15">
        <f t="shared" ref="V4:V34" si="6">(H4-I4)/2</f>
        <v>2.7493000000000656E-4</v>
      </c>
      <c r="W4" s="15"/>
      <c r="X4" s="15"/>
      <c r="Y4" s="16">
        <f t="shared" si="0"/>
        <v>6.7698159999999993E-2</v>
      </c>
      <c r="Z4" s="16">
        <f t="shared" si="1"/>
        <v>-7.4306900000000002E-3</v>
      </c>
      <c r="AA4" s="16">
        <f t="shared" si="2"/>
        <v>7.3315400000000001E-3</v>
      </c>
      <c r="AB4" s="16">
        <f t="shared" si="3"/>
        <v>1.735745E-2</v>
      </c>
      <c r="AC4" s="17">
        <f t="shared" ref="AC4:AC18" si="7">IF(Y4="","",DEGREES(ASIN(SQRT(Y4^2+Z4^2))))</f>
        <v>3.9051371540469297</v>
      </c>
      <c r="AD4" s="17">
        <f t="shared" ref="AD4:AD18" si="8">IF(AA4="","",DEGREES(ASIN(SQRT(AA4^2+AB4^2))))</f>
        <v>1.0796485835002922</v>
      </c>
      <c r="AE4" s="17">
        <f t="shared" ref="AE4:AE18" si="9">IF(Y4="","",MOD(DEGREES(ATAN2(Y4,Z4)),360))</f>
        <v>353.73617141133747</v>
      </c>
      <c r="AF4" s="17">
        <f t="shared" si="4"/>
        <v>353.29957511133745</v>
      </c>
    </row>
    <row r="5" spans="1:32" x14ac:dyDescent="0.25">
      <c r="A5" s="14">
        <v>3</v>
      </c>
      <c r="B5" s="14" t="s">
        <v>61</v>
      </c>
      <c r="C5" s="14">
        <v>20</v>
      </c>
      <c r="D5" s="14">
        <v>5</v>
      </c>
      <c r="E5" s="15">
        <v>-0.43396289999999998</v>
      </c>
      <c r="F5" s="15">
        <v>-0.43071939999999997</v>
      </c>
      <c r="G5" s="15">
        <v>-3.2435400000000001E-3</v>
      </c>
      <c r="H5" s="15">
        <v>0.5306881</v>
      </c>
      <c r="I5" s="15">
        <v>0.52807329999999997</v>
      </c>
      <c r="J5" s="15">
        <v>2.6148E-3</v>
      </c>
      <c r="K5" s="18">
        <v>25.39</v>
      </c>
      <c r="L5" s="18">
        <v>25.38</v>
      </c>
      <c r="M5" s="18">
        <v>0.02</v>
      </c>
      <c r="N5" s="15">
        <v>6.5735589999999997E-2</v>
      </c>
      <c r="O5" s="15">
        <v>1.061662E-2</v>
      </c>
      <c r="P5" s="15">
        <v>5.5118979999999998E-2</v>
      </c>
      <c r="Q5" s="15">
        <v>-1.305428E-2</v>
      </c>
      <c r="R5" s="15">
        <v>2.209701E-2</v>
      </c>
      <c r="S5" s="15">
        <v>-3.5151290000000002E-2</v>
      </c>
      <c r="T5" s="14"/>
      <c r="U5" s="15">
        <f t="shared" si="5"/>
        <v>1.6217500000000051E-3</v>
      </c>
      <c r="V5" s="15">
        <f t="shared" si="6"/>
        <v>1.3074000000000141E-3</v>
      </c>
      <c r="W5" s="15"/>
      <c r="X5" s="15"/>
      <c r="Y5" s="16">
        <f t="shared" si="0"/>
        <v>6.5735589999999997E-2</v>
      </c>
      <c r="Z5" s="16">
        <f t="shared" si="1"/>
        <v>-1.305428E-2</v>
      </c>
      <c r="AA5" s="16">
        <f t="shared" si="2"/>
        <v>1.061662E-2</v>
      </c>
      <c r="AB5" s="16">
        <f t="shared" si="3"/>
        <v>2.209701E-2</v>
      </c>
      <c r="AC5" s="17">
        <f t="shared" si="7"/>
        <v>3.842801468566527</v>
      </c>
      <c r="AD5" s="17">
        <f t="shared" si="8"/>
        <v>1.4047528964963734</v>
      </c>
      <c r="AE5" s="17">
        <f t="shared" si="9"/>
        <v>348.76789486914464</v>
      </c>
      <c r="AF5" s="17">
        <f t="shared" si="4"/>
        <v>348.33717546914465</v>
      </c>
    </row>
    <row r="6" spans="1:32" x14ac:dyDescent="0.25">
      <c r="A6" s="14">
        <v>4</v>
      </c>
      <c r="B6" s="14" t="s">
        <v>61</v>
      </c>
      <c r="C6" s="14">
        <v>30</v>
      </c>
      <c r="D6" s="14">
        <v>3</v>
      </c>
      <c r="E6" s="15">
        <v>-0.42907728000000001</v>
      </c>
      <c r="F6" s="15">
        <v>-0.42276607999999999</v>
      </c>
      <c r="G6" s="15">
        <v>-6.3112100000000003E-3</v>
      </c>
      <c r="H6" s="15">
        <v>0.54128560000000003</v>
      </c>
      <c r="I6" s="15">
        <v>0.54223007999999995</v>
      </c>
      <c r="J6" s="15">
        <v>-9.4450000000000003E-4</v>
      </c>
      <c r="K6" s="18">
        <v>25.29</v>
      </c>
      <c r="L6" s="18">
        <v>25.29</v>
      </c>
      <c r="M6" s="18">
        <v>0.01</v>
      </c>
      <c r="N6" s="15">
        <v>6.2858339999999999E-2</v>
      </c>
      <c r="O6" s="15">
        <v>1.372993E-2</v>
      </c>
      <c r="P6" s="15">
        <v>4.9128419999999999E-2</v>
      </c>
      <c r="Q6" s="15">
        <v>-1.6863610000000001E-2</v>
      </c>
      <c r="R6" s="15">
        <v>2.6362440000000001E-2</v>
      </c>
      <c r="S6" s="15">
        <v>-4.3226050000000002E-2</v>
      </c>
      <c r="T6" s="14"/>
      <c r="U6" s="15">
        <f t="shared" si="5"/>
        <v>3.1556000000000084E-3</v>
      </c>
      <c r="V6" s="15">
        <f t="shared" si="6"/>
        <v>-4.7223999999995714E-4</v>
      </c>
      <c r="W6" s="15"/>
      <c r="X6" s="15"/>
      <c r="Y6" s="16">
        <f t="shared" si="0"/>
        <v>6.2858339999999999E-2</v>
      </c>
      <c r="Z6" s="16">
        <f t="shared" si="1"/>
        <v>-1.6863610000000001E-2</v>
      </c>
      <c r="AA6" s="16">
        <f t="shared" si="2"/>
        <v>1.372993E-2</v>
      </c>
      <c r="AB6" s="16">
        <f t="shared" si="3"/>
        <v>2.6362440000000001E-2</v>
      </c>
      <c r="AC6" s="17">
        <f t="shared" si="7"/>
        <v>3.7315108688085767</v>
      </c>
      <c r="AD6" s="17">
        <f t="shared" si="8"/>
        <v>1.7032846388998535</v>
      </c>
      <c r="AE6" s="17">
        <f t="shared" si="9"/>
        <v>344.98233889919425</v>
      </c>
      <c r="AF6" s="17">
        <f t="shared" si="4"/>
        <v>344.55957281919427</v>
      </c>
    </row>
    <row r="7" spans="1:32" x14ac:dyDescent="0.25">
      <c r="A7" s="14">
        <v>5</v>
      </c>
      <c r="B7" s="14" t="s">
        <v>61</v>
      </c>
      <c r="C7" s="14">
        <v>40</v>
      </c>
      <c r="D7" s="14">
        <v>3</v>
      </c>
      <c r="E7" s="15">
        <v>-0.42793608</v>
      </c>
      <c r="F7" s="15">
        <v>-0.42293596</v>
      </c>
      <c r="G7" s="15">
        <v>-5.0001100000000003E-3</v>
      </c>
      <c r="H7" s="15">
        <v>0.54504450000000004</v>
      </c>
      <c r="I7" s="15">
        <v>0.54424159999999999</v>
      </c>
      <c r="J7" s="15">
        <v>8.0287000000000002E-4</v>
      </c>
      <c r="K7" s="18">
        <v>25.06</v>
      </c>
      <c r="L7" s="18">
        <v>25.05</v>
      </c>
      <c r="M7" s="18">
        <v>0.01</v>
      </c>
      <c r="N7" s="15">
        <v>5.8156600000000003E-2</v>
      </c>
      <c r="O7" s="15">
        <v>1.7696940000000001E-2</v>
      </c>
      <c r="P7" s="15">
        <v>4.0459660000000001E-2</v>
      </c>
      <c r="Q7" s="15">
        <v>-2.0672610000000001E-2</v>
      </c>
      <c r="R7" s="15">
        <v>3.100491E-2</v>
      </c>
      <c r="S7" s="15">
        <v>-5.1677519999999998E-2</v>
      </c>
      <c r="T7" s="14"/>
      <c r="U7" s="15">
        <f t="shared" si="5"/>
        <v>2.5000599999999984E-3</v>
      </c>
      <c r="V7" s="15">
        <f t="shared" si="6"/>
        <v>4.014500000000254E-4</v>
      </c>
      <c r="W7" s="15"/>
      <c r="X7" s="15"/>
      <c r="Y7" s="16">
        <f t="shared" si="0"/>
        <v>5.8156600000000003E-2</v>
      </c>
      <c r="Z7" s="16">
        <f t="shared" si="1"/>
        <v>-2.0672610000000001E-2</v>
      </c>
      <c r="AA7" s="16">
        <f t="shared" si="2"/>
        <v>1.7696940000000001E-2</v>
      </c>
      <c r="AB7" s="16">
        <f t="shared" si="3"/>
        <v>3.100491E-2</v>
      </c>
      <c r="AC7" s="17">
        <f t="shared" si="7"/>
        <v>3.5386322114141926</v>
      </c>
      <c r="AD7" s="17">
        <f t="shared" si="8"/>
        <v>2.0458909563013092</v>
      </c>
      <c r="AE7" s="17">
        <f t="shared" si="9"/>
        <v>340.43150302816656</v>
      </c>
      <c r="AF7" s="17">
        <f t="shared" si="4"/>
        <v>340.00856706816654</v>
      </c>
    </row>
    <row r="8" spans="1:32" x14ac:dyDescent="0.25">
      <c r="A8" s="14">
        <v>6</v>
      </c>
      <c r="B8" s="14" t="s">
        <v>61</v>
      </c>
      <c r="C8" s="14">
        <v>50</v>
      </c>
      <c r="D8" s="14">
        <v>5</v>
      </c>
      <c r="E8" s="15">
        <v>-0.43346459999999998</v>
      </c>
      <c r="F8" s="15">
        <v>-0.43199275999999998</v>
      </c>
      <c r="G8" s="15">
        <v>-1.47182E-3</v>
      </c>
      <c r="H8" s="15">
        <v>0.52603624000000004</v>
      </c>
      <c r="I8" s="15">
        <v>0.52538949999999995</v>
      </c>
      <c r="J8" s="15">
        <v>6.4676999999999996E-4</v>
      </c>
      <c r="K8" s="18">
        <v>25.41</v>
      </c>
      <c r="L8" s="18">
        <v>25.42</v>
      </c>
      <c r="M8" s="18">
        <v>-0.01</v>
      </c>
      <c r="N8" s="15">
        <v>5.2536869999999999E-2</v>
      </c>
      <c r="O8" s="15">
        <v>2.2113609999999999E-2</v>
      </c>
      <c r="P8" s="15">
        <v>3.0423260000000001E-2</v>
      </c>
      <c r="Q8" s="15">
        <v>-2.4568280000000001E-2</v>
      </c>
      <c r="R8" s="15">
        <v>3.3957599999999998E-2</v>
      </c>
      <c r="S8" s="15">
        <v>-5.8525880000000002E-2</v>
      </c>
      <c r="T8" s="14"/>
      <c r="U8" s="15">
        <f t="shared" si="5"/>
        <v>7.3592000000000102E-4</v>
      </c>
      <c r="V8" s="15">
        <f t="shared" si="6"/>
        <v>3.2337000000004501E-4</v>
      </c>
      <c r="W8" s="15"/>
      <c r="X8" s="15"/>
      <c r="Y8" s="16">
        <f t="shared" si="0"/>
        <v>5.2536869999999999E-2</v>
      </c>
      <c r="Z8" s="16">
        <f t="shared" si="1"/>
        <v>-2.4568280000000001E-2</v>
      </c>
      <c r="AA8" s="16">
        <f t="shared" si="2"/>
        <v>2.2113609999999999E-2</v>
      </c>
      <c r="AB8" s="16">
        <f t="shared" si="3"/>
        <v>3.3957599999999998E-2</v>
      </c>
      <c r="AC8" s="17">
        <f t="shared" si="7"/>
        <v>3.324884213667588</v>
      </c>
      <c r="AD8" s="17">
        <f t="shared" si="8"/>
        <v>2.3224446834441328</v>
      </c>
      <c r="AE8" s="17">
        <f t="shared" si="9"/>
        <v>334.93738418598798</v>
      </c>
      <c r="AF8" s="17">
        <f t="shared" si="4"/>
        <v>334.50539142598797</v>
      </c>
    </row>
    <row r="9" spans="1:32" x14ac:dyDescent="0.25">
      <c r="A9" s="14">
        <v>7</v>
      </c>
      <c r="B9" s="14" t="s">
        <v>61</v>
      </c>
      <c r="C9" s="14">
        <v>60</v>
      </c>
      <c r="D9" s="14">
        <v>8</v>
      </c>
      <c r="E9" s="15">
        <v>-0.43135390000000001</v>
      </c>
      <c r="F9" s="15">
        <v>-0.42822779999999999</v>
      </c>
      <c r="G9" s="15">
        <v>-3.1261100000000001E-3</v>
      </c>
      <c r="H9" s="15">
        <v>0.53908619999999996</v>
      </c>
      <c r="I9" s="15">
        <v>0.53145368000000004</v>
      </c>
      <c r="J9" s="15">
        <v>7.6325500000000001E-3</v>
      </c>
      <c r="K9" s="18">
        <v>25.32</v>
      </c>
      <c r="L9" s="18">
        <v>25.3</v>
      </c>
      <c r="M9" s="18">
        <v>0.02</v>
      </c>
      <c r="N9" s="15">
        <v>4.813212E-2</v>
      </c>
      <c r="O9" s="15">
        <v>2.771179E-2</v>
      </c>
      <c r="P9" s="15">
        <v>2.042033E-2</v>
      </c>
      <c r="Q9" s="15">
        <v>-2.6452839999999998E-2</v>
      </c>
      <c r="R9" s="15">
        <v>3.6246590000000002E-2</v>
      </c>
      <c r="S9" s="15">
        <v>-6.269943E-2</v>
      </c>
      <c r="T9" s="14"/>
      <c r="U9" s="15">
        <f t="shared" si="5"/>
        <v>1.5630500000000103E-3</v>
      </c>
      <c r="V9" s="15">
        <f t="shared" si="6"/>
        <v>3.8162599999999602E-3</v>
      </c>
      <c r="W9" s="15"/>
      <c r="X9" s="15"/>
      <c r="Y9" s="16">
        <f t="shared" si="0"/>
        <v>4.813212E-2</v>
      </c>
      <c r="Z9" s="16">
        <f t="shared" si="1"/>
        <v>-2.6452839999999998E-2</v>
      </c>
      <c r="AA9" s="16">
        <f t="shared" si="2"/>
        <v>2.771179E-2</v>
      </c>
      <c r="AB9" s="16">
        <f t="shared" si="3"/>
        <v>3.6246590000000002E-2</v>
      </c>
      <c r="AC9" s="17">
        <f t="shared" si="7"/>
        <v>3.1483974048846464</v>
      </c>
      <c r="AD9" s="17">
        <f t="shared" si="8"/>
        <v>2.6151018812431475</v>
      </c>
      <c r="AE9" s="17">
        <f t="shared" si="9"/>
        <v>331.20732885858769</v>
      </c>
      <c r="AF9" s="17">
        <f t="shared" si="4"/>
        <v>330.77910105858768</v>
      </c>
    </row>
    <row r="10" spans="1:32" x14ac:dyDescent="0.25">
      <c r="A10" s="14">
        <v>8</v>
      </c>
      <c r="B10" s="14" t="s">
        <v>61</v>
      </c>
      <c r="C10" s="14">
        <v>70</v>
      </c>
      <c r="D10" s="14">
        <v>2</v>
      </c>
      <c r="E10" s="15">
        <v>-0.42341224</v>
      </c>
      <c r="F10" s="15">
        <v>-0.42254132</v>
      </c>
      <c r="G10" s="15">
        <v>-8.7091000000000002E-4</v>
      </c>
      <c r="H10" s="15">
        <v>0.54560390000000003</v>
      </c>
      <c r="I10" s="15">
        <v>0.54821640000000005</v>
      </c>
      <c r="J10" s="15">
        <v>-2.6125300000000001E-3</v>
      </c>
      <c r="K10" s="18">
        <v>25.29</v>
      </c>
      <c r="L10" s="18">
        <v>25.28</v>
      </c>
      <c r="M10" s="18">
        <v>0.01</v>
      </c>
      <c r="N10" s="15">
        <v>4.2814329999999998E-2</v>
      </c>
      <c r="O10" s="15">
        <v>3.3083500000000002E-2</v>
      </c>
      <c r="P10" s="15">
        <v>9.7308299999999993E-3</v>
      </c>
      <c r="Q10" s="15">
        <v>-2.7449950000000001E-2</v>
      </c>
      <c r="R10" s="15">
        <v>3.7626949999999999E-2</v>
      </c>
      <c r="S10" s="15">
        <v>-6.5076899999999993E-2</v>
      </c>
      <c r="T10" s="14"/>
      <c r="U10" s="15">
        <f t="shared" si="5"/>
        <v>4.3545999999999863E-4</v>
      </c>
      <c r="V10" s="15">
        <f t="shared" si="6"/>
        <v>-1.3062500000000088E-3</v>
      </c>
      <c r="W10" s="15"/>
      <c r="X10" s="15"/>
      <c r="Y10" s="16">
        <f t="shared" si="0"/>
        <v>4.2814329999999998E-2</v>
      </c>
      <c r="Z10" s="16">
        <f t="shared" si="1"/>
        <v>-2.7449950000000001E-2</v>
      </c>
      <c r="AA10" s="16">
        <f t="shared" si="2"/>
        <v>3.3083500000000002E-2</v>
      </c>
      <c r="AB10" s="16">
        <f t="shared" si="3"/>
        <v>3.7626949999999999E-2</v>
      </c>
      <c r="AC10" s="17">
        <f t="shared" si="7"/>
        <v>2.9152235623695417</v>
      </c>
      <c r="AD10" s="17">
        <f t="shared" si="8"/>
        <v>2.871889836517485</v>
      </c>
      <c r="AE10" s="17">
        <f t="shared" si="9"/>
        <v>327.33447152970308</v>
      </c>
      <c r="AF10" s="17">
        <f t="shared" si="4"/>
        <v>326.91193020970309</v>
      </c>
    </row>
    <row r="11" spans="1:32" x14ac:dyDescent="0.25">
      <c r="A11" s="14">
        <v>9</v>
      </c>
      <c r="B11" s="14" t="s">
        <v>61</v>
      </c>
      <c r="C11" s="14">
        <v>80</v>
      </c>
      <c r="D11" s="14">
        <v>1</v>
      </c>
      <c r="E11" s="15">
        <v>-0.45143290000000003</v>
      </c>
      <c r="F11" s="15">
        <v>-0.44150780000000001</v>
      </c>
      <c r="G11" s="15">
        <v>-9.9251300000000008E-3</v>
      </c>
      <c r="H11" s="15">
        <v>0.63038349999999999</v>
      </c>
      <c r="I11" s="15">
        <v>0.60135890000000003</v>
      </c>
      <c r="J11" s="15">
        <v>2.9024600000000001E-2</v>
      </c>
      <c r="K11" s="18">
        <v>24.47</v>
      </c>
      <c r="L11" s="18">
        <v>24.52</v>
      </c>
      <c r="M11" s="18">
        <v>-0.05</v>
      </c>
      <c r="N11" s="15">
        <v>3.8848470000000003E-2</v>
      </c>
      <c r="O11" s="15">
        <v>4.0276279999999998E-2</v>
      </c>
      <c r="P11" s="15">
        <v>-1.4278100000000001E-3</v>
      </c>
      <c r="Q11" s="15">
        <v>-2.7862140000000001E-2</v>
      </c>
      <c r="R11" s="15">
        <v>3.7945960000000001E-2</v>
      </c>
      <c r="S11" s="15">
        <v>-6.5808099999999994E-2</v>
      </c>
      <c r="T11" s="14"/>
      <c r="U11" s="15">
        <f t="shared" si="5"/>
        <v>4.96255000000001E-3</v>
      </c>
      <c r="V11" s="15">
        <f t="shared" si="6"/>
        <v>1.4512299999999978E-2</v>
      </c>
      <c r="W11" s="15"/>
      <c r="X11" s="15"/>
      <c r="Y11" s="16">
        <f t="shared" si="0"/>
        <v>3.8848470000000003E-2</v>
      </c>
      <c r="Z11" s="16">
        <f t="shared" si="1"/>
        <v>-2.7862140000000001E-2</v>
      </c>
      <c r="AA11" s="16">
        <f t="shared" si="2"/>
        <v>4.0276279999999998E-2</v>
      </c>
      <c r="AB11" s="16">
        <f t="shared" si="3"/>
        <v>3.7945960000000001E-2</v>
      </c>
      <c r="AC11" s="17">
        <f t="shared" si="7"/>
        <v>2.7401797249210578</v>
      </c>
      <c r="AD11" s="17">
        <f t="shared" si="8"/>
        <v>3.1721404381767861</v>
      </c>
      <c r="AE11" s="17">
        <f t="shared" si="9"/>
        <v>324.3518923026503</v>
      </c>
      <c r="AF11" s="17">
        <f t="shared" si="4"/>
        <v>323.91038450265029</v>
      </c>
    </row>
    <row r="12" spans="1:32" x14ac:dyDescent="0.25">
      <c r="A12" s="14">
        <v>10</v>
      </c>
      <c r="B12" s="14" t="s">
        <v>61</v>
      </c>
      <c r="C12" s="14">
        <v>90</v>
      </c>
      <c r="D12" s="14">
        <v>2</v>
      </c>
      <c r="E12" s="15">
        <v>-0.44324168000000003</v>
      </c>
      <c r="F12" s="15">
        <v>-0.4453377</v>
      </c>
      <c r="G12" s="15">
        <v>2.0960599999999999E-3</v>
      </c>
      <c r="H12" s="15">
        <v>0.51153667999999997</v>
      </c>
      <c r="I12" s="15">
        <v>0.5080576</v>
      </c>
      <c r="J12" s="15">
        <v>3.47906E-3</v>
      </c>
      <c r="K12" s="18">
        <v>25.44</v>
      </c>
      <c r="L12" s="18">
        <v>25.44</v>
      </c>
      <c r="M12" s="18">
        <v>0</v>
      </c>
      <c r="N12" s="15">
        <v>2.94576E-2</v>
      </c>
      <c r="O12" s="15">
        <v>4.5044149999999998E-2</v>
      </c>
      <c r="P12" s="15">
        <v>-1.5586549999999999E-2</v>
      </c>
      <c r="Q12" s="15">
        <v>-2.7549239999999999E-2</v>
      </c>
      <c r="R12" s="15">
        <v>3.6739099999999997E-2</v>
      </c>
      <c r="S12" s="15">
        <v>-6.4288330000000005E-2</v>
      </c>
      <c r="T12" s="14"/>
      <c r="U12" s="15">
        <f t="shared" si="5"/>
        <v>-1.0480099999999881E-3</v>
      </c>
      <c r="V12" s="15">
        <f t="shared" si="6"/>
        <v>1.7395399999999839E-3</v>
      </c>
      <c r="W12" s="15"/>
      <c r="X12" s="15"/>
      <c r="Y12" s="16">
        <f t="shared" si="0"/>
        <v>2.94576E-2</v>
      </c>
      <c r="Z12" s="16">
        <f t="shared" si="1"/>
        <v>-2.7549239999999999E-2</v>
      </c>
      <c r="AA12" s="16">
        <f t="shared" si="2"/>
        <v>4.5044149999999998E-2</v>
      </c>
      <c r="AB12" s="16">
        <f t="shared" si="3"/>
        <v>3.6739099999999997E-2</v>
      </c>
      <c r="AC12" s="17">
        <f t="shared" si="7"/>
        <v>2.3115091981349853</v>
      </c>
      <c r="AD12" s="17">
        <f t="shared" si="8"/>
        <v>3.3323045466730452</v>
      </c>
      <c r="AE12" s="17">
        <f t="shared" si="9"/>
        <v>316.91731653998204</v>
      </c>
      <c r="AF12" s="17">
        <f t="shared" si="4"/>
        <v>316.47197883998206</v>
      </c>
    </row>
    <row r="13" spans="1:32" x14ac:dyDescent="0.25">
      <c r="A13" s="14">
        <v>11</v>
      </c>
      <c r="B13" s="14" t="s">
        <v>61</v>
      </c>
      <c r="C13" s="14">
        <v>100</v>
      </c>
      <c r="D13" s="14">
        <v>3</v>
      </c>
      <c r="E13" s="15">
        <v>-0.42207159999999999</v>
      </c>
      <c r="F13" s="15">
        <v>-0.42385780000000001</v>
      </c>
      <c r="G13" s="15">
        <v>1.7861999999999999E-3</v>
      </c>
      <c r="H13" s="15">
        <v>0.54158280000000003</v>
      </c>
      <c r="I13" s="15">
        <v>0.53921609999999998</v>
      </c>
      <c r="J13" s="15">
        <v>2.3667200000000001E-3</v>
      </c>
      <c r="K13" s="18">
        <v>25.18</v>
      </c>
      <c r="L13" s="18">
        <v>25.17</v>
      </c>
      <c r="M13" s="18">
        <v>0.01</v>
      </c>
      <c r="N13" s="15">
        <v>2.582479E-2</v>
      </c>
      <c r="O13" s="15">
        <v>4.9996739999999998E-2</v>
      </c>
      <c r="P13" s="15">
        <v>-2.4171959999999999E-2</v>
      </c>
      <c r="Q13" s="15">
        <v>-2.566881E-2</v>
      </c>
      <c r="R13" s="15">
        <v>3.5716280000000003E-2</v>
      </c>
      <c r="S13" s="15">
        <v>-6.1385090000000003E-2</v>
      </c>
      <c r="T13" s="14"/>
      <c r="U13" s="15">
        <f t="shared" si="5"/>
        <v>-8.9310000000000778E-4</v>
      </c>
      <c r="V13" s="15">
        <f t="shared" si="6"/>
        <v>1.1833500000000274E-3</v>
      </c>
      <c r="W13" s="15"/>
      <c r="X13" s="15"/>
      <c r="Y13" s="16">
        <f t="shared" si="0"/>
        <v>2.582479E-2</v>
      </c>
      <c r="Z13" s="16">
        <f t="shared" si="1"/>
        <v>-2.566881E-2</v>
      </c>
      <c r="AA13" s="16">
        <f t="shared" si="2"/>
        <v>4.9996739999999998E-2</v>
      </c>
      <c r="AB13" s="16">
        <f t="shared" si="3"/>
        <v>3.5716280000000003E-2</v>
      </c>
      <c r="AC13" s="17">
        <f t="shared" si="7"/>
        <v>2.0866946085966145</v>
      </c>
      <c r="AD13" s="17">
        <f t="shared" si="8"/>
        <v>3.5226828627542024</v>
      </c>
      <c r="AE13" s="17">
        <f t="shared" si="9"/>
        <v>315.17355493410247</v>
      </c>
      <c r="AF13" s="17">
        <f t="shared" si="4"/>
        <v>314.74969713410246</v>
      </c>
    </row>
    <row r="14" spans="1:32" x14ac:dyDescent="0.25">
      <c r="A14" s="14">
        <v>12</v>
      </c>
      <c r="B14" s="14" t="s">
        <v>61</v>
      </c>
      <c r="C14" s="14">
        <v>110</v>
      </c>
      <c r="D14" s="14">
        <v>7</v>
      </c>
      <c r="E14" s="15">
        <v>-0.42688875999999998</v>
      </c>
      <c r="F14" s="15">
        <v>-0.42786859999999999</v>
      </c>
      <c r="G14" s="15">
        <v>9.7984000000000005E-4</v>
      </c>
      <c r="H14" s="15">
        <v>0.54408440000000002</v>
      </c>
      <c r="I14" s="15">
        <v>0.53659268000000004</v>
      </c>
      <c r="J14" s="15">
        <v>7.49177E-3</v>
      </c>
      <c r="K14" s="18">
        <v>25.26</v>
      </c>
      <c r="L14" s="18">
        <v>25.25</v>
      </c>
      <c r="M14" s="18">
        <v>0.01</v>
      </c>
      <c r="N14" s="15">
        <v>2.1017600000000001E-2</v>
      </c>
      <c r="O14" s="15">
        <v>5.6055849999999997E-2</v>
      </c>
      <c r="P14" s="15">
        <v>-3.503825E-2</v>
      </c>
      <c r="Q14" s="15">
        <v>-2.3314560000000002E-2</v>
      </c>
      <c r="R14" s="15">
        <v>3.3057690000000001E-2</v>
      </c>
      <c r="S14" s="15">
        <v>-5.6372239999999997E-2</v>
      </c>
      <c r="T14" s="14"/>
      <c r="U14" s="15">
        <f t="shared" si="5"/>
        <v>-4.899200000000048E-4</v>
      </c>
      <c r="V14" s="15">
        <f t="shared" si="6"/>
        <v>3.7458599999999898E-3</v>
      </c>
      <c r="W14" s="15"/>
      <c r="X14" s="15"/>
      <c r="Y14" s="16">
        <f t="shared" si="0"/>
        <v>2.1017600000000001E-2</v>
      </c>
      <c r="Z14" s="16">
        <f t="shared" si="1"/>
        <v>-2.3314560000000002E-2</v>
      </c>
      <c r="AA14" s="16">
        <f t="shared" si="2"/>
        <v>5.6055849999999997E-2</v>
      </c>
      <c r="AB14" s="16">
        <f t="shared" si="3"/>
        <v>3.3057690000000001E-2</v>
      </c>
      <c r="AC14" s="17">
        <f t="shared" si="7"/>
        <v>1.7987881987714966</v>
      </c>
      <c r="AD14" s="17">
        <f t="shared" si="8"/>
        <v>3.7312977730045596</v>
      </c>
      <c r="AE14" s="17">
        <f t="shared" si="9"/>
        <v>312.03401467553749</v>
      </c>
      <c r="AF14" s="17">
        <f t="shared" si="4"/>
        <v>311.60614607553748</v>
      </c>
    </row>
    <row r="15" spans="1:32" x14ac:dyDescent="0.25">
      <c r="A15" s="14">
        <v>13</v>
      </c>
      <c r="B15" s="14" t="s">
        <v>61</v>
      </c>
      <c r="C15" s="14">
        <v>120</v>
      </c>
      <c r="D15" s="14">
        <v>1</v>
      </c>
      <c r="E15" s="15">
        <v>-0.44555015999999997</v>
      </c>
      <c r="F15" s="15">
        <v>-0.4438917</v>
      </c>
      <c r="G15" s="15">
        <v>-1.65847E-3</v>
      </c>
      <c r="H15" s="15">
        <v>0.50415779999999999</v>
      </c>
      <c r="I15" s="15">
        <v>0.5080249</v>
      </c>
      <c r="J15" s="15">
        <v>-3.8670900000000001E-3</v>
      </c>
      <c r="K15" s="18">
        <v>25.51</v>
      </c>
      <c r="L15" s="18">
        <v>25.51</v>
      </c>
      <c r="M15" s="18">
        <v>0</v>
      </c>
      <c r="N15" s="15">
        <v>1.437948E-2</v>
      </c>
      <c r="O15" s="15">
        <v>5.9402669999999998E-2</v>
      </c>
      <c r="P15" s="15">
        <v>-4.5023199999999999E-2</v>
      </c>
      <c r="Q15" s="15">
        <v>-1.903442E-2</v>
      </c>
      <c r="R15" s="15">
        <v>2.924479E-2</v>
      </c>
      <c r="S15" s="15">
        <v>-4.8279219999999998E-2</v>
      </c>
      <c r="T15" s="14"/>
      <c r="U15" s="15">
        <f t="shared" si="5"/>
        <v>8.2922999999998637E-4</v>
      </c>
      <c r="V15" s="15">
        <f t="shared" si="6"/>
        <v>-1.9335500000000061E-3</v>
      </c>
      <c r="W15" s="15"/>
      <c r="X15" s="15"/>
      <c r="Y15" s="16">
        <f t="shared" si="0"/>
        <v>1.437948E-2</v>
      </c>
      <c r="Z15" s="16">
        <f t="shared" si="1"/>
        <v>-1.903442E-2</v>
      </c>
      <c r="AA15" s="16">
        <f t="shared" si="2"/>
        <v>5.9402669999999998E-2</v>
      </c>
      <c r="AB15" s="16">
        <f t="shared" si="3"/>
        <v>2.924479E-2</v>
      </c>
      <c r="AC15" s="17">
        <f t="shared" si="7"/>
        <v>1.3669415844499433</v>
      </c>
      <c r="AD15" s="17">
        <f t="shared" si="8"/>
        <v>3.7964048010767444</v>
      </c>
      <c r="AE15" s="17">
        <f t="shared" si="9"/>
        <v>307.06908397266801</v>
      </c>
      <c r="AF15" s="17">
        <f t="shared" si="4"/>
        <v>306.62519227266802</v>
      </c>
    </row>
    <row r="16" spans="1:32" x14ac:dyDescent="0.25">
      <c r="A16" s="14">
        <v>14</v>
      </c>
      <c r="B16" s="14" t="s">
        <v>61</v>
      </c>
      <c r="C16" s="14">
        <v>130</v>
      </c>
      <c r="D16" s="14">
        <v>3</v>
      </c>
      <c r="E16" s="15">
        <v>-0.41924415999999998</v>
      </c>
      <c r="F16" s="15">
        <v>-0.42512176000000002</v>
      </c>
      <c r="G16" s="15">
        <v>5.8775800000000003E-3</v>
      </c>
      <c r="H16" s="15">
        <v>0.55105210000000004</v>
      </c>
      <c r="I16" s="15">
        <v>0.54627484000000004</v>
      </c>
      <c r="J16" s="15">
        <v>4.7772500000000002E-3</v>
      </c>
      <c r="K16" s="18">
        <v>25.24</v>
      </c>
      <c r="L16" s="18">
        <v>25.26</v>
      </c>
      <c r="M16" s="18">
        <v>-0.01</v>
      </c>
      <c r="N16" s="15">
        <v>1.209934E-2</v>
      </c>
      <c r="O16" s="15">
        <v>6.3684480000000002E-2</v>
      </c>
      <c r="P16" s="15">
        <v>-5.1585150000000003E-2</v>
      </c>
      <c r="Q16" s="15">
        <v>-1.5775279999999999E-2</v>
      </c>
      <c r="R16" s="15">
        <v>2.5507539999999999E-2</v>
      </c>
      <c r="S16" s="15">
        <v>-4.1282819999999998E-2</v>
      </c>
      <c r="T16" s="14"/>
      <c r="U16" s="15">
        <f t="shared" si="5"/>
        <v>-2.9388000000000192E-3</v>
      </c>
      <c r="V16" s="15">
        <f t="shared" si="6"/>
        <v>2.3886300000000027E-3</v>
      </c>
      <c r="W16" s="15"/>
      <c r="X16" s="15"/>
      <c r="Y16" s="16">
        <f t="shared" si="0"/>
        <v>1.209934E-2</v>
      </c>
      <c r="Z16" s="16">
        <f t="shared" si="1"/>
        <v>-1.5775279999999999E-2</v>
      </c>
      <c r="AA16" s="16">
        <f t="shared" si="2"/>
        <v>6.3684480000000002E-2</v>
      </c>
      <c r="AB16" s="16">
        <f t="shared" si="3"/>
        <v>2.5507539999999999E-2</v>
      </c>
      <c r="AC16" s="17">
        <f t="shared" si="7"/>
        <v>1.1391714740159562</v>
      </c>
      <c r="AD16" s="17">
        <f t="shared" si="8"/>
        <v>3.9337420491415265</v>
      </c>
      <c r="AE16" s="17">
        <f t="shared" si="9"/>
        <v>307.48752065236215</v>
      </c>
      <c r="AF16" s="17">
        <f t="shared" si="4"/>
        <v>307.06239889236213</v>
      </c>
    </row>
    <row r="17" spans="1:32" x14ac:dyDescent="0.25">
      <c r="A17" s="14">
        <v>15</v>
      </c>
      <c r="B17" s="14" t="s">
        <v>61</v>
      </c>
      <c r="C17" s="14">
        <v>140</v>
      </c>
      <c r="D17" s="14">
        <v>4</v>
      </c>
      <c r="E17" s="15">
        <v>-0.4242204</v>
      </c>
      <c r="F17" s="15">
        <v>-0.42719328000000001</v>
      </c>
      <c r="G17" s="15">
        <v>2.9729000000000001E-3</v>
      </c>
      <c r="H17" s="15">
        <v>0.54399335999999998</v>
      </c>
      <c r="I17" s="15">
        <v>0.54386639999999997</v>
      </c>
      <c r="J17" s="15">
        <v>1.2695999999999999E-4</v>
      </c>
      <c r="K17" s="18">
        <v>25.32</v>
      </c>
      <c r="L17" s="18">
        <v>25.31</v>
      </c>
      <c r="M17" s="18">
        <v>0.01</v>
      </c>
      <c r="N17" s="15">
        <v>8.6395299999999994E-3</v>
      </c>
      <c r="O17" s="15">
        <v>6.7030039999999999E-2</v>
      </c>
      <c r="P17" s="15">
        <v>-5.839051E-2</v>
      </c>
      <c r="Q17" s="15">
        <v>-1.066101E-2</v>
      </c>
      <c r="R17" s="15">
        <v>2.0754499999999999E-2</v>
      </c>
      <c r="S17" s="15">
        <v>-3.1415510000000001E-2</v>
      </c>
      <c r="T17" s="14"/>
      <c r="U17" s="15">
        <f t="shared" si="5"/>
        <v>-1.4864400000000055E-3</v>
      </c>
      <c r="V17" s="15">
        <f t="shared" si="6"/>
        <v>6.3480000000004644E-5</v>
      </c>
      <c r="W17" s="15"/>
      <c r="X17" s="15"/>
      <c r="Y17" s="16">
        <f t="shared" si="0"/>
        <v>8.6395299999999994E-3</v>
      </c>
      <c r="Z17" s="16">
        <f t="shared" si="1"/>
        <v>-1.066101E-2</v>
      </c>
      <c r="AA17" s="16">
        <f t="shared" si="2"/>
        <v>6.7030039999999999E-2</v>
      </c>
      <c r="AB17" s="16">
        <f t="shared" si="3"/>
        <v>2.0754499999999999E-2</v>
      </c>
      <c r="AC17" s="17">
        <f t="shared" si="7"/>
        <v>0.78624848783698609</v>
      </c>
      <c r="AD17" s="17">
        <f t="shared" si="8"/>
        <v>4.0237296688869044</v>
      </c>
      <c r="AE17" s="17">
        <f t="shared" si="9"/>
        <v>309.02081385800597</v>
      </c>
      <c r="AF17" s="17">
        <f t="shared" si="4"/>
        <v>308.59362057800598</v>
      </c>
    </row>
    <row r="18" spans="1:32" x14ac:dyDescent="0.25">
      <c r="A18" s="14">
        <v>16</v>
      </c>
      <c r="B18" s="14" t="s">
        <v>61</v>
      </c>
      <c r="C18" s="14">
        <v>150</v>
      </c>
      <c r="D18" s="14">
        <v>5</v>
      </c>
      <c r="E18" s="15">
        <v>-0.42776459999999999</v>
      </c>
      <c r="F18" s="15">
        <v>-0.43317929999999999</v>
      </c>
      <c r="G18" s="15">
        <v>5.4146899999999998E-3</v>
      </c>
      <c r="H18" s="15">
        <v>0.53573289999999996</v>
      </c>
      <c r="I18" s="15">
        <v>0.53397623999999999</v>
      </c>
      <c r="J18" s="15">
        <v>1.7566700000000001E-3</v>
      </c>
      <c r="K18" s="18">
        <v>25.31</v>
      </c>
      <c r="L18" s="18">
        <v>25.3</v>
      </c>
      <c r="M18" s="18">
        <v>0.01</v>
      </c>
      <c r="N18" s="15">
        <v>6.3152700000000004E-3</v>
      </c>
      <c r="O18" s="15">
        <v>6.8934079999999995E-2</v>
      </c>
      <c r="P18" s="15">
        <v>-6.2618820000000006E-2</v>
      </c>
      <c r="Q18" s="15">
        <v>-5.4043800000000003E-3</v>
      </c>
      <c r="R18" s="15">
        <v>1.525985E-2</v>
      </c>
      <c r="S18" s="15">
        <v>-2.0664229999999999E-2</v>
      </c>
      <c r="T18" s="14"/>
      <c r="U18" s="15">
        <f t="shared" si="5"/>
        <v>-2.7073499999999973E-3</v>
      </c>
      <c r="V18" s="15">
        <f t="shared" si="6"/>
        <v>8.7832999999998274E-4</v>
      </c>
      <c r="W18" s="15"/>
      <c r="X18" s="15"/>
      <c r="Y18" s="16">
        <f t="shared" si="0"/>
        <v>6.3152700000000004E-3</v>
      </c>
      <c r="Z18" s="16">
        <f t="shared" si="1"/>
        <v>-5.4043800000000003E-3</v>
      </c>
      <c r="AA18" s="16">
        <f t="shared" si="2"/>
        <v>6.8934079999999995E-2</v>
      </c>
      <c r="AB18" s="16">
        <f t="shared" si="3"/>
        <v>1.525985E-2</v>
      </c>
      <c r="AC18" s="17">
        <f t="shared" si="7"/>
        <v>0.47625012085765878</v>
      </c>
      <c r="AD18" s="17">
        <f t="shared" si="8"/>
        <v>4.0486168980082207</v>
      </c>
      <c r="AE18" s="17">
        <f t="shared" si="9"/>
        <v>319.44428287687538</v>
      </c>
      <c r="AF18" s="17">
        <f t="shared" si="4"/>
        <v>319.01110357687537</v>
      </c>
    </row>
    <row r="19" spans="1:32" x14ac:dyDescent="0.25">
      <c r="A19" s="14">
        <v>17</v>
      </c>
      <c r="B19" s="14" t="s">
        <v>61</v>
      </c>
      <c r="C19" s="14">
        <v>160</v>
      </c>
      <c r="D19" s="14">
        <v>4</v>
      </c>
      <c r="E19" s="15">
        <v>-0.42849320000000002</v>
      </c>
      <c r="F19" s="15">
        <v>-0.43248927999999998</v>
      </c>
      <c r="G19" s="15">
        <v>3.99607E-3</v>
      </c>
      <c r="H19" s="15">
        <v>0.5297499</v>
      </c>
      <c r="I19" s="15">
        <v>0.52961409999999998</v>
      </c>
      <c r="J19" s="15">
        <v>1.3578E-4</v>
      </c>
      <c r="K19" s="18">
        <v>25.32</v>
      </c>
      <c r="L19" s="18">
        <v>25.32</v>
      </c>
      <c r="M19" s="18">
        <v>0</v>
      </c>
      <c r="N19" s="15">
        <v>4.9253300000000003E-3</v>
      </c>
      <c r="O19" s="15">
        <v>7.0706779999999997E-2</v>
      </c>
      <c r="P19" s="15">
        <v>-6.5781450000000005E-2</v>
      </c>
      <c r="Q19" s="15">
        <v>6.2987999999999998E-4</v>
      </c>
      <c r="R19" s="15">
        <v>9.2318699999999997E-3</v>
      </c>
      <c r="S19" s="15">
        <v>-8.6019900000000003E-3</v>
      </c>
      <c r="T19" s="14"/>
      <c r="U19" s="15">
        <f t="shared" si="5"/>
        <v>-1.9980399999999787E-3</v>
      </c>
      <c r="V19" s="15">
        <f t="shared" si="6"/>
        <v>6.7900000000009619E-5</v>
      </c>
      <c r="W19" s="15"/>
      <c r="X19" s="15"/>
      <c r="Y19" s="16">
        <f t="shared" si="0"/>
        <v>4.9253300000000003E-3</v>
      </c>
      <c r="Z19" s="16">
        <f t="shared" si="1"/>
        <v>6.2987999999999998E-4</v>
      </c>
      <c r="AA19" s="16">
        <f t="shared" si="2"/>
        <v>7.0706779999999997E-2</v>
      </c>
      <c r="AB19" s="16">
        <f t="shared" si="3"/>
        <v>9.2318699999999997E-3</v>
      </c>
      <c r="AC19" s="17">
        <f t="shared" ref="AC19:AC34" si="10">IF(Y19="","",DEGREES(ASIN(SQRT(Y19^2+Z19^2))))</f>
        <v>0.28450009777652624</v>
      </c>
      <c r="AD19" s="17">
        <f t="shared" ref="AD19:AD34" si="11">IF(AA19="","",DEGREES(ASIN(SQRT(AA19^2+AB19^2))))</f>
        <v>4.0890555528168635</v>
      </c>
      <c r="AE19" s="17">
        <f t="shared" ref="AE19:AE34" si="12">IF(Y19="","",MOD(DEGREES(ATAN2(Y19,Z19)),360))</f>
        <v>7.2877611765321522</v>
      </c>
      <c r="AF19" s="17">
        <f t="shared" si="4"/>
        <v>6.8552718965321517</v>
      </c>
    </row>
    <row r="20" spans="1:32" x14ac:dyDescent="0.25">
      <c r="A20" s="14">
        <v>18</v>
      </c>
      <c r="B20" s="14" t="s">
        <v>61</v>
      </c>
      <c r="C20" s="14">
        <v>170</v>
      </c>
      <c r="D20" s="14">
        <v>1</v>
      </c>
      <c r="E20" s="15">
        <v>-0.44436700000000001</v>
      </c>
      <c r="F20" s="15">
        <v>-0.45109104</v>
      </c>
      <c r="G20" s="15">
        <v>6.7240299999999998E-3</v>
      </c>
      <c r="H20" s="15">
        <v>0.50731563999999996</v>
      </c>
      <c r="I20" s="15">
        <v>0.50869140000000002</v>
      </c>
      <c r="J20" s="15">
        <v>-1.3757299999999999E-3</v>
      </c>
      <c r="K20" s="18">
        <v>25.34</v>
      </c>
      <c r="L20" s="18">
        <v>25.31</v>
      </c>
      <c r="M20" s="18">
        <v>0.03</v>
      </c>
      <c r="N20" s="15">
        <v>4.0629100000000003E-3</v>
      </c>
      <c r="O20" s="15">
        <v>7.0075680000000001E-2</v>
      </c>
      <c r="P20" s="15">
        <v>-6.6012779999999993E-2</v>
      </c>
      <c r="Q20" s="15">
        <v>6.62394E-3</v>
      </c>
      <c r="R20" s="15">
        <v>2.9191099999999999E-3</v>
      </c>
      <c r="S20" s="15">
        <v>3.7048300000000001E-3</v>
      </c>
      <c r="T20" s="14"/>
      <c r="U20" s="15">
        <f t="shared" si="5"/>
        <v>-3.3620199999999933E-3</v>
      </c>
      <c r="V20" s="15">
        <f t="shared" si="6"/>
        <v>-6.8788000000002958E-4</v>
      </c>
      <c r="W20" s="15"/>
      <c r="X20" s="15"/>
      <c r="Y20" s="16">
        <f t="shared" si="0"/>
        <v>4.0629100000000003E-3</v>
      </c>
      <c r="Z20" s="16">
        <f t="shared" si="1"/>
        <v>6.62394E-3</v>
      </c>
      <c r="AA20" s="16">
        <f t="shared" si="2"/>
        <v>7.0075680000000001E-2</v>
      </c>
      <c r="AB20" s="16">
        <f t="shared" si="3"/>
        <v>2.9191099999999999E-3</v>
      </c>
      <c r="AC20" s="17">
        <f t="shared" si="10"/>
        <v>0.44523294332830493</v>
      </c>
      <c r="AD20" s="17">
        <f t="shared" si="11"/>
        <v>4.0218246992798052</v>
      </c>
      <c r="AE20" s="17">
        <f t="shared" si="12"/>
        <v>58.476397250277053</v>
      </c>
      <c r="AF20" s="17">
        <f t="shared" si="4"/>
        <v>58.025306210277051</v>
      </c>
    </row>
    <row r="21" spans="1:32" x14ac:dyDescent="0.25">
      <c r="A21" s="14">
        <v>19</v>
      </c>
      <c r="B21" s="14" t="s">
        <v>61</v>
      </c>
      <c r="C21" s="14">
        <v>180</v>
      </c>
      <c r="D21" s="14">
        <v>4</v>
      </c>
      <c r="E21" s="15">
        <v>-0.43002447999999999</v>
      </c>
      <c r="F21" s="15">
        <v>-0.43515376</v>
      </c>
      <c r="G21" s="15">
        <v>5.12928E-3</v>
      </c>
      <c r="H21" s="15">
        <v>0.53125783999999998</v>
      </c>
      <c r="I21" s="15">
        <v>0.53195391999999997</v>
      </c>
      <c r="J21" s="15">
        <v>-6.9605999999999997E-4</v>
      </c>
      <c r="K21" s="18">
        <v>25.36</v>
      </c>
      <c r="L21" s="18">
        <v>25.36</v>
      </c>
      <c r="M21" s="18">
        <v>0</v>
      </c>
      <c r="N21" s="15">
        <v>5.2058900000000003E-3</v>
      </c>
      <c r="O21" s="15">
        <v>7.0248519999999995E-2</v>
      </c>
      <c r="P21" s="15">
        <v>-6.5042619999999995E-2</v>
      </c>
      <c r="Q21" s="15">
        <v>1.1846519999999999E-2</v>
      </c>
      <c r="R21" s="15">
        <v>-2.2062200000000001E-3</v>
      </c>
      <c r="S21" s="15">
        <v>1.4052729999999999E-2</v>
      </c>
      <c r="T21" s="14"/>
      <c r="U21" s="15">
        <f t="shared" si="5"/>
        <v>-2.5646400000000069E-3</v>
      </c>
      <c r="V21" s="15">
        <f t="shared" si="6"/>
        <v>-3.4803999999999391E-4</v>
      </c>
      <c r="W21" s="15"/>
      <c r="X21" s="15"/>
      <c r="Y21" s="16">
        <f t="shared" si="0"/>
        <v>5.2058900000000003E-3</v>
      </c>
      <c r="Z21" s="16">
        <f t="shared" si="1"/>
        <v>1.1846519999999999E-2</v>
      </c>
      <c r="AA21" s="16">
        <f t="shared" si="2"/>
        <v>7.0248519999999995E-2</v>
      </c>
      <c r="AB21" s="16">
        <f t="shared" si="3"/>
        <v>-2.2062200000000001E-3</v>
      </c>
      <c r="AC21" s="17">
        <f t="shared" si="10"/>
        <v>0.74142304603753617</v>
      </c>
      <c r="AD21" s="17">
        <f t="shared" si="11"/>
        <v>4.03025089880036</v>
      </c>
      <c r="AE21" s="17">
        <f t="shared" si="12"/>
        <v>66.277168481700926</v>
      </c>
      <c r="AF21" s="17">
        <f t="shared" si="4"/>
        <v>65.84201472170092</v>
      </c>
    </row>
    <row r="22" spans="1:32" x14ac:dyDescent="0.25">
      <c r="A22" s="14">
        <v>20</v>
      </c>
      <c r="B22" s="14" t="s">
        <v>61</v>
      </c>
      <c r="C22" s="14">
        <v>190</v>
      </c>
      <c r="D22" s="14">
        <v>3</v>
      </c>
      <c r="E22" s="15">
        <v>-0.43731592000000002</v>
      </c>
      <c r="F22" s="15">
        <v>-0.43874691999999998</v>
      </c>
      <c r="G22" s="15">
        <v>1.43099E-3</v>
      </c>
      <c r="H22" s="15">
        <v>0.51820200000000005</v>
      </c>
      <c r="I22" s="15">
        <v>0.5190051</v>
      </c>
      <c r="J22" s="15">
        <v>-8.0311E-4</v>
      </c>
      <c r="K22" s="18">
        <v>25.43</v>
      </c>
      <c r="L22" s="18">
        <v>25.44</v>
      </c>
      <c r="M22" s="18">
        <v>-0.02</v>
      </c>
      <c r="N22" s="15">
        <v>6.7083100000000003E-3</v>
      </c>
      <c r="O22" s="15">
        <v>6.802097E-2</v>
      </c>
      <c r="P22" s="15">
        <v>-6.1312659999999998E-2</v>
      </c>
      <c r="Q22" s="15">
        <v>1.7587209999999999E-2</v>
      </c>
      <c r="R22" s="15">
        <v>-7.8998499999999999E-3</v>
      </c>
      <c r="S22" s="15">
        <v>2.5487059999999999E-2</v>
      </c>
      <c r="T22" s="14"/>
      <c r="U22" s="15">
        <f t="shared" si="5"/>
        <v>-7.1549999999998004E-4</v>
      </c>
      <c r="V22" s="15">
        <f t="shared" si="6"/>
        <v>-4.0154999999997276E-4</v>
      </c>
      <c r="W22" s="15"/>
      <c r="X22" s="15"/>
      <c r="Y22" s="16">
        <f t="shared" si="0"/>
        <v>6.7083100000000003E-3</v>
      </c>
      <c r="Z22" s="16">
        <f t="shared" si="1"/>
        <v>1.7587209999999999E-2</v>
      </c>
      <c r="AA22" s="16">
        <f t="shared" si="2"/>
        <v>6.802097E-2</v>
      </c>
      <c r="AB22" s="16">
        <f t="shared" si="3"/>
        <v>-7.8998499999999999E-3</v>
      </c>
      <c r="AC22" s="17">
        <f t="shared" si="10"/>
        <v>1.0785513619559051</v>
      </c>
      <c r="AD22" s="17">
        <f t="shared" si="11"/>
        <v>3.9265831051333757</v>
      </c>
      <c r="AE22" s="17">
        <f t="shared" si="12"/>
        <v>69.121590039287696</v>
      </c>
      <c r="AF22" s="17">
        <f t="shared" si="4"/>
        <v>68.682843119287696</v>
      </c>
    </row>
    <row r="23" spans="1:32" x14ac:dyDescent="0.25">
      <c r="A23" s="14">
        <v>21</v>
      </c>
      <c r="B23" s="14" t="s">
        <v>61</v>
      </c>
      <c r="C23" s="14">
        <v>200</v>
      </c>
      <c r="D23" s="14">
        <v>5</v>
      </c>
      <c r="E23" s="15">
        <v>-0.43812620000000002</v>
      </c>
      <c r="F23" s="15">
        <v>-0.44526623999999998</v>
      </c>
      <c r="G23" s="15">
        <v>7.1400700000000001E-3</v>
      </c>
      <c r="H23" s="15">
        <v>0.51079596000000005</v>
      </c>
      <c r="I23" s="15">
        <v>0.51613969999999998</v>
      </c>
      <c r="J23" s="15">
        <v>-5.3437399999999996E-3</v>
      </c>
      <c r="K23" s="18">
        <v>25.41</v>
      </c>
      <c r="L23" s="18">
        <v>25.42</v>
      </c>
      <c r="M23" s="18">
        <v>-0.01</v>
      </c>
      <c r="N23" s="15">
        <v>9.3554699999999994E-3</v>
      </c>
      <c r="O23" s="15">
        <v>6.5467940000000002E-2</v>
      </c>
      <c r="P23" s="15">
        <v>-5.6112469999999998E-2</v>
      </c>
      <c r="Q23" s="15">
        <v>2.2698079999999999E-2</v>
      </c>
      <c r="R23" s="15">
        <v>-1.318164E-2</v>
      </c>
      <c r="S23" s="15">
        <v>3.5879719999999997E-2</v>
      </c>
      <c r="T23" s="14"/>
      <c r="U23" s="15">
        <f t="shared" si="5"/>
        <v>-3.5700199999999793E-3</v>
      </c>
      <c r="V23" s="15">
        <f t="shared" si="6"/>
        <v>-2.6718699999999651E-3</v>
      </c>
      <c r="W23" s="15"/>
      <c r="X23" s="15"/>
      <c r="Y23" s="16">
        <f t="shared" si="0"/>
        <v>9.3554699999999994E-3</v>
      </c>
      <c r="Z23" s="16">
        <f t="shared" si="1"/>
        <v>2.2698079999999999E-2</v>
      </c>
      <c r="AA23" s="16">
        <f t="shared" si="2"/>
        <v>6.5467940000000002E-2</v>
      </c>
      <c r="AB23" s="16">
        <f t="shared" si="3"/>
        <v>-1.318164E-2</v>
      </c>
      <c r="AC23" s="17">
        <f t="shared" si="10"/>
        <v>1.4067820820429542</v>
      </c>
      <c r="AD23" s="17">
        <f t="shared" si="11"/>
        <v>3.8291642528278178</v>
      </c>
      <c r="AE23" s="17">
        <f t="shared" si="12"/>
        <v>67.600007484352147</v>
      </c>
      <c r="AF23" s="17">
        <f t="shared" si="4"/>
        <v>67.154741244352152</v>
      </c>
    </row>
    <row r="24" spans="1:32" x14ac:dyDescent="0.25">
      <c r="A24" s="14">
        <v>22</v>
      </c>
      <c r="B24" s="14" t="s">
        <v>61</v>
      </c>
      <c r="C24" s="14">
        <v>210</v>
      </c>
      <c r="D24" s="14">
        <v>3</v>
      </c>
      <c r="E24" s="15">
        <v>-0.4300774</v>
      </c>
      <c r="F24" s="15">
        <v>-0.43211892000000002</v>
      </c>
      <c r="G24" s="15">
        <v>2.0415199999999998E-3</v>
      </c>
      <c r="H24" s="15">
        <v>0.53658309999999998</v>
      </c>
      <c r="I24" s="15">
        <v>0.54217769999999998</v>
      </c>
      <c r="J24" s="15">
        <v>-5.5945500000000002E-3</v>
      </c>
      <c r="K24" s="18">
        <v>25.31</v>
      </c>
      <c r="L24" s="18">
        <v>25.3</v>
      </c>
      <c r="M24" s="18">
        <v>0.01</v>
      </c>
      <c r="N24" s="15">
        <v>1.274482E-2</v>
      </c>
      <c r="O24" s="15">
        <v>6.2802999999999998E-2</v>
      </c>
      <c r="P24" s="15">
        <v>-5.0058180000000001E-2</v>
      </c>
      <c r="Q24" s="15">
        <v>2.719483E-2</v>
      </c>
      <c r="R24" s="15">
        <v>-1.7102050000000001E-2</v>
      </c>
      <c r="S24" s="15">
        <v>4.4296879999999997E-2</v>
      </c>
      <c r="T24" s="14"/>
      <c r="U24" s="15">
        <f t="shared" si="5"/>
        <v>-1.0207600000000094E-3</v>
      </c>
      <c r="V24" s="15">
        <f t="shared" si="6"/>
        <v>-2.7973000000000026E-3</v>
      </c>
      <c r="W24" s="15"/>
      <c r="X24" s="15"/>
      <c r="Y24" s="16">
        <f t="shared" si="0"/>
        <v>1.274482E-2</v>
      </c>
      <c r="Z24" s="16">
        <f t="shared" si="1"/>
        <v>2.719483E-2</v>
      </c>
      <c r="AA24" s="16">
        <f t="shared" si="2"/>
        <v>6.2802999999999998E-2</v>
      </c>
      <c r="AB24" s="16">
        <f t="shared" si="3"/>
        <v>-1.7102050000000001E-2</v>
      </c>
      <c r="AC24" s="17">
        <f t="shared" si="10"/>
        <v>1.7210306892047058</v>
      </c>
      <c r="AD24" s="17">
        <f t="shared" si="11"/>
        <v>3.7320157761535699</v>
      </c>
      <c r="AE24" s="17">
        <f t="shared" si="12"/>
        <v>64.889926775843577</v>
      </c>
      <c r="AF24" s="17">
        <f t="shared" si="4"/>
        <v>64.457807855843583</v>
      </c>
    </row>
    <row r="25" spans="1:32" x14ac:dyDescent="0.25">
      <c r="A25" s="14">
        <v>23</v>
      </c>
      <c r="B25" s="14" t="s">
        <v>61</v>
      </c>
      <c r="C25" s="14">
        <v>220</v>
      </c>
      <c r="D25" s="14">
        <v>5</v>
      </c>
      <c r="E25" s="15">
        <v>-0.42900260000000001</v>
      </c>
      <c r="F25" s="15">
        <v>-0.43356951999999999</v>
      </c>
      <c r="G25" s="15">
        <v>4.5669100000000004E-3</v>
      </c>
      <c r="H25" s="15">
        <v>0.52655280000000004</v>
      </c>
      <c r="I25" s="15">
        <v>0.53096299999999996</v>
      </c>
      <c r="J25" s="15">
        <v>-4.4102100000000003E-3</v>
      </c>
      <c r="K25" s="18">
        <v>25.42</v>
      </c>
      <c r="L25" s="18">
        <v>25.4</v>
      </c>
      <c r="M25" s="18">
        <v>0.01</v>
      </c>
      <c r="N25" s="15">
        <v>1.688574E-2</v>
      </c>
      <c r="O25" s="15">
        <v>5.8113039999999998E-2</v>
      </c>
      <c r="P25" s="15">
        <v>-4.1227300000000001E-2</v>
      </c>
      <c r="Q25" s="15">
        <v>3.1036379999999999E-2</v>
      </c>
      <c r="R25" s="15">
        <v>-2.1222089999999999E-2</v>
      </c>
      <c r="S25" s="15">
        <v>5.225846E-2</v>
      </c>
      <c r="T25" s="14"/>
      <c r="U25" s="15">
        <f t="shared" si="5"/>
        <v>-2.2834599999999872E-3</v>
      </c>
      <c r="V25" s="15">
        <f t="shared" si="6"/>
        <v>-2.2050999999999599E-3</v>
      </c>
      <c r="W25" s="15"/>
      <c r="X25" s="15"/>
      <c r="Y25" s="16">
        <f t="shared" si="0"/>
        <v>1.688574E-2</v>
      </c>
      <c r="Z25" s="16">
        <f t="shared" si="1"/>
        <v>3.1036379999999999E-2</v>
      </c>
      <c r="AA25" s="16">
        <f t="shared" si="2"/>
        <v>5.8113039999999998E-2</v>
      </c>
      <c r="AB25" s="16">
        <f t="shared" si="3"/>
        <v>-2.1222089999999999E-2</v>
      </c>
      <c r="AC25" s="17">
        <f t="shared" si="10"/>
        <v>2.0248242012882356</v>
      </c>
      <c r="AD25" s="17">
        <f t="shared" si="11"/>
        <v>3.5469723964197892</v>
      </c>
      <c r="AE25" s="17">
        <f t="shared" si="12"/>
        <v>61.451032557231287</v>
      </c>
      <c r="AF25" s="17">
        <f t="shared" si="4"/>
        <v>61.017463037231288</v>
      </c>
    </row>
    <row r="26" spans="1:32" x14ac:dyDescent="0.25">
      <c r="A26" s="14">
        <v>24</v>
      </c>
      <c r="B26" s="14" t="s">
        <v>61</v>
      </c>
      <c r="C26" s="14">
        <v>230</v>
      </c>
      <c r="D26" s="14">
        <v>3</v>
      </c>
      <c r="E26" s="15">
        <v>-0.41735255999999998</v>
      </c>
      <c r="F26" s="15">
        <v>-0.42311324</v>
      </c>
      <c r="G26" s="15">
        <v>5.7606999999999997E-3</v>
      </c>
      <c r="H26" s="15">
        <v>0.55217192000000004</v>
      </c>
      <c r="I26" s="15">
        <v>0.55698329999999996</v>
      </c>
      <c r="J26" s="15">
        <v>-4.8113499999999998E-3</v>
      </c>
      <c r="K26" s="18">
        <v>25.18</v>
      </c>
      <c r="L26" s="18">
        <v>25.19</v>
      </c>
      <c r="M26" s="18">
        <v>-0.01</v>
      </c>
      <c r="N26" s="15">
        <v>2.2177869999999999E-2</v>
      </c>
      <c r="O26" s="15">
        <v>5.4637999999999999E-2</v>
      </c>
      <c r="P26" s="15">
        <v>-3.2460129999999997E-2</v>
      </c>
      <c r="Q26" s="15">
        <v>3.414727E-2</v>
      </c>
      <c r="R26" s="15">
        <v>-2.3962399999999998E-2</v>
      </c>
      <c r="S26" s="15">
        <v>5.8109679999999997E-2</v>
      </c>
      <c r="T26" s="14"/>
      <c r="U26" s="15">
        <f t="shared" si="5"/>
        <v>-2.880340000000009E-3</v>
      </c>
      <c r="V26" s="15">
        <f t="shared" si="6"/>
        <v>-2.4056899999999604E-3</v>
      </c>
      <c r="W26" s="15"/>
      <c r="X26" s="15"/>
      <c r="Y26" s="16">
        <f t="shared" si="0"/>
        <v>2.2177869999999999E-2</v>
      </c>
      <c r="Z26" s="16">
        <f t="shared" si="1"/>
        <v>3.414727E-2</v>
      </c>
      <c r="AA26" s="16">
        <f t="shared" si="2"/>
        <v>5.4637999999999999E-2</v>
      </c>
      <c r="AB26" s="16">
        <f t="shared" si="3"/>
        <v>-2.3962399999999998E-2</v>
      </c>
      <c r="AC26" s="17">
        <f t="shared" si="10"/>
        <v>2.3335713451487066</v>
      </c>
      <c r="AD26" s="17">
        <f t="shared" si="11"/>
        <v>3.4203896286501454</v>
      </c>
      <c r="AE26" s="17">
        <f t="shared" si="12"/>
        <v>56.997198835429124</v>
      </c>
      <c r="AF26" s="17">
        <f t="shared" si="4"/>
        <v>56.574085595429125</v>
      </c>
    </row>
    <row r="27" spans="1:32" x14ac:dyDescent="0.25">
      <c r="A27" s="14">
        <v>25</v>
      </c>
      <c r="B27" s="14" t="s">
        <v>61</v>
      </c>
      <c r="C27" s="14">
        <v>240</v>
      </c>
      <c r="D27" s="14">
        <v>5</v>
      </c>
      <c r="E27" s="15">
        <v>-0.43204619999999999</v>
      </c>
      <c r="F27" s="15">
        <v>-0.43101795999999998</v>
      </c>
      <c r="G27" s="15">
        <v>-1.0282100000000001E-3</v>
      </c>
      <c r="H27" s="15">
        <v>0.52798955999999997</v>
      </c>
      <c r="I27" s="15">
        <v>0.53279144000000001</v>
      </c>
      <c r="J27" s="15">
        <v>-4.8018699999999997E-3</v>
      </c>
      <c r="K27" s="18">
        <v>25.33</v>
      </c>
      <c r="L27" s="18">
        <v>25.34</v>
      </c>
      <c r="M27" s="18">
        <v>-0.01</v>
      </c>
      <c r="N27" s="15">
        <v>2.7367349999999999E-2</v>
      </c>
      <c r="O27" s="15">
        <v>4.7633710000000003E-2</v>
      </c>
      <c r="P27" s="15">
        <v>-2.0266360000000001E-2</v>
      </c>
      <c r="Q27" s="15">
        <v>3.6324059999999998E-2</v>
      </c>
      <c r="R27" s="15">
        <v>-2.6694820000000001E-2</v>
      </c>
      <c r="S27" s="15">
        <v>6.3018879999999999E-2</v>
      </c>
      <c r="T27" s="14"/>
      <c r="U27" s="15">
        <f t="shared" si="5"/>
        <v>5.1412000000000679E-4</v>
      </c>
      <c r="V27" s="15">
        <f t="shared" si="6"/>
        <v>-2.4009400000000181E-3</v>
      </c>
      <c r="W27" s="15"/>
      <c r="X27" s="15"/>
      <c r="Y27" s="16">
        <f t="shared" si="0"/>
        <v>2.7367349999999999E-2</v>
      </c>
      <c r="Z27" s="16">
        <f t="shared" si="1"/>
        <v>3.6324059999999998E-2</v>
      </c>
      <c r="AA27" s="16">
        <f t="shared" si="2"/>
        <v>4.7633710000000003E-2</v>
      </c>
      <c r="AB27" s="16">
        <f t="shared" si="3"/>
        <v>-2.6694820000000001E-2</v>
      </c>
      <c r="AC27" s="17">
        <f t="shared" si="10"/>
        <v>2.6066978331134956</v>
      </c>
      <c r="AD27" s="17">
        <f t="shared" si="11"/>
        <v>3.1301286587289021</v>
      </c>
      <c r="AE27" s="17">
        <f t="shared" si="12"/>
        <v>53.004821895416129</v>
      </c>
      <c r="AF27" s="17">
        <f t="shared" si="4"/>
        <v>52.57380393541613</v>
      </c>
    </row>
    <row r="28" spans="1:32" x14ac:dyDescent="0.25">
      <c r="A28" s="14">
        <v>26</v>
      </c>
      <c r="B28" s="14" t="s">
        <v>61</v>
      </c>
      <c r="C28" s="14">
        <v>250</v>
      </c>
      <c r="D28" s="14">
        <v>5</v>
      </c>
      <c r="E28" s="15">
        <v>-0.43395148</v>
      </c>
      <c r="F28" s="15">
        <v>-0.43272327999999999</v>
      </c>
      <c r="G28" s="15">
        <v>-1.2281799999999999E-3</v>
      </c>
      <c r="H28" s="15">
        <v>0.56904144000000001</v>
      </c>
      <c r="I28" s="15">
        <v>0.56503132</v>
      </c>
      <c r="J28" s="15">
        <v>4.0100800000000001E-3</v>
      </c>
      <c r="K28" s="18">
        <v>25</v>
      </c>
      <c r="L28" s="18">
        <v>25.01</v>
      </c>
      <c r="M28" s="18">
        <v>-0.01</v>
      </c>
      <c r="N28" s="15">
        <v>3.3564459999999997E-2</v>
      </c>
      <c r="O28" s="15">
        <v>4.3162600000000002E-2</v>
      </c>
      <c r="P28" s="15">
        <v>-9.5981399999999998E-3</v>
      </c>
      <c r="Q28" s="15">
        <v>3.7891359999999999E-2</v>
      </c>
      <c r="R28" s="15">
        <v>-2.761564E-2</v>
      </c>
      <c r="S28" s="15">
        <v>6.5506999999999996E-2</v>
      </c>
      <c r="T28" s="14"/>
      <c r="U28" s="15">
        <f t="shared" si="5"/>
        <v>6.1410000000000631E-4</v>
      </c>
      <c r="V28" s="15">
        <f t="shared" si="6"/>
        <v>2.005060000000003E-3</v>
      </c>
      <c r="W28" s="15"/>
      <c r="X28" s="15"/>
      <c r="Y28" s="16">
        <f t="shared" si="0"/>
        <v>3.3564459999999997E-2</v>
      </c>
      <c r="Z28" s="16">
        <f t="shared" si="1"/>
        <v>3.7891359999999999E-2</v>
      </c>
      <c r="AA28" s="16">
        <f t="shared" si="2"/>
        <v>4.3162600000000002E-2</v>
      </c>
      <c r="AB28" s="16">
        <f t="shared" si="3"/>
        <v>-2.761564E-2</v>
      </c>
      <c r="AC28" s="17">
        <f t="shared" si="10"/>
        <v>2.9015205264251964</v>
      </c>
      <c r="AD28" s="17">
        <f t="shared" si="11"/>
        <v>2.937175703002505</v>
      </c>
      <c r="AE28" s="17">
        <f t="shared" si="12"/>
        <v>48.465228772447226</v>
      </c>
      <c r="AF28" s="17">
        <f t="shared" si="4"/>
        <v>48.032505492447228</v>
      </c>
    </row>
    <row r="29" spans="1:32" x14ac:dyDescent="0.25">
      <c r="A29" s="14">
        <v>27</v>
      </c>
      <c r="B29" s="14" t="s">
        <v>61</v>
      </c>
      <c r="C29" s="14">
        <v>260</v>
      </c>
      <c r="D29" s="14">
        <v>3</v>
      </c>
      <c r="E29" s="15">
        <v>-0.43531624000000002</v>
      </c>
      <c r="F29" s="15">
        <v>-0.43477452</v>
      </c>
      <c r="G29" s="15">
        <v>-5.4171999999999998E-4</v>
      </c>
      <c r="H29" s="15">
        <v>0.51974659999999995</v>
      </c>
      <c r="I29" s="15">
        <v>0.52442710000000003</v>
      </c>
      <c r="J29" s="15">
        <v>-4.6805099999999997E-3</v>
      </c>
      <c r="K29" s="18">
        <v>25.37</v>
      </c>
      <c r="L29" s="18">
        <v>25.35</v>
      </c>
      <c r="M29" s="18">
        <v>0.01</v>
      </c>
      <c r="N29" s="15">
        <v>3.8708090000000001E-2</v>
      </c>
      <c r="O29" s="15">
        <v>3.7072069999999999E-2</v>
      </c>
      <c r="P29" s="15">
        <v>1.63602E-3</v>
      </c>
      <c r="Q29" s="15">
        <v>3.7940939999999999E-2</v>
      </c>
      <c r="R29" s="15">
        <v>-2.8561880000000001E-2</v>
      </c>
      <c r="S29" s="15">
        <v>6.6502820000000004E-2</v>
      </c>
      <c r="T29" s="14"/>
      <c r="U29" s="15">
        <f t="shared" si="5"/>
        <v>2.7086000000001165E-4</v>
      </c>
      <c r="V29" s="15">
        <f t="shared" si="6"/>
        <v>-2.3402500000000437E-3</v>
      </c>
      <c r="W29" s="15"/>
      <c r="X29" s="15"/>
      <c r="Y29" s="16">
        <f t="shared" si="0"/>
        <v>3.8708090000000001E-2</v>
      </c>
      <c r="Z29" s="16">
        <f t="shared" si="1"/>
        <v>3.7940939999999999E-2</v>
      </c>
      <c r="AA29" s="16">
        <f t="shared" si="2"/>
        <v>3.7072069999999999E-2</v>
      </c>
      <c r="AB29" s="16">
        <f t="shared" si="3"/>
        <v>-2.8561880000000001E-2</v>
      </c>
      <c r="AC29" s="17">
        <f t="shared" si="10"/>
        <v>3.107054889057832</v>
      </c>
      <c r="AD29" s="17">
        <f t="shared" si="11"/>
        <v>2.6823483530396763</v>
      </c>
      <c r="AE29" s="17">
        <f t="shared" si="12"/>
        <v>44.426568220498432</v>
      </c>
      <c r="AF29" s="17">
        <f t="shared" si="4"/>
        <v>43.991793700498434</v>
      </c>
    </row>
    <row r="30" spans="1:32" x14ac:dyDescent="0.25">
      <c r="A30" s="14">
        <v>28</v>
      </c>
      <c r="B30" s="14" t="s">
        <v>61</v>
      </c>
      <c r="C30" s="14">
        <v>270</v>
      </c>
      <c r="D30" s="14">
        <v>3</v>
      </c>
      <c r="E30" s="15">
        <v>-0.43703843999999997</v>
      </c>
      <c r="F30" s="15">
        <v>-0.43719419999999998</v>
      </c>
      <c r="G30" s="15">
        <v>1.5574999999999999E-4</v>
      </c>
      <c r="H30" s="15">
        <v>0.5183354</v>
      </c>
      <c r="I30" s="15">
        <v>0.52753039999999995</v>
      </c>
      <c r="J30" s="15">
        <v>-9.1949700000000002E-3</v>
      </c>
      <c r="K30" s="18">
        <v>25.42</v>
      </c>
      <c r="L30" s="18">
        <v>25.43</v>
      </c>
      <c r="M30" s="18">
        <v>-0.01</v>
      </c>
      <c r="N30" s="15">
        <v>4.4686820000000002E-2</v>
      </c>
      <c r="O30" s="15">
        <v>3.1069739999999998E-2</v>
      </c>
      <c r="P30" s="15">
        <v>1.361708E-2</v>
      </c>
      <c r="Q30" s="15">
        <v>3.7252199999999999E-2</v>
      </c>
      <c r="R30" s="15">
        <v>-2.7538380000000001E-2</v>
      </c>
      <c r="S30" s="15">
        <v>6.479058E-2</v>
      </c>
      <c r="T30" s="14"/>
      <c r="U30" s="15">
        <f t="shared" si="5"/>
        <v>-7.7880000000002392E-5</v>
      </c>
      <c r="V30" s="15">
        <f t="shared" si="6"/>
        <v>-4.5974999999999766E-3</v>
      </c>
      <c r="W30" s="15"/>
      <c r="X30" s="15"/>
      <c r="Y30" s="16">
        <f t="shared" si="0"/>
        <v>4.4686820000000002E-2</v>
      </c>
      <c r="Z30" s="16">
        <f t="shared" si="1"/>
        <v>3.7252199999999999E-2</v>
      </c>
      <c r="AA30" s="16">
        <f t="shared" si="2"/>
        <v>3.1069739999999998E-2</v>
      </c>
      <c r="AB30" s="16">
        <f t="shared" si="3"/>
        <v>-2.7538380000000001E-2</v>
      </c>
      <c r="AC30" s="17">
        <f t="shared" si="10"/>
        <v>3.3352167000160424</v>
      </c>
      <c r="AD30" s="17">
        <f t="shared" si="11"/>
        <v>2.3794533678076926</v>
      </c>
      <c r="AE30" s="17">
        <f t="shared" si="12"/>
        <v>39.815545292193093</v>
      </c>
      <c r="AF30" s="17">
        <f t="shared" si="4"/>
        <v>39.378351092193093</v>
      </c>
    </row>
    <row r="31" spans="1:32" x14ac:dyDescent="0.25">
      <c r="A31" s="14">
        <v>29</v>
      </c>
      <c r="B31" s="14" t="s">
        <v>61</v>
      </c>
      <c r="C31" s="14">
        <v>280</v>
      </c>
      <c r="D31" s="14">
        <v>2</v>
      </c>
      <c r="E31" s="15">
        <v>-0.42175810000000002</v>
      </c>
      <c r="F31" s="15">
        <v>-0.42372443999999998</v>
      </c>
      <c r="G31" s="15">
        <v>1.9663599999999999E-3</v>
      </c>
      <c r="H31" s="15">
        <v>0.54610809999999999</v>
      </c>
      <c r="I31" s="15">
        <v>0.55334123999999996</v>
      </c>
      <c r="J31" s="15">
        <v>-7.2331399999999999E-3</v>
      </c>
      <c r="K31" s="18">
        <v>25.3</v>
      </c>
      <c r="L31" s="18">
        <v>25.29</v>
      </c>
      <c r="M31" s="18">
        <v>0.01</v>
      </c>
      <c r="N31" s="15">
        <v>5.0032350000000003E-2</v>
      </c>
      <c r="O31" s="15">
        <v>2.7021280000000002E-2</v>
      </c>
      <c r="P31" s="15">
        <v>2.3011070000000002E-2</v>
      </c>
      <c r="Q31" s="15">
        <v>3.5728349999999999E-2</v>
      </c>
      <c r="R31" s="15">
        <v>-2.6018070000000001E-2</v>
      </c>
      <c r="S31" s="15">
        <v>6.1746420000000003E-2</v>
      </c>
      <c r="T31" s="14"/>
      <c r="U31" s="15">
        <f t="shared" si="5"/>
        <v>-9.8316999999997767E-4</v>
      </c>
      <c r="V31" s="15">
        <f t="shared" si="6"/>
        <v>-3.6165699999999856E-3</v>
      </c>
      <c r="W31" s="15"/>
      <c r="X31" s="15"/>
      <c r="Y31" s="16">
        <f t="shared" si="0"/>
        <v>5.0032350000000003E-2</v>
      </c>
      <c r="Z31" s="16">
        <f t="shared" si="1"/>
        <v>3.5728349999999999E-2</v>
      </c>
      <c r="AA31" s="16">
        <f t="shared" si="2"/>
        <v>2.7021280000000002E-2</v>
      </c>
      <c r="AB31" s="16">
        <f t="shared" si="3"/>
        <v>-2.6018070000000001E-2</v>
      </c>
      <c r="AC31" s="17">
        <f t="shared" si="10"/>
        <v>3.5247490121126428</v>
      </c>
      <c r="AD31" s="17">
        <f t="shared" si="11"/>
        <v>2.1497373434991043</v>
      </c>
      <c r="AE31" s="17">
        <f t="shared" si="12"/>
        <v>35.530820085600922</v>
      </c>
      <c r="AF31" s="17">
        <f t="shared" si="4"/>
        <v>35.107095645600921</v>
      </c>
    </row>
    <row r="32" spans="1:32" x14ac:dyDescent="0.25">
      <c r="A32" s="14">
        <v>30</v>
      </c>
      <c r="B32" s="14" t="s">
        <v>61</v>
      </c>
      <c r="C32" s="14">
        <v>290</v>
      </c>
      <c r="D32" s="14">
        <v>3</v>
      </c>
      <c r="E32" s="15">
        <v>-0.42749399999999999</v>
      </c>
      <c r="F32" s="15">
        <v>-0.4231801</v>
      </c>
      <c r="G32" s="15">
        <v>-4.3139199999999997E-3</v>
      </c>
      <c r="H32" s="15">
        <v>0.56056404000000004</v>
      </c>
      <c r="I32" s="15">
        <v>0.56110269999999995</v>
      </c>
      <c r="J32" s="15">
        <v>-5.3865E-4</v>
      </c>
      <c r="K32" s="18">
        <v>25.07</v>
      </c>
      <c r="L32" s="18">
        <v>25.07</v>
      </c>
      <c r="M32" s="18">
        <v>0</v>
      </c>
      <c r="N32" s="15">
        <v>5.6280240000000002E-2</v>
      </c>
      <c r="O32" s="15">
        <v>2.2083599999999998E-2</v>
      </c>
      <c r="P32" s="15">
        <v>3.419664E-2</v>
      </c>
      <c r="Q32" s="15">
        <v>3.3280570000000002E-2</v>
      </c>
      <c r="R32" s="15">
        <v>-2.312256E-2</v>
      </c>
      <c r="S32" s="15">
        <v>5.6403130000000003E-2</v>
      </c>
      <c r="T32" s="14"/>
      <c r="U32" s="15">
        <f t="shared" si="5"/>
        <v>2.1569499999999908E-3</v>
      </c>
      <c r="V32" s="15">
        <f t="shared" si="6"/>
        <v>-2.6932999999995655E-4</v>
      </c>
      <c r="W32" s="15"/>
      <c r="X32" s="15"/>
      <c r="Y32" s="16">
        <f t="shared" si="0"/>
        <v>5.6280240000000002E-2</v>
      </c>
      <c r="Z32" s="16">
        <f t="shared" si="1"/>
        <v>3.3280570000000002E-2</v>
      </c>
      <c r="AA32" s="16">
        <f t="shared" si="2"/>
        <v>2.2083599999999998E-2</v>
      </c>
      <c r="AB32" s="16">
        <f t="shared" si="3"/>
        <v>-2.312256E-2</v>
      </c>
      <c r="AC32" s="17">
        <f t="shared" si="10"/>
        <v>3.7488991211427525</v>
      </c>
      <c r="AD32" s="17">
        <f t="shared" si="11"/>
        <v>1.8322888862848969</v>
      </c>
      <c r="AE32" s="17">
        <f t="shared" si="12"/>
        <v>30.597381828311516</v>
      </c>
      <c r="AF32" s="17">
        <f t="shared" si="4"/>
        <v>30.174201728311516</v>
      </c>
    </row>
    <row r="33" spans="1:32" x14ac:dyDescent="0.25">
      <c r="A33" s="14">
        <v>31</v>
      </c>
      <c r="B33" s="14" t="s">
        <v>61</v>
      </c>
      <c r="C33" s="14">
        <v>300</v>
      </c>
      <c r="D33" s="14">
        <v>3</v>
      </c>
      <c r="E33" s="15">
        <v>-0.43699932000000002</v>
      </c>
      <c r="F33" s="15">
        <v>-0.43907444000000001</v>
      </c>
      <c r="G33" s="15">
        <v>2.0751099999999998E-3</v>
      </c>
      <c r="H33" s="15">
        <v>0.51767730000000001</v>
      </c>
      <c r="I33" s="15">
        <v>0.52203279999999996</v>
      </c>
      <c r="J33" s="15">
        <v>-4.3554900000000001E-3</v>
      </c>
      <c r="K33" s="18">
        <v>25.44</v>
      </c>
      <c r="L33" s="18">
        <v>25.43</v>
      </c>
      <c r="M33" s="18">
        <v>0.01</v>
      </c>
      <c r="N33" s="15">
        <v>5.9330510000000003E-2</v>
      </c>
      <c r="O33" s="15">
        <v>1.57232E-2</v>
      </c>
      <c r="P33" s="15">
        <v>4.3607310000000003E-2</v>
      </c>
      <c r="Q33" s="15">
        <v>2.9371339999999999E-2</v>
      </c>
      <c r="R33" s="15">
        <v>-1.9721949999999999E-2</v>
      </c>
      <c r="S33" s="15">
        <v>4.9093289999999998E-2</v>
      </c>
      <c r="T33" s="14"/>
      <c r="U33" s="15">
        <f t="shared" si="5"/>
        <v>-1.0375599999999929E-3</v>
      </c>
      <c r="V33" s="15">
        <f t="shared" si="6"/>
        <v>-2.1777499999999783E-3</v>
      </c>
      <c r="W33" s="15"/>
      <c r="X33" s="15"/>
      <c r="Y33" s="16">
        <f t="shared" si="0"/>
        <v>5.9330510000000003E-2</v>
      </c>
      <c r="Z33" s="16">
        <f t="shared" si="1"/>
        <v>2.9371339999999999E-2</v>
      </c>
      <c r="AA33" s="16">
        <f t="shared" si="2"/>
        <v>1.57232E-2</v>
      </c>
      <c r="AB33" s="16">
        <f t="shared" si="3"/>
        <v>-1.9721949999999999E-2</v>
      </c>
      <c r="AC33" s="17">
        <f t="shared" si="10"/>
        <v>3.7959061362451503</v>
      </c>
      <c r="AD33" s="17">
        <f t="shared" si="11"/>
        <v>1.4452958696173279</v>
      </c>
      <c r="AE33" s="17">
        <f t="shared" si="12"/>
        <v>26.337533348919955</v>
      </c>
      <c r="AF33" s="17">
        <f t="shared" si="4"/>
        <v>25.898458908919956</v>
      </c>
    </row>
    <row r="34" spans="1:32" x14ac:dyDescent="0.25">
      <c r="A34" s="14">
        <v>32</v>
      </c>
      <c r="B34" s="14" t="s">
        <v>61</v>
      </c>
      <c r="C34" s="14">
        <v>310</v>
      </c>
      <c r="D34" s="14">
        <v>5</v>
      </c>
      <c r="E34" s="15">
        <v>-0.43751820000000002</v>
      </c>
      <c r="F34" s="15">
        <v>-0.43385783999999999</v>
      </c>
      <c r="G34" s="15">
        <v>-3.6603500000000001E-3</v>
      </c>
      <c r="H34" s="15">
        <v>0.51949440000000002</v>
      </c>
      <c r="I34" s="15">
        <v>0.52644959999999996</v>
      </c>
      <c r="J34" s="15">
        <v>-6.9552099999999999E-3</v>
      </c>
      <c r="K34" s="18">
        <v>25.36</v>
      </c>
      <c r="L34" s="18">
        <v>25.36</v>
      </c>
      <c r="M34" s="18">
        <v>0</v>
      </c>
      <c r="N34" s="15">
        <v>6.3729900000000006E-2</v>
      </c>
      <c r="O34" s="15">
        <v>1.1817380000000001E-2</v>
      </c>
      <c r="P34" s="15">
        <v>5.1912519999999997E-2</v>
      </c>
      <c r="Q34" s="15">
        <v>2.5024169999999998E-2</v>
      </c>
      <c r="R34" s="15">
        <v>-1.526253E-2</v>
      </c>
      <c r="S34" s="15">
        <v>4.0286700000000002E-2</v>
      </c>
      <c r="T34" s="14"/>
      <c r="U34" s="15">
        <f t="shared" si="5"/>
        <v>1.8301800000000146E-3</v>
      </c>
      <c r="V34" s="15">
        <f t="shared" si="6"/>
        <v>-3.4775999999999696E-3</v>
      </c>
      <c r="W34" s="15"/>
      <c r="X34" s="15"/>
      <c r="Y34" s="16">
        <f t="shared" si="0"/>
        <v>6.3729900000000006E-2</v>
      </c>
      <c r="Z34" s="16">
        <f t="shared" si="1"/>
        <v>2.5024169999999998E-2</v>
      </c>
      <c r="AA34" s="16">
        <f t="shared" si="2"/>
        <v>1.1817380000000001E-2</v>
      </c>
      <c r="AB34" s="16">
        <f t="shared" si="3"/>
        <v>-1.526253E-2</v>
      </c>
      <c r="AC34" s="17">
        <f t="shared" si="10"/>
        <v>3.9259327671735109</v>
      </c>
      <c r="AD34" s="17">
        <f t="shared" si="11"/>
        <v>1.106033514546233</v>
      </c>
      <c r="AE34" s="17">
        <f t="shared" si="12"/>
        <v>21.437940674569298</v>
      </c>
      <c r="AF34" s="17">
        <f t="shared" si="4"/>
        <v>21.004082834569296</v>
      </c>
    </row>
    <row r="35" spans="1:32" x14ac:dyDescent="0.25">
      <c r="A35" s="14">
        <v>33</v>
      </c>
      <c r="B35" t="s">
        <v>61</v>
      </c>
      <c r="C35">
        <v>320</v>
      </c>
      <c r="D35">
        <v>4</v>
      </c>
      <c r="E35">
        <v>-0.43970387999999999</v>
      </c>
      <c r="F35">
        <v>-0.43631784000000001</v>
      </c>
      <c r="G35">
        <v>-3.38602E-3</v>
      </c>
      <c r="H35">
        <v>0.51316010000000001</v>
      </c>
      <c r="I35">
        <v>0.51695789999999997</v>
      </c>
      <c r="J35">
        <v>-3.7977699999999998E-3</v>
      </c>
      <c r="K35">
        <v>25.44</v>
      </c>
      <c r="L35">
        <v>25.43</v>
      </c>
      <c r="M35">
        <v>0.01</v>
      </c>
      <c r="N35">
        <v>6.657267E-2</v>
      </c>
      <c r="O35">
        <v>8.1064899999999992E-3</v>
      </c>
      <c r="P35">
        <v>5.8466190000000001E-2</v>
      </c>
      <c r="Q35">
        <v>2.0076500000000001E-2</v>
      </c>
      <c r="R35">
        <v>-1.040629E-2</v>
      </c>
      <c r="S35">
        <v>3.0482789999999999E-2</v>
      </c>
      <c r="U35" s="15">
        <f t="shared" ref="U35:U74" si="13">(F35-E35)/2</f>
        <v>1.6930199999999895E-3</v>
      </c>
      <c r="V35" s="15">
        <f t="shared" ref="V35:V74" si="14">(H35-I35)/2</f>
        <v>-1.8988999999999812E-3</v>
      </c>
      <c r="W35" s="15"/>
      <c r="X35" s="15"/>
      <c r="Y35" s="16">
        <f t="shared" ref="Y35:Y74" si="15">N35</f>
        <v>6.657267E-2</v>
      </c>
      <c r="Z35" s="16">
        <f t="shared" ref="Z35:Z74" si="16">Q35</f>
        <v>2.0076500000000001E-2</v>
      </c>
      <c r="AA35" s="16">
        <f t="shared" ref="AA35:AA74" si="17">O35</f>
        <v>8.1064899999999992E-3</v>
      </c>
      <c r="AB35" s="16">
        <f t="shared" ref="AB35:AB74" si="18">R35</f>
        <v>-1.040629E-2</v>
      </c>
      <c r="AC35" s="17">
        <f t="shared" ref="AC35:AC74" si="19">IF(Y35="","",DEGREES(ASIN(SQRT(Y35^2+Z35^2))))</f>
        <v>3.9872259195185027</v>
      </c>
      <c r="AD35" s="17">
        <f t="shared" ref="AD35:AD74" si="20">IF(AA35="","",DEGREES(ASIN(SQRT(AA35^2+AB35^2))))</f>
        <v>0.75581830281539164</v>
      </c>
      <c r="AE35" s="17">
        <f t="shared" ref="AE35:AE74" si="21">IF(Y35="","",MOD(DEGREES(ATAN2(Y35,Z35)),360))</f>
        <v>16.781877410210885</v>
      </c>
      <c r="AF35" s="17">
        <f t="shared" ref="AF35:AF74" si="22">IF(Y35="","",MOD(F35+AE35,360))</f>
        <v>16.345559570210884</v>
      </c>
    </row>
    <row r="36" spans="1:32" x14ac:dyDescent="0.25">
      <c r="A36" s="14">
        <v>34</v>
      </c>
      <c r="B36" t="s">
        <v>61</v>
      </c>
      <c r="C36">
        <v>330</v>
      </c>
      <c r="D36">
        <v>4</v>
      </c>
      <c r="E36">
        <v>-0.43607489999999999</v>
      </c>
      <c r="F36">
        <v>-0.4306912</v>
      </c>
      <c r="G36">
        <v>-5.3836999999999999E-3</v>
      </c>
      <c r="H36">
        <v>0.52310791999999995</v>
      </c>
      <c r="I36">
        <v>0.52473890000000001</v>
      </c>
      <c r="J36">
        <v>-1.6309600000000001E-3</v>
      </c>
      <c r="K36">
        <v>25.31</v>
      </c>
      <c r="L36">
        <v>25.32</v>
      </c>
      <c r="M36">
        <v>-0.01</v>
      </c>
      <c r="N36">
        <v>6.8921200000000002E-2</v>
      </c>
      <c r="O36">
        <v>6.9037899999999999E-3</v>
      </c>
      <c r="P36">
        <v>6.2017410000000002E-2</v>
      </c>
      <c r="Q36">
        <v>1.4893999999999999E-2</v>
      </c>
      <c r="R36">
        <v>-4.8451700000000002E-3</v>
      </c>
      <c r="S36">
        <v>1.9739179999999999E-2</v>
      </c>
      <c r="U36" s="15">
        <f t="shared" si="13"/>
        <v>2.6918499999999956E-3</v>
      </c>
      <c r="V36" s="15">
        <f t="shared" si="14"/>
        <v>-8.154900000000298E-4</v>
      </c>
      <c r="W36" s="15"/>
      <c r="X36" s="15"/>
      <c r="Y36" s="16">
        <f t="shared" si="15"/>
        <v>6.8921200000000002E-2</v>
      </c>
      <c r="Z36" s="16">
        <f t="shared" si="16"/>
        <v>1.4893999999999999E-2</v>
      </c>
      <c r="AA36" s="16">
        <f t="shared" si="17"/>
        <v>6.9037899999999999E-3</v>
      </c>
      <c r="AB36" s="16">
        <f t="shared" si="18"/>
        <v>-4.8451700000000002E-3</v>
      </c>
      <c r="AC36" s="17">
        <f t="shared" si="19"/>
        <v>4.0434038381931972</v>
      </c>
      <c r="AD36" s="17">
        <f t="shared" si="20"/>
        <v>0.4832574664605413</v>
      </c>
      <c r="AE36" s="17">
        <f t="shared" si="21"/>
        <v>12.194209465653516</v>
      </c>
      <c r="AF36" s="17">
        <f t="shared" si="22"/>
        <v>11.763518265653516</v>
      </c>
    </row>
    <row r="37" spans="1:32" x14ac:dyDescent="0.25">
      <c r="A37" s="14">
        <v>35</v>
      </c>
      <c r="B37" t="s">
        <v>61</v>
      </c>
      <c r="C37">
        <v>340</v>
      </c>
      <c r="D37">
        <v>6</v>
      </c>
      <c r="E37">
        <v>-0.42860924</v>
      </c>
      <c r="F37">
        <v>-0.42435516000000001</v>
      </c>
      <c r="G37">
        <v>-4.2541000000000002E-3</v>
      </c>
      <c r="H37">
        <v>0.53697320000000004</v>
      </c>
      <c r="I37">
        <v>0.54336923999999998</v>
      </c>
      <c r="J37">
        <v>-6.3960600000000003E-3</v>
      </c>
      <c r="K37">
        <v>25.28</v>
      </c>
      <c r="L37">
        <v>25.29</v>
      </c>
      <c r="M37">
        <v>-0.01</v>
      </c>
      <c r="N37">
        <v>7.0188329999999993E-2</v>
      </c>
      <c r="O37">
        <v>5.7923000000000002E-3</v>
      </c>
      <c r="P37">
        <v>6.4396019999999998E-2</v>
      </c>
      <c r="Q37">
        <v>9.9698200000000008E-3</v>
      </c>
      <c r="R37">
        <v>-1.7646E-4</v>
      </c>
      <c r="S37">
        <v>1.0146280000000001E-2</v>
      </c>
      <c r="U37" s="15">
        <f t="shared" si="13"/>
        <v>2.1270399999999967E-3</v>
      </c>
      <c r="V37" s="15">
        <f t="shared" si="14"/>
        <v>-3.1980199999999681E-3</v>
      </c>
      <c r="W37" s="15"/>
      <c r="X37" s="15"/>
      <c r="Y37" s="16">
        <f t="shared" si="15"/>
        <v>7.0188329999999993E-2</v>
      </c>
      <c r="Z37" s="16">
        <f t="shared" si="16"/>
        <v>9.9698200000000008E-3</v>
      </c>
      <c r="AA37" s="16">
        <f t="shared" si="17"/>
        <v>5.7923000000000002E-3</v>
      </c>
      <c r="AB37" s="16">
        <f t="shared" si="18"/>
        <v>-1.7646E-4</v>
      </c>
      <c r="AC37" s="17">
        <f t="shared" si="19"/>
        <v>4.0652723016858348</v>
      </c>
      <c r="AD37" s="17">
        <f t="shared" si="20"/>
        <v>0.33203017109963223</v>
      </c>
      <c r="AE37" s="17">
        <f t="shared" si="21"/>
        <v>8.0844303856487052</v>
      </c>
      <c r="AF37" s="17">
        <f t="shared" si="22"/>
        <v>7.660075225648705</v>
      </c>
    </row>
    <row r="38" spans="1:32" x14ac:dyDescent="0.25">
      <c r="A38" s="14">
        <v>36</v>
      </c>
      <c r="B38" t="s">
        <v>61</v>
      </c>
      <c r="C38">
        <v>350</v>
      </c>
      <c r="D38">
        <v>4</v>
      </c>
      <c r="E38">
        <v>-0.43087216</v>
      </c>
      <c r="F38">
        <v>-0.42534959999999999</v>
      </c>
      <c r="G38">
        <v>-5.52258E-3</v>
      </c>
      <c r="H38">
        <v>0.53812875999999998</v>
      </c>
      <c r="I38">
        <v>0.53701200000000004</v>
      </c>
      <c r="J38">
        <v>1.1167499999999999E-3</v>
      </c>
      <c r="K38">
        <v>25.36</v>
      </c>
      <c r="L38">
        <v>25.34</v>
      </c>
      <c r="M38">
        <v>0.01</v>
      </c>
      <c r="N38">
        <v>7.0938929999999997E-2</v>
      </c>
      <c r="O38">
        <v>5.6202200000000004E-3</v>
      </c>
      <c r="P38">
        <v>6.5318710000000002E-2</v>
      </c>
      <c r="Q38">
        <v>4.3365499999999998E-3</v>
      </c>
      <c r="R38">
        <v>5.4738399999999998E-3</v>
      </c>
      <c r="S38">
        <v>-1.13729E-3</v>
      </c>
      <c r="U38" s="15">
        <f t="shared" si="13"/>
        <v>2.7612800000000048E-3</v>
      </c>
      <c r="V38" s="15">
        <f t="shared" si="14"/>
        <v>5.5837999999996946E-4</v>
      </c>
      <c r="W38" s="15"/>
      <c r="X38" s="15"/>
      <c r="Y38" s="16">
        <f t="shared" si="15"/>
        <v>7.0938929999999997E-2</v>
      </c>
      <c r="Z38" s="16">
        <f t="shared" si="16"/>
        <v>4.3365499999999998E-3</v>
      </c>
      <c r="AA38" s="16">
        <f t="shared" si="17"/>
        <v>5.6202200000000004E-3</v>
      </c>
      <c r="AB38" s="16">
        <f t="shared" si="18"/>
        <v>5.4738399999999998E-3</v>
      </c>
      <c r="AC38" s="17">
        <f t="shared" si="19"/>
        <v>4.0755245961141169</v>
      </c>
      <c r="AD38" s="17">
        <f t="shared" si="20"/>
        <v>0.44951107962959241</v>
      </c>
      <c r="AE38" s="17">
        <f t="shared" si="21"/>
        <v>3.4981807807545384</v>
      </c>
      <c r="AF38" s="17">
        <f t="shared" si="22"/>
        <v>3.0728311807545383</v>
      </c>
    </row>
    <row r="39" spans="1:32" x14ac:dyDescent="0.25">
      <c r="A39" s="19">
        <v>37</v>
      </c>
      <c r="B39" s="23" t="s">
        <v>62</v>
      </c>
      <c r="C39" s="23">
        <v>0</v>
      </c>
      <c r="D39" s="23">
        <v>1</v>
      </c>
      <c r="E39" s="23">
        <v>-0.44105810000000001</v>
      </c>
      <c r="F39" s="23">
        <v>-0.43685760000000001</v>
      </c>
      <c r="G39" s="23">
        <v>-4.2004900000000003E-3</v>
      </c>
      <c r="H39" s="23">
        <v>0.51549124000000002</v>
      </c>
      <c r="I39" s="23">
        <v>0.5181578</v>
      </c>
      <c r="J39" s="23">
        <v>-2.6665299999999999E-3</v>
      </c>
      <c r="K39" s="23">
        <v>25.45</v>
      </c>
      <c r="L39" s="23">
        <v>25.44</v>
      </c>
      <c r="M39" s="23">
        <v>0.01</v>
      </c>
      <c r="N39" s="23">
        <v>6.9386390000000006E-2</v>
      </c>
      <c r="O39" s="23">
        <v>5.5053699999999999E-3</v>
      </c>
      <c r="P39" s="23">
        <v>6.3881019999999997E-2</v>
      </c>
      <c r="Q39" s="23">
        <v>-2.6688599999999999E-3</v>
      </c>
      <c r="R39" s="23">
        <v>1.2672930000000001E-2</v>
      </c>
      <c r="S39" s="23">
        <v>-1.5341799999999999E-2</v>
      </c>
      <c r="T39" s="23"/>
      <c r="U39" s="20">
        <f t="shared" si="13"/>
        <v>2.100249999999998E-3</v>
      </c>
      <c r="V39" s="20">
        <f t="shared" si="14"/>
        <v>-1.3332799999999922E-3</v>
      </c>
      <c r="W39" s="20"/>
      <c r="X39" s="20"/>
      <c r="Y39" s="21">
        <f t="shared" si="15"/>
        <v>6.9386390000000006E-2</v>
      </c>
      <c r="Z39" s="21">
        <f t="shared" si="16"/>
        <v>-2.6688599999999999E-3</v>
      </c>
      <c r="AA39" s="21">
        <f t="shared" si="17"/>
        <v>5.5053699999999999E-3</v>
      </c>
      <c r="AB39" s="21">
        <f t="shared" si="18"/>
        <v>1.2672930000000001E-2</v>
      </c>
      <c r="AC39" s="22">
        <f t="shared" si="19"/>
        <v>3.9816911107660449</v>
      </c>
      <c r="AD39" s="22">
        <f t="shared" si="20"/>
        <v>0.79168670943442077</v>
      </c>
      <c r="AE39" s="22">
        <f t="shared" si="21"/>
        <v>357.7972759388839</v>
      </c>
      <c r="AF39" s="22">
        <f t="shared" si="22"/>
        <v>357.3604183388839</v>
      </c>
    </row>
    <row r="40" spans="1:32" x14ac:dyDescent="0.25">
      <c r="A40" s="14">
        <v>38</v>
      </c>
      <c r="B40" t="s">
        <v>62</v>
      </c>
      <c r="C40">
        <v>10</v>
      </c>
      <c r="D40">
        <v>5</v>
      </c>
      <c r="E40">
        <v>-0.43684139999999999</v>
      </c>
      <c r="F40">
        <v>-0.43181923999999999</v>
      </c>
      <c r="G40">
        <v>-5.0221399999999996E-3</v>
      </c>
      <c r="H40">
        <v>0.52555452000000002</v>
      </c>
      <c r="I40">
        <v>0.52719629999999995</v>
      </c>
      <c r="J40">
        <v>-1.64175E-3</v>
      </c>
      <c r="K40">
        <v>25.36</v>
      </c>
      <c r="L40">
        <v>25.34</v>
      </c>
      <c r="M40">
        <v>0.02</v>
      </c>
      <c r="N40">
        <v>6.833968E-2</v>
      </c>
      <c r="O40">
        <v>7.4519900000000003E-3</v>
      </c>
      <c r="P40">
        <v>6.0887700000000003E-2</v>
      </c>
      <c r="Q40">
        <v>-7.6605600000000003E-3</v>
      </c>
      <c r="R40">
        <v>1.704785E-2</v>
      </c>
      <c r="S40">
        <v>-2.470841E-2</v>
      </c>
      <c r="U40" s="15">
        <f t="shared" si="13"/>
        <v>2.5110799999999989E-3</v>
      </c>
      <c r="V40" s="15">
        <f t="shared" si="14"/>
        <v>-8.2088999999996304E-4</v>
      </c>
      <c r="W40" s="15"/>
      <c r="X40" s="15"/>
      <c r="Y40" s="16">
        <f t="shared" si="15"/>
        <v>6.833968E-2</v>
      </c>
      <c r="Z40" s="16">
        <f t="shared" si="16"/>
        <v>-7.6605600000000003E-3</v>
      </c>
      <c r="AA40" s="16">
        <f t="shared" si="17"/>
        <v>7.4519900000000003E-3</v>
      </c>
      <c r="AB40" s="16">
        <f t="shared" si="18"/>
        <v>1.704785E-2</v>
      </c>
      <c r="AC40" s="17">
        <f t="shared" si="19"/>
        <v>3.9432108387849487</v>
      </c>
      <c r="AD40" s="17">
        <f t="shared" si="20"/>
        <v>1.0660730781815477</v>
      </c>
      <c r="AE40" s="17">
        <f t="shared" si="21"/>
        <v>353.60410955904086</v>
      </c>
      <c r="AF40" s="17">
        <f t="shared" si="22"/>
        <v>353.17229031904088</v>
      </c>
    </row>
    <row r="41" spans="1:32" x14ac:dyDescent="0.25">
      <c r="A41" s="14">
        <v>39</v>
      </c>
      <c r="B41" t="s">
        <v>62</v>
      </c>
      <c r="C41">
        <v>20</v>
      </c>
      <c r="D41">
        <v>5</v>
      </c>
      <c r="E41">
        <v>-0.43278455999999998</v>
      </c>
      <c r="F41">
        <v>-0.42644779999999999</v>
      </c>
      <c r="G41">
        <v>-6.3367800000000002E-3</v>
      </c>
      <c r="H41">
        <v>0.53224649999999996</v>
      </c>
      <c r="I41">
        <v>0.53114784000000004</v>
      </c>
      <c r="J41">
        <v>1.09863E-3</v>
      </c>
      <c r="K41">
        <v>25.4</v>
      </c>
      <c r="L41">
        <v>25.39</v>
      </c>
      <c r="M41">
        <v>0</v>
      </c>
      <c r="N41">
        <v>6.5910079999999996E-2</v>
      </c>
      <c r="O41">
        <v>1.0243E-2</v>
      </c>
      <c r="P41">
        <v>5.5667080000000001E-2</v>
      </c>
      <c r="Q41">
        <v>-1.2712319999999999E-2</v>
      </c>
      <c r="R41">
        <v>2.2001219999999998E-2</v>
      </c>
      <c r="S41">
        <v>-3.4713540000000001E-2</v>
      </c>
      <c r="U41" s="15">
        <f t="shared" si="13"/>
        <v>3.1683799999999984E-3</v>
      </c>
      <c r="V41" s="15">
        <f t="shared" si="14"/>
        <v>5.4932999999995902E-4</v>
      </c>
      <c r="W41" s="15"/>
      <c r="X41" s="15"/>
      <c r="Y41" s="16">
        <f t="shared" si="15"/>
        <v>6.5910079999999996E-2</v>
      </c>
      <c r="Z41" s="16">
        <f t="shared" si="16"/>
        <v>-1.2712319999999999E-2</v>
      </c>
      <c r="AA41" s="16">
        <f t="shared" si="17"/>
        <v>1.0243E-2</v>
      </c>
      <c r="AB41" s="16">
        <f t="shared" si="18"/>
        <v>2.2001219999999998E-2</v>
      </c>
      <c r="AC41" s="17">
        <f t="shared" si="19"/>
        <v>3.8488630287263481</v>
      </c>
      <c r="AD41" s="17">
        <f t="shared" si="20"/>
        <v>1.3906340742920684</v>
      </c>
      <c r="AE41" s="17">
        <f t="shared" si="21"/>
        <v>349.08320377108174</v>
      </c>
      <c r="AF41" s="17">
        <f t="shared" si="22"/>
        <v>348.65675597108174</v>
      </c>
    </row>
    <row r="42" spans="1:32" x14ac:dyDescent="0.25">
      <c r="A42" s="14">
        <v>40</v>
      </c>
      <c r="B42" t="s">
        <v>62</v>
      </c>
      <c r="C42">
        <v>30</v>
      </c>
      <c r="D42">
        <v>4</v>
      </c>
      <c r="E42">
        <v>-0.43523489999999998</v>
      </c>
      <c r="F42">
        <v>-0.43209115999999997</v>
      </c>
      <c r="G42">
        <v>-3.1437599999999998E-3</v>
      </c>
      <c r="H42">
        <v>0.53121220000000002</v>
      </c>
      <c r="I42">
        <v>0.52859959999999995</v>
      </c>
      <c r="J42">
        <v>2.6125900000000001E-3</v>
      </c>
      <c r="K42">
        <v>25.32</v>
      </c>
      <c r="L42">
        <v>25.31</v>
      </c>
      <c r="M42">
        <v>0.01</v>
      </c>
      <c r="N42">
        <v>6.1959739999999999E-2</v>
      </c>
      <c r="O42">
        <v>1.4105940000000001E-2</v>
      </c>
      <c r="P42">
        <v>4.7853800000000002E-2</v>
      </c>
      <c r="Q42">
        <v>-1.7209169999999999E-2</v>
      </c>
      <c r="R42">
        <v>2.6390589999999998E-2</v>
      </c>
      <c r="S42">
        <v>-4.3599760000000001E-2</v>
      </c>
      <c r="U42" s="15">
        <f t="shared" si="13"/>
        <v>1.571870000000003E-3</v>
      </c>
      <c r="V42" s="15">
        <f t="shared" si="14"/>
        <v>1.306300000000038E-3</v>
      </c>
      <c r="W42" s="15"/>
      <c r="X42" s="15"/>
      <c r="Y42" s="16">
        <f t="shared" si="15"/>
        <v>6.1959739999999999E-2</v>
      </c>
      <c r="Z42" s="16">
        <f t="shared" si="16"/>
        <v>-1.7209169999999999E-2</v>
      </c>
      <c r="AA42" s="16">
        <f t="shared" si="17"/>
        <v>1.4105940000000001E-2</v>
      </c>
      <c r="AB42" s="16">
        <f t="shared" si="18"/>
        <v>2.6390589999999998E-2</v>
      </c>
      <c r="AC42" s="17">
        <f t="shared" si="19"/>
        <v>3.6869633247105189</v>
      </c>
      <c r="AD42" s="17">
        <f t="shared" si="20"/>
        <v>1.7147701043371382</v>
      </c>
      <c r="AE42" s="17">
        <f t="shared" si="21"/>
        <v>344.47749342849892</v>
      </c>
      <c r="AF42" s="17">
        <f t="shared" si="22"/>
        <v>344.04540226849889</v>
      </c>
    </row>
    <row r="43" spans="1:32" x14ac:dyDescent="0.25">
      <c r="A43" s="14">
        <v>41</v>
      </c>
      <c r="B43" t="s">
        <v>62</v>
      </c>
      <c r="C43">
        <v>40</v>
      </c>
      <c r="D43">
        <v>5</v>
      </c>
      <c r="E43">
        <v>-0.43331448</v>
      </c>
      <c r="F43">
        <v>-0.43101296</v>
      </c>
      <c r="G43">
        <v>-2.3015100000000001E-3</v>
      </c>
      <c r="H43">
        <v>0.53799324000000004</v>
      </c>
      <c r="I43">
        <v>0.53323140000000002</v>
      </c>
      <c r="J43">
        <v>4.7618699999999996E-3</v>
      </c>
      <c r="K43">
        <v>25.3</v>
      </c>
      <c r="L43">
        <v>25.32</v>
      </c>
      <c r="M43">
        <v>-0.02</v>
      </c>
      <c r="N43">
        <v>5.8291500000000003E-2</v>
      </c>
      <c r="O43">
        <v>1.8441240000000001E-2</v>
      </c>
      <c r="P43">
        <v>3.9850259999999998E-2</v>
      </c>
      <c r="Q43">
        <v>-2.1182369999999999E-2</v>
      </c>
      <c r="R43">
        <v>3.0350829999999999E-2</v>
      </c>
      <c r="S43">
        <v>-5.1533200000000001E-2</v>
      </c>
      <c r="U43" s="15">
        <f t="shared" si="13"/>
        <v>1.1507600000000007E-3</v>
      </c>
      <c r="V43" s="15">
        <f t="shared" si="14"/>
        <v>2.3809200000000086E-3</v>
      </c>
      <c r="W43" s="15"/>
      <c r="X43" s="15"/>
      <c r="Y43" s="16">
        <f t="shared" si="15"/>
        <v>5.8291500000000003E-2</v>
      </c>
      <c r="Z43" s="16">
        <f t="shared" si="16"/>
        <v>-2.1182369999999999E-2</v>
      </c>
      <c r="AA43" s="16">
        <f t="shared" si="17"/>
        <v>1.8441240000000001E-2</v>
      </c>
      <c r="AB43" s="16">
        <f t="shared" si="18"/>
        <v>3.0350829999999999E-2</v>
      </c>
      <c r="AC43" s="17">
        <f t="shared" si="19"/>
        <v>3.5558178081935874</v>
      </c>
      <c r="AD43" s="17">
        <f t="shared" si="20"/>
        <v>2.0352367592614136</v>
      </c>
      <c r="AE43" s="17">
        <f t="shared" si="21"/>
        <v>340.02951623564576</v>
      </c>
      <c r="AF43" s="17">
        <f t="shared" si="22"/>
        <v>339.59850327564578</v>
      </c>
    </row>
    <row r="44" spans="1:32" x14ac:dyDescent="0.25">
      <c r="A44" s="14">
        <v>42</v>
      </c>
      <c r="B44" t="s">
        <v>62</v>
      </c>
      <c r="C44">
        <v>50</v>
      </c>
      <c r="D44">
        <v>4</v>
      </c>
      <c r="E44">
        <v>-0.43965589999999999</v>
      </c>
      <c r="F44">
        <v>-0.43618508</v>
      </c>
      <c r="G44">
        <v>-3.4708400000000002E-3</v>
      </c>
      <c r="H44">
        <v>0.52587450000000002</v>
      </c>
      <c r="I44">
        <v>0.52000369999999996</v>
      </c>
      <c r="J44">
        <v>5.8708199999999997E-3</v>
      </c>
      <c r="K44">
        <v>25.34</v>
      </c>
      <c r="L44">
        <v>25.35</v>
      </c>
      <c r="M44">
        <v>-0.01</v>
      </c>
      <c r="N44">
        <v>5.3658339999999999E-2</v>
      </c>
      <c r="O44">
        <v>2.2696939999999999E-2</v>
      </c>
      <c r="P44">
        <v>3.0961410000000002E-2</v>
      </c>
      <c r="Q44">
        <v>-2.4267070000000002E-2</v>
      </c>
      <c r="R44">
        <v>3.3393140000000002E-2</v>
      </c>
      <c r="S44">
        <v>-5.7660219999999998E-2</v>
      </c>
      <c r="U44" s="15">
        <f t="shared" si="13"/>
        <v>1.7354099999999928E-3</v>
      </c>
      <c r="V44" s="15">
        <f t="shared" si="14"/>
        <v>2.9354000000000324E-3</v>
      </c>
      <c r="W44" s="15"/>
      <c r="X44" s="15"/>
      <c r="Y44" s="16">
        <f t="shared" si="15"/>
        <v>5.3658339999999999E-2</v>
      </c>
      <c r="Z44" s="16">
        <f t="shared" si="16"/>
        <v>-2.4267070000000002E-2</v>
      </c>
      <c r="AA44" s="16">
        <f t="shared" si="17"/>
        <v>2.2696939999999999E-2</v>
      </c>
      <c r="AB44" s="16">
        <f t="shared" si="18"/>
        <v>3.3393140000000002E-2</v>
      </c>
      <c r="AC44" s="17">
        <f t="shared" si="19"/>
        <v>3.3761388351693746</v>
      </c>
      <c r="AD44" s="17">
        <f t="shared" si="20"/>
        <v>2.3140257814738372</v>
      </c>
      <c r="AE44" s="17">
        <f t="shared" si="21"/>
        <v>335.66506275574557</v>
      </c>
      <c r="AF44" s="17">
        <f t="shared" si="22"/>
        <v>335.22887767574559</v>
      </c>
    </row>
    <row r="45" spans="1:32" x14ac:dyDescent="0.25">
      <c r="A45" s="14">
        <v>43</v>
      </c>
      <c r="B45" t="s">
        <v>62</v>
      </c>
      <c r="C45">
        <v>60</v>
      </c>
      <c r="D45">
        <v>1</v>
      </c>
      <c r="E45">
        <v>-0.43843280000000001</v>
      </c>
      <c r="F45">
        <v>-0.44418303999999997</v>
      </c>
      <c r="G45">
        <v>5.7502400000000002E-3</v>
      </c>
      <c r="H45">
        <v>0.50745770000000001</v>
      </c>
      <c r="I45">
        <v>0.50791629999999999</v>
      </c>
      <c r="J45">
        <v>-4.5859999999999998E-4</v>
      </c>
      <c r="K45">
        <v>25.51</v>
      </c>
      <c r="L45">
        <v>25.5</v>
      </c>
      <c r="M45">
        <v>0.02</v>
      </c>
      <c r="N45">
        <v>4.5526530000000003E-2</v>
      </c>
      <c r="O45">
        <v>2.7732340000000001E-2</v>
      </c>
      <c r="P45">
        <v>1.7794190000000001E-2</v>
      </c>
      <c r="Q45">
        <v>-2.716675E-2</v>
      </c>
      <c r="R45">
        <v>3.639974E-2</v>
      </c>
      <c r="S45">
        <v>-6.3566490000000003E-2</v>
      </c>
      <c r="U45" s="15">
        <f t="shared" si="13"/>
        <v>-2.875119999999981E-3</v>
      </c>
      <c r="V45" s="15">
        <f t="shared" si="14"/>
        <v>-2.2929999999998785E-4</v>
      </c>
      <c r="W45" s="15"/>
      <c r="X45" s="15"/>
      <c r="Y45" s="16">
        <f t="shared" si="15"/>
        <v>4.5526530000000003E-2</v>
      </c>
      <c r="Z45" s="16">
        <f t="shared" si="16"/>
        <v>-2.716675E-2</v>
      </c>
      <c r="AA45" s="16">
        <f t="shared" si="17"/>
        <v>2.7732340000000001E-2</v>
      </c>
      <c r="AB45" s="16">
        <f t="shared" si="18"/>
        <v>3.639974E-2</v>
      </c>
      <c r="AC45" s="17">
        <f t="shared" si="19"/>
        <v>3.0390183401698558</v>
      </c>
      <c r="AD45" s="17">
        <f t="shared" si="20"/>
        <v>2.6227996760255472</v>
      </c>
      <c r="AE45" s="17">
        <f t="shared" si="21"/>
        <v>329.17447980988328</v>
      </c>
      <c r="AF45" s="17">
        <f t="shared" si="22"/>
        <v>328.7302967698833</v>
      </c>
    </row>
    <row r="46" spans="1:32" x14ac:dyDescent="0.25">
      <c r="A46" s="14">
        <v>44</v>
      </c>
      <c r="B46" t="s">
        <v>62</v>
      </c>
      <c r="C46">
        <v>70</v>
      </c>
      <c r="D46">
        <v>2</v>
      </c>
      <c r="E46">
        <v>-0.42233275999999997</v>
      </c>
      <c r="F46">
        <v>-0.42562460000000002</v>
      </c>
      <c r="G46">
        <v>3.2918499999999998E-3</v>
      </c>
      <c r="H46">
        <v>0.54849992000000003</v>
      </c>
      <c r="I46">
        <v>0.54347060000000003</v>
      </c>
      <c r="J46">
        <v>5.0293200000000003E-3</v>
      </c>
      <c r="K46">
        <v>25.26</v>
      </c>
      <c r="L46">
        <v>25.26</v>
      </c>
      <c r="M46">
        <v>-0.01</v>
      </c>
      <c r="N46">
        <v>4.3718460000000001E-2</v>
      </c>
      <c r="O46">
        <v>3.3079829999999998E-2</v>
      </c>
      <c r="P46">
        <v>1.063863E-2</v>
      </c>
      <c r="Q46">
        <v>-2.779032E-2</v>
      </c>
      <c r="R46">
        <v>3.6791789999999998E-2</v>
      </c>
      <c r="S46">
        <v>-6.4582109999999998E-2</v>
      </c>
      <c r="U46" s="15">
        <f t="shared" si="13"/>
        <v>-1.6459200000000229E-3</v>
      </c>
      <c r="V46" s="15">
        <f t="shared" si="14"/>
        <v>2.5146600000000019E-3</v>
      </c>
      <c r="W46" s="15"/>
      <c r="X46" s="15"/>
      <c r="Y46" s="16">
        <f t="shared" si="15"/>
        <v>4.3718460000000001E-2</v>
      </c>
      <c r="Z46" s="16">
        <f t="shared" si="16"/>
        <v>-2.779032E-2</v>
      </c>
      <c r="AA46" s="16">
        <f t="shared" si="17"/>
        <v>3.3079829999999998E-2</v>
      </c>
      <c r="AB46" s="16">
        <f t="shared" si="18"/>
        <v>3.6791789999999998E-2</v>
      </c>
      <c r="AC46" s="17">
        <f t="shared" si="19"/>
        <v>2.9694527343817176</v>
      </c>
      <c r="AD46" s="17">
        <f t="shared" si="20"/>
        <v>2.8359448837662042</v>
      </c>
      <c r="AE46" s="17">
        <f t="shared" si="21"/>
        <v>327.55728444348682</v>
      </c>
      <c r="AF46" s="17">
        <f t="shared" si="22"/>
        <v>327.13165984348683</v>
      </c>
    </row>
    <row r="47" spans="1:32" x14ac:dyDescent="0.25">
      <c r="A47" s="14">
        <v>45</v>
      </c>
      <c r="B47" t="s">
        <v>62</v>
      </c>
      <c r="C47">
        <v>80</v>
      </c>
      <c r="D47">
        <v>8</v>
      </c>
      <c r="E47">
        <v>-0.43325580000000002</v>
      </c>
      <c r="F47">
        <v>-0.43379644000000001</v>
      </c>
      <c r="G47">
        <v>5.4060999999999996E-4</v>
      </c>
      <c r="H47">
        <v>0.53566849999999999</v>
      </c>
      <c r="I47">
        <v>0.52739840000000004</v>
      </c>
      <c r="J47">
        <v>8.2700800000000008E-3</v>
      </c>
      <c r="K47">
        <v>25.34</v>
      </c>
      <c r="L47">
        <v>25.31</v>
      </c>
      <c r="M47">
        <v>0.02</v>
      </c>
      <c r="N47">
        <v>3.6987920000000001E-2</v>
      </c>
      <c r="O47">
        <v>3.9214180000000001E-2</v>
      </c>
      <c r="P47">
        <v>-2.2262599999999999E-3</v>
      </c>
      <c r="Q47">
        <v>-2.8306939999999999E-2</v>
      </c>
      <c r="R47">
        <v>3.7469130000000003E-2</v>
      </c>
      <c r="S47">
        <v>-6.5776059999999997E-2</v>
      </c>
      <c r="U47" s="15">
        <f t="shared" si="13"/>
        <v>-2.7031999999999057E-4</v>
      </c>
      <c r="V47" s="15">
        <f t="shared" si="14"/>
        <v>4.1350499999999735E-3</v>
      </c>
      <c r="W47" s="15"/>
      <c r="X47" s="15"/>
      <c r="Y47" s="16">
        <f t="shared" si="15"/>
        <v>3.6987920000000001E-2</v>
      </c>
      <c r="Z47" s="16">
        <f t="shared" si="16"/>
        <v>-2.8306939999999999E-2</v>
      </c>
      <c r="AA47" s="16">
        <f t="shared" si="17"/>
        <v>3.9214180000000001E-2</v>
      </c>
      <c r="AB47" s="16">
        <f t="shared" si="18"/>
        <v>3.7469130000000003E-2</v>
      </c>
      <c r="AC47" s="17">
        <f t="shared" si="19"/>
        <v>2.6696142248148669</v>
      </c>
      <c r="AD47" s="17">
        <f t="shared" si="20"/>
        <v>3.1090955201739141</v>
      </c>
      <c r="AE47" s="17">
        <f t="shared" si="21"/>
        <v>322.57308699962817</v>
      </c>
      <c r="AF47" s="17">
        <f t="shared" si="22"/>
        <v>322.13929055962819</v>
      </c>
    </row>
    <row r="48" spans="1:32" x14ac:dyDescent="0.25">
      <c r="A48" s="14">
        <v>46</v>
      </c>
      <c r="B48" t="s">
        <v>62</v>
      </c>
      <c r="C48">
        <v>90</v>
      </c>
      <c r="D48">
        <v>5</v>
      </c>
      <c r="E48">
        <v>-0.43614268</v>
      </c>
      <c r="F48">
        <v>-0.43695432000000001</v>
      </c>
      <c r="G48">
        <v>8.1163999999999997E-4</v>
      </c>
      <c r="H48">
        <v>0.52580431999999999</v>
      </c>
      <c r="I48">
        <v>0.51948804000000004</v>
      </c>
      <c r="J48">
        <v>6.3163000000000004E-3</v>
      </c>
      <c r="K48">
        <v>25.43</v>
      </c>
      <c r="L48">
        <v>25.43</v>
      </c>
      <c r="M48">
        <v>0</v>
      </c>
      <c r="N48">
        <v>3.0985349999999998E-2</v>
      </c>
      <c r="O48">
        <v>4.4984940000000001E-2</v>
      </c>
      <c r="P48">
        <v>-1.3999589999999999E-2</v>
      </c>
      <c r="Q48">
        <v>-2.74025E-2</v>
      </c>
      <c r="R48">
        <v>3.6666499999999998E-2</v>
      </c>
      <c r="S48">
        <v>-6.4069009999999996E-2</v>
      </c>
      <c r="U48" s="15">
        <f t="shared" si="13"/>
        <v>-4.0582000000000118E-4</v>
      </c>
      <c r="V48" s="15">
        <f t="shared" si="14"/>
        <v>3.158139999999976E-3</v>
      </c>
      <c r="W48" s="15"/>
      <c r="X48" s="15"/>
      <c r="Y48" s="16">
        <f t="shared" si="15"/>
        <v>3.0985349999999998E-2</v>
      </c>
      <c r="Z48" s="16">
        <f t="shared" si="16"/>
        <v>-2.74025E-2</v>
      </c>
      <c r="AA48" s="16">
        <f t="shared" si="17"/>
        <v>4.4984940000000001E-2</v>
      </c>
      <c r="AB48" s="16">
        <f t="shared" si="18"/>
        <v>3.6666499999999998E-2</v>
      </c>
      <c r="AC48" s="17">
        <f t="shared" si="19"/>
        <v>2.3706648168930395</v>
      </c>
      <c r="AD48" s="17">
        <f t="shared" si="20"/>
        <v>3.3270377805518838</v>
      </c>
      <c r="AE48" s="17">
        <f t="shared" si="21"/>
        <v>318.51143443326964</v>
      </c>
      <c r="AF48" s="17">
        <f t="shared" si="22"/>
        <v>318.07448011326966</v>
      </c>
    </row>
    <row r="49" spans="1:32" x14ac:dyDescent="0.25">
      <c r="A49" s="14">
        <v>47</v>
      </c>
      <c r="B49" t="s">
        <v>62</v>
      </c>
      <c r="C49">
        <v>100</v>
      </c>
      <c r="D49">
        <v>3</v>
      </c>
      <c r="E49">
        <v>-0.42789663999999999</v>
      </c>
      <c r="F49">
        <v>-0.43172430000000001</v>
      </c>
      <c r="G49">
        <v>3.8276600000000001E-3</v>
      </c>
      <c r="H49">
        <v>0.54082196000000005</v>
      </c>
      <c r="I49">
        <v>0.53420232000000001</v>
      </c>
      <c r="J49">
        <v>6.6196299999999996E-3</v>
      </c>
      <c r="K49">
        <v>25.14</v>
      </c>
      <c r="L49">
        <v>25.17</v>
      </c>
      <c r="M49">
        <v>-0.04</v>
      </c>
      <c r="N49">
        <v>2.5834280000000001E-2</v>
      </c>
      <c r="O49">
        <v>5.0262580000000001E-2</v>
      </c>
      <c r="P49">
        <v>-2.44283E-2</v>
      </c>
      <c r="Q49">
        <v>-2.5765920000000001E-2</v>
      </c>
      <c r="R49">
        <v>3.5307079999999998E-2</v>
      </c>
      <c r="S49">
        <v>-6.1073000000000002E-2</v>
      </c>
      <c r="U49" s="15">
        <f t="shared" si="13"/>
        <v>-1.9138300000000052E-3</v>
      </c>
      <c r="V49" s="15">
        <f t="shared" si="14"/>
        <v>3.3098200000000189E-3</v>
      </c>
      <c r="W49" s="15"/>
      <c r="X49" s="15"/>
      <c r="Y49" s="16">
        <f t="shared" si="15"/>
        <v>2.5834280000000001E-2</v>
      </c>
      <c r="Z49" s="16">
        <f t="shared" si="16"/>
        <v>-2.5765920000000001E-2</v>
      </c>
      <c r="AA49" s="16">
        <f t="shared" si="17"/>
        <v>5.0262580000000001E-2</v>
      </c>
      <c r="AB49" s="16">
        <f t="shared" si="18"/>
        <v>3.5307079999999998E-2</v>
      </c>
      <c r="AC49" s="17">
        <f t="shared" si="19"/>
        <v>2.0910085560298928</v>
      </c>
      <c r="AD49" s="17">
        <f t="shared" si="20"/>
        <v>3.5215569866152681</v>
      </c>
      <c r="AE49" s="17">
        <f t="shared" si="21"/>
        <v>315.07590546540706</v>
      </c>
      <c r="AF49" s="17">
        <f t="shared" si="22"/>
        <v>314.64418116540708</v>
      </c>
    </row>
    <row r="50" spans="1:32" x14ac:dyDescent="0.25">
      <c r="A50" s="14">
        <v>48</v>
      </c>
      <c r="B50" t="s">
        <v>62</v>
      </c>
      <c r="C50">
        <v>110</v>
      </c>
      <c r="D50">
        <v>1</v>
      </c>
      <c r="E50">
        <v>-0.43731596</v>
      </c>
      <c r="F50">
        <v>-0.43436604000000001</v>
      </c>
      <c r="G50">
        <v>-2.94992E-3</v>
      </c>
      <c r="H50">
        <v>0.52699907999999995</v>
      </c>
      <c r="I50">
        <v>0.52513284000000005</v>
      </c>
      <c r="J50">
        <v>1.86622E-3</v>
      </c>
      <c r="K50">
        <v>25.36</v>
      </c>
      <c r="L50">
        <v>25.4</v>
      </c>
      <c r="M50">
        <v>-0.04</v>
      </c>
      <c r="N50">
        <v>2.0552569999999999E-2</v>
      </c>
      <c r="O50">
        <v>5.5441490000000003E-2</v>
      </c>
      <c r="P50">
        <v>-3.4888919999999997E-2</v>
      </c>
      <c r="Q50">
        <v>-2.3333329999999999E-2</v>
      </c>
      <c r="R50">
        <v>3.3120120000000003E-2</v>
      </c>
      <c r="S50">
        <v>-5.6453450000000002E-2</v>
      </c>
      <c r="U50" s="15">
        <f t="shared" si="13"/>
        <v>1.4749599999999974E-3</v>
      </c>
      <c r="V50" s="15">
        <f t="shared" si="14"/>
        <v>9.3311999999995399E-4</v>
      </c>
      <c r="W50" s="15"/>
      <c r="X50" s="15"/>
      <c r="Y50" s="16">
        <f t="shared" si="15"/>
        <v>2.0552569999999999E-2</v>
      </c>
      <c r="Z50" s="16">
        <f t="shared" si="16"/>
        <v>-2.3333329999999999E-2</v>
      </c>
      <c r="AA50" s="16">
        <f t="shared" si="17"/>
        <v>5.5441490000000003E-2</v>
      </c>
      <c r="AB50" s="16">
        <f t="shared" si="18"/>
        <v>3.3120120000000003E-2</v>
      </c>
      <c r="AC50" s="17">
        <f t="shared" si="19"/>
        <v>1.781856539202092</v>
      </c>
      <c r="AD50" s="17">
        <f t="shared" si="20"/>
        <v>3.7027937078762441</v>
      </c>
      <c r="AE50" s="17">
        <f t="shared" si="21"/>
        <v>311.37439138361117</v>
      </c>
      <c r="AF50" s="17">
        <f t="shared" si="22"/>
        <v>310.94002534361118</v>
      </c>
    </row>
    <row r="51" spans="1:32" x14ac:dyDescent="0.25">
      <c r="A51" s="14">
        <v>49</v>
      </c>
      <c r="B51" t="s">
        <v>62</v>
      </c>
      <c r="C51">
        <v>120</v>
      </c>
      <c r="D51">
        <v>1</v>
      </c>
      <c r="E51">
        <v>-0.43863256</v>
      </c>
      <c r="F51">
        <v>-0.44171616000000002</v>
      </c>
      <c r="G51">
        <v>3.08362E-3</v>
      </c>
      <c r="H51">
        <v>0.51862439999999999</v>
      </c>
      <c r="I51">
        <v>0.50627416000000003</v>
      </c>
      <c r="J51">
        <v>1.235026E-2</v>
      </c>
      <c r="K51">
        <v>25.52</v>
      </c>
      <c r="L51">
        <v>25.56</v>
      </c>
      <c r="M51">
        <v>-0.04</v>
      </c>
      <c r="N51">
        <v>1.4611000000000001E-2</v>
      </c>
      <c r="O51">
        <v>5.9626459999999999E-2</v>
      </c>
      <c r="P51">
        <v>-4.501546E-2</v>
      </c>
      <c r="Q51">
        <v>-1.9303379999999998E-2</v>
      </c>
      <c r="R51">
        <v>2.8930259999999999E-2</v>
      </c>
      <c r="S51">
        <v>-4.8233640000000001E-2</v>
      </c>
      <c r="U51" s="15">
        <f t="shared" si="13"/>
        <v>-1.5418000000000098E-3</v>
      </c>
      <c r="V51" s="15">
        <f t="shared" si="14"/>
        <v>6.1751199999999784E-3</v>
      </c>
      <c r="W51" s="15"/>
      <c r="X51" s="15"/>
      <c r="Y51" s="16">
        <f t="shared" si="15"/>
        <v>1.4611000000000001E-2</v>
      </c>
      <c r="Z51" s="16">
        <f t="shared" si="16"/>
        <v>-1.9303379999999998E-2</v>
      </c>
      <c r="AA51" s="16">
        <f t="shared" si="17"/>
        <v>5.9626459999999999E-2</v>
      </c>
      <c r="AB51" s="16">
        <f t="shared" si="18"/>
        <v>2.8930259999999999E-2</v>
      </c>
      <c r="AC51" s="17">
        <f t="shared" si="19"/>
        <v>1.3872399676421154</v>
      </c>
      <c r="AD51" s="17">
        <f t="shared" si="20"/>
        <v>3.8000194087738084</v>
      </c>
      <c r="AE51" s="17">
        <f t="shared" si="21"/>
        <v>307.12259162273415</v>
      </c>
      <c r="AF51" s="17">
        <f t="shared" si="22"/>
        <v>306.68087546273415</v>
      </c>
    </row>
    <row r="52" spans="1:32" x14ac:dyDescent="0.25">
      <c r="A52" s="14">
        <v>50</v>
      </c>
      <c r="B52" t="s">
        <v>62</v>
      </c>
      <c r="C52">
        <v>130</v>
      </c>
      <c r="D52">
        <v>3</v>
      </c>
      <c r="E52">
        <v>-0.43133840000000001</v>
      </c>
      <c r="F52">
        <v>-0.4369247</v>
      </c>
      <c r="G52">
        <v>5.5862999999999998E-3</v>
      </c>
      <c r="H52">
        <v>0.52819090000000002</v>
      </c>
      <c r="I52">
        <v>0.52093776000000003</v>
      </c>
      <c r="J52">
        <v>7.2531699999999998E-3</v>
      </c>
      <c r="K52">
        <v>25.45</v>
      </c>
      <c r="L52">
        <v>25.46</v>
      </c>
      <c r="M52">
        <v>-0.01</v>
      </c>
      <c r="N52">
        <v>1.223633E-2</v>
      </c>
      <c r="O52">
        <v>6.3690460000000004E-2</v>
      </c>
      <c r="P52">
        <v>-5.1454130000000001E-2</v>
      </c>
      <c r="Q52">
        <v>-1.5721840000000001E-2</v>
      </c>
      <c r="R52">
        <v>2.5313180000000001E-2</v>
      </c>
      <c r="S52">
        <v>-4.1035019999999998E-2</v>
      </c>
      <c r="U52" s="15">
        <f t="shared" si="13"/>
        <v>-2.7931499999999942E-3</v>
      </c>
      <c r="V52" s="15">
        <f t="shared" si="14"/>
        <v>3.6265699999999956E-3</v>
      </c>
      <c r="W52" s="15"/>
      <c r="X52" s="15"/>
      <c r="Y52" s="16">
        <f t="shared" si="15"/>
        <v>1.223633E-2</v>
      </c>
      <c r="Z52" s="16">
        <f t="shared" si="16"/>
        <v>-1.5721840000000001E-2</v>
      </c>
      <c r="AA52" s="16">
        <f t="shared" si="17"/>
        <v>6.3690460000000004E-2</v>
      </c>
      <c r="AB52" s="16">
        <f t="shared" si="18"/>
        <v>2.5313180000000001E-2</v>
      </c>
      <c r="AC52" s="17">
        <f t="shared" si="19"/>
        <v>1.1415478408144535</v>
      </c>
      <c r="AD52" s="17">
        <f t="shared" si="20"/>
        <v>3.9299245417717148</v>
      </c>
      <c r="AE52" s="17">
        <f t="shared" si="21"/>
        <v>307.89367186547122</v>
      </c>
      <c r="AF52" s="17">
        <f t="shared" si="22"/>
        <v>307.4567471654712</v>
      </c>
    </row>
    <row r="53" spans="1:32" x14ac:dyDescent="0.25">
      <c r="A53" s="14">
        <v>51</v>
      </c>
      <c r="B53" t="s">
        <v>62</v>
      </c>
      <c r="C53">
        <v>140</v>
      </c>
      <c r="D53">
        <v>5</v>
      </c>
      <c r="E53">
        <v>-0.42633771999999998</v>
      </c>
      <c r="F53">
        <v>-0.42848927999999997</v>
      </c>
      <c r="G53">
        <v>2.1515499999999999E-3</v>
      </c>
      <c r="H53">
        <v>0.54438288000000001</v>
      </c>
      <c r="I53">
        <v>0.5423578</v>
      </c>
      <c r="J53">
        <v>2.0250699999999999E-3</v>
      </c>
      <c r="K53">
        <v>25.33</v>
      </c>
      <c r="L53">
        <v>25.32</v>
      </c>
      <c r="M53">
        <v>0.01</v>
      </c>
      <c r="N53">
        <v>9.1147499999999996E-3</v>
      </c>
      <c r="O53">
        <v>6.7271330000000004E-2</v>
      </c>
      <c r="P53">
        <v>-5.8156579999999999E-2</v>
      </c>
      <c r="Q53">
        <v>-1.109945E-2</v>
      </c>
      <c r="R53">
        <v>2.0736979999999999E-2</v>
      </c>
      <c r="S53">
        <v>-3.1836429999999999E-2</v>
      </c>
      <c r="U53" s="15">
        <f t="shared" si="13"/>
        <v>-1.0757799999999984E-3</v>
      </c>
      <c r="V53" s="15">
        <f t="shared" si="14"/>
        <v>1.0125400000000062E-3</v>
      </c>
      <c r="W53" s="15"/>
      <c r="X53" s="15"/>
      <c r="Y53" s="16">
        <f t="shared" si="15"/>
        <v>9.1147499999999996E-3</v>
      </c>
      <c r="Z53" s="16">
        <f t="shared" si="16"/>
        <v>-1.109945E-2</v>
      </c>
      <c r="AA53" s="16">
        <f t="shared" si="17"/>
        <v>6.7271330000000004E-2</v>
      </c>
      <c r="AB53" s="16">
        <f t="shared" si="18"/>
        <v>2.0736979999999999E-2</v>
      </c>
      <c r="AC53" s="17">
        <f t="shared" si="19"/>
        <v>0.82292905646346526</v>
      </c>
      <c r="AD53" s="17">
        <f t="shared" si="20"/>
        <v>4.0366742664468704</v>
      </c>
      <c r="AE53" s="17">
        <f t="shared" si="21"/>
        <v>309.3924751408947</v>
      </c>
      <c r="AF53" s="17">
        <f t="shared" si="22"/>
        <v>308.9639858608947</v>
      </c>
    </row>
    <row r="54" spans="1:32" x14ac:dyDescent="0.25">
      <c r="A54" s="14">
        <v>52</v>
      </c>
      <c r="B54" t="s">
        <v>62</v>
      </c>
      <c r="C54">
        <v>150</v>
      </c>
      <c r="D54">
        <v>1</v>
      </c>
      <c r="E54">
        <v>-0.43074916000000002</v>
      </c>
      <c r="F54">
        <v>-0.43757390000000002</v>
      </c>
      <c r="G54">
        <v>6.82476E-3</v>
      </c>
      <c r="H54">
        <v>0.52668289999999995</v>
      </c>
      <c r="I54">
        <v>0.52339108000000001</v>
      </c>
      <c r="J54">
        <v>3.2918499999999998E-3</v>
      </c>
      <c r="K54">
        <v>25.36</v>
      </c>
      <c r="L54">
        <v>25.34</v>
      </c>
      <c r="M54">
        <v>0.02</v>
      </c>
      <c r="N54">
        <v>6.7785600000000003E-3</v>
      </c>
      <c r="O54">
        <v>6.9082439999999995E-2</v>
      </c>
      <c r="P54">
        <v>-6.2303879999999999E-2</v>
      </c>
      <c r="Q54">
        <v>-5.5973300000000002E-3</v>
      </c>
      <c r="R54">
        <v>1.516968E-2</v>
      </c>
      <c r="S54">
        <v>-2.0767009999999999E-2</v>
      </c>
      <c r="U54" s="15">
        <f t="shared" si="13"/>
        <v>-3.4123699999999979E-3</v>
      </c>
      <c r="V54" s="15">
        <f t="shared" si="14"/>
        <v>1.6459099999999727E-3</v>
      </c>
      <c r="W54" s="15"/>
      <c r="X54" s="15"/>
      <c r="Y54" s="16">
        <f t="shared" si="15"/>
        <v>6.7785600000000003E-3</v>
      </c>
      <c r="Z54" s="16">
        <f t="shared" si="16"/>
        <v>-5.5973300000000002E-3</v>
      </c>
      <c r="AA54" s="16">
        <f t="shared" si="17"/>
        <v>6.9082439999999995E-2</v>
      </c>
      <c r="AB54" s="16">
        <f t="shared" si="18"/>
        <v>1.516968E-2</v>
      </c>
      <c r="AC54" s="17">
        <f t="shared" si="19"/>
        <v>0.50368487928683137</v>
      </c>
      <c r="AD54" s="17">
        <f t="shared" si="20"/>
        <v>4.0558235987376925</v>
      </c>
      <c r="AE54" s="17">
        <f t="shared" si="21"/>
        <v>320.45214047415863</v>
      </c>
      <c r="AF54" s="17">
        <f t="shared" si="22"/>
        <v>320.01456657415861</v>
      </c>
    </row>
    <row r="55" spans="1:32" x14ac:dyDescent="0.25">
      <c r="A55" s="14">
        <v>53</v>
      </c>
      <c r="B55" t="s">
        <v>62</v>
      </c>
      <c r="C55">
        <v>160</v>
      </c>
      <c r="D55">
        <v>4</v>
      </c>
      <c r="E55">
        <v>-0.42395569999999999</v>
      </c>
      <c r="F55">
        <v>-0.42857640000000002</v>
      </c>
      <c r="G55">
        <v>4.6206700000000003E-3</v>
      </c>
      <c r="H55">
        <v>0.54462460000000001</v>
      </c>
      <c r="I55">
        <v>0.54004732</v>
      </c>
      <c r="J55">
        <v>4.5772800000000004E-3</v>
      </c>
      <c r="K55">
        <v>25.21</v>
      </c>
      <c r="L55">
        <v>25.23</v>
      </c>
      <c r="M55">
        <v>-0.02</v>
      </c>
      <c r="N55">
        <v>5.5892900000000002E-3</v>
      </c>
      <c r="O55">
        <v>7.0964260000000001E-2</v>
      </c>
      <c r="P55">
        <v>-6.5374959999999996E-2</v>
      </c>
      <c r="Q55">
        <v>-3.0650000000000002E-4</v>
      </c>
      <c r="R55">
        <v>1.013824E-2</v>
      </c>
      <c r="S55">
        <v>-1.0444739999999999E-2</v>
      </c>
      <c r="U55" s="15">
        <f t="shared" si="13"/>
        <v>-2.3103500000000166E-3</v>
      </c>
      <c r="V55" s="15">
        <f t="shared" si="14"/>
        <v>2.2886400000000084E-3</v>
      </c>
      <c r="W55" s="15"/>
      <c r="X55" s="15"/>
      <c r="Y55" s="16">
        <f t="shared" si="15"/>
        <v>5.5892900000000002E-3</v>
      </c>
      <c r="Z55" s="16">
        <f t="shared" si="16"/>
        <v>-3.0650000000000002E-4</v>
      </c>
      <c r="AA55" s="16">
        <f t="shared" si="17"/>
        <v>7.0964260000000001E-2</v>
      </c>
      <c r="AB55" s="16">
        <f t="shared" si="18"/>
        <v>1.013824E-2</v>
      </c>
      <c r="AC55" s="17">
        <f t="shared" si="19"/>
        <v>0.32072554172515977</v>
      </c>
      <c r="AD55" s="17">
        <f t="shared" si="20"/>
        <v>4.110762126755664</v>
      </c>
      <c r="AE55" s="17">
        <f t="shared" si="21"/>
        <v>356.86121396405724</v>
      </c>
      <c r="AF55" s="17">
        <f t="shared" si="22"/>
        <v>356.43263756405725</v>
      </c>
    </row>
    <row r="56" spans="1:32" x14ac:dyDescent="0.25">
      <c r="A56" s="14">
        <v>54</v>
      </c>
      <c r="B56" t="s">
        <v>62</v>
      </c>
      <c r="C56">
        <v>170</v>
      </c>
      <c r="D56">
        <v>2</v>
      </c>
      <c r="E56">
        <v>-0.43899529999999998</v>
      </c>
      <c r="F56">
        <v>-0.44696279999999999</v>
      </c>
      <c r="G56">
        <v>7.9675000000000006E-3</v>
      </c>
      <c r="H56">
        <v>0.50885789999999997</v>
      </c>
      <c r="I56">
        <v>0.51217460000000004</v>
      </c>
      <c r="J56">
        <v>-3.3167000000000001E-3</v>
      </c>
      <c r="K56">
        <v>25.44</v>
      </c>
      <c r="L56">
        <v>25.45</v>
      </c>
      <c r="M56">
        <v>-0.01</v>
      </c>
      <c r="N56">
        <v>4.4154900000000002E-3</v>
      </c>
      <c r="O56">
        <v>7.0539760000000007E-2</v>
      </c>
      <c r="P56">
        <v>-6.6124269999999999E-2</v>
      </c>
      <c r="Q56">
        <v>6.5824400000000002E-3</v>
      </c>
      <c r="R56">
        <v>2.8896099999999999E-3</v>
      </c>
      <c r="S56">
        <v>3.6928299999999998E-3</v>
      </c>
      <c r="U56" s="15">
        <f t="shared" si="13"/>
        <v>-3.9837500000000081E-3</v>
      </c>
      <c r="V56" s="15">
        <f t="shared" si="14"/>
        <v>-1.6583500000000306E-3</v>
      </c>
      <c r="W56" s="15"/>
      <c r="X56" s="15"/>
      <c r="Y56" s="16">
        <f t="shared" si="15"/>
        <v>4.4154900000000002E-3</v>
      </c>
      <c r="Z56" s="16">
        <f t="shared" si="16"/>
        <v>6.5824400000000002E-3</v>
      </c>
      <c r="AA56" s="16">
        <f t="shared" si="17"/>
        <v>7.0539760000000007E-2</v>
      </c>
      <c r="AB56" s="16">
        <f t="shared" si="18"/>
        <v>2.8896099999999999E-3</v>
      </c>
      <c r="AC56" s="17">
        <f t="shared" si="19"/>
        <v>0.45414408764871073</v>
      </c>
      <c r="AD56" s="17">
        <f t="shared" si="20"/>
        <v>4.0483879497092659</v>
      </c>
      <c r="AE56" s="17">
        <f t="shared" si="21"/>
        <v>56.146355566034394</v>
      </c>
      <c r="AF56" s="17">
        <f t="shared" si="22"/>
        <v>55.699392766034393</v>
      </c>
    </row>
    <row r="57" spans="1:32" x14ac:dyDescent="0.25">
      <c r="A57" s="14">
        <v>55</v>
      </c>
      <c r="B57" t="s">
        <v>62</v>
      </c>
      <c r="C57">
        <v>180</v>
      </c>
      <c r="D57">
        <v>1</v>
      </c>
      <c r="E57">
        <v>-0.42121628</v>
      </c>
      <c r="F57">
        <v>-0.43027436000000002</v>
      </c>
      <c r="G57">
        <v>9.0580899999999995E-3</v>
      </c>
      <c r="H57">
        <v>0.54250759999999998</v>
      </c>
      <c r="I57">
        <v>0.54964150000000001</v>
      </c>
      <c r="J57">
        <v>-7.1339000000000003E-3</v>
      </c>
      <c r="K57">
        <v>25.28</v>
      </c>
      <c r="L57">
        <v>25.29</v>
      </c>
      <c r="M57">
        <v>-0.02</v>
      </c>
      <c r="N57">
        <v>6.2219199999999997E-3</v>
      </c>
      <c r="O57">
        <v>7.1124270000000003E-2</v>
      </c>
      <c r="P57">
        <v>-6.4902349999999998E-2</v>
      </c>
      <c r="Q57">
        <v>1.144735E-2</v>
      </c>
      <c r="R57">
        <v>-1.9934100000000001E-3</v>
      </c>
      <c r="S57">
        <v>1.344076E-2</v>
      </c>
      <c r="U57" s="15">
        <f t="shared" si="13"/>
        <v>-4.5290400000000119E-3</v>
      </c>
      <c r="V57" s="15">
        <f t="shared" si="14"/>
        <v>-3.5669500000000132E-3</v>
      </c>
      <c r="W57" s="15"/>
      <c r="X57" s="15"/>
      <c r="Y57" s="16">
        <f t="shared" si="15"/>
        <v>6.2219199999999997E-3</v>
      </c>
      <c r="Z57" s="16">
        <f t="shared" si="16"/>
        <v>1.144735E-2</v>
      </c>
      <c r="AA57" s="16">
        <f t="shared" si="17"/>
        <v>7.1124270000000003E-2</v>
      </c>
      <c r="AB57" s="16">
        <f t="shared" si="18"/>
        <v>-1.9934100000000001E-3</v>
      </c>
      <c r="AC57" s="17">
        <f t="shared" si="19"/>
        <v>0.74652622708438698</v>
      </c>
      <c r="AD57" s="17">
        <f t="shared" si="20"/>
        <v>4.0801684088724484</v>
      </c>
      <c r="AE57" s="17">
        <f t="shared" si="21"/>
        <v>61.474817615008305</v>
      </c>
      <c r="AF57" s="17">
        <f t="shared" si="22"/>
        <v>61.044543255008307</v>
      </c>
    </row>
    <row r="58" spans="1:32" x14ac:dyDescent="0.25">
      <c r="A58" s="14">
        <v>56</v>
      </c>
      <c r="B58" t="s">
        <v>62</v>
      </c>
      <c r="C58">
        <v>190</v>
      </c>
      <c r="D58">
        <v>3</v>
      </c>
      <c r="E58">
        <v>-0.43071599999999999</v>
      </c>
      <c r="F58">
        <v>-0.43411887999999998</v>
      </c>
      <c r="G58">
        <v>3.4028600000000002E-3</v>
      </c>
      <c r="H58">
        <v>0.52952964000000002</v>
      </c>
      <c r="I58">
        <v>0.52847189999999999</v>
      </c>
      <c r="J58">
        <v>1.0577399999999999E-3</v>
      </c>
      <c r="K58">
        <v>25.39</v>
      </c>
      <c r="L58">
        <v>25.4</v>
      </c>
      <c r="M58">
        <v>-0.01</v>
      </c>
      <c r="N58">
        <v>7.1480299999999997E-3</v>
      </c>
      <c r="O58">
        <v>6.8813879999999994E-2</v>
      </c>
      <c r="P58">
        <v>-6.1665850000000001E-2</v>
      </c>
      <c r="Q58">
        <v>1.676853E-2</v>
      </c>
      <c r="R58">
        <v>-7.3514799999999996E-3</v>
      </c>
      <c r="S58">
        <v>2.4120010000000001E-2</v>
      </c>
      <c r="U58" s="15">
        <f t="shared" si="13"/>
        <v>-1.7014399999999985E-3</v>
      </c>
      <c r="V58" s="15">
        <f t="shared" si="14"/>
        <v>5.2887000000001461E-4</v>
      </c>
      <c r="W58" s="15"/>
      <c r="X58" s="15"/>
      <c r="Y58" s="16">
        <f t="shared" si="15"/>
        <v>7.1480299999999997E-3</v>
      </c>
      <c r="Z58" s="16">
        <f t="shared" si="16"/>
        <v>1.676853E-2</v>
      </c>
      <c r="AA58" s="16">
        <f t="shared" si="17"/>
        <v>6.8813879999999994E-2</v>
      </c>
      <c r="AB58" s="16">
        <f t="shared" si="18"/>
        <v>-7.3514799999999996E-3</v>
      </c>
      <c r="AC58" s="17">
        <f t="shared" si="19"/>
        <v>1.0444735232520967</v>
      </c>
      <c r="AD58" s="17">
        <f t="shared" si="20"/>
        <v>3.9683521927445904</v>
      </c>
      <c r="AE58" s="17">
        <f t="shared" si="21"/>
        <v>66.912588676904846</v>
      </c>
      <c r="AF58" s="17">
        <f t="shared" si="22"/>
        <v>66.478469796904847</v>
      </c>
    </row>
    <row r="59" spans="1:32" x14ac:dyDescent="0.25">
      <c r="A59" s="14">
        <v>57</v>
      </c>
      <c r="B59" t="s">
        <v>62</v>
      </c>
      <c r="C59">
        <v>200</v>
      </c>
      <c r="D59">
        <v>3</v>
      </c>
      <c r="E59">
        <v>-0.44173035999999999</v>
      </c>
      <c r="F59">
        <v>-0.44733040000000002</v>
      </c>
      <c r="G59">
        <v>5.6000399999999997E-3</v>
      </c>
      <c r="H59">
        <v>0.50634975999999998</v>
      </c>
      <c r="I59">
        <v>0.50485769999999996</v>
      </c>
      <c r="J59">
        <v>1.4920199999999999E-3</v>
      </c>
      <c r="K59">
        <v>25.48</v>
      </c>
      <c r="L59">
        <v>25.45</v>
      </c>
      <c r="M59">
        <v>0.03</v>
      </c>
      <c r="N59">
        <v>1.010498E-2</v>
      </c>
      <c r="O59">
        <v>6.5249840000000003E-2</v>
      </c>
      <c r="P59">
        <v>-5.5144859999999997E-2</v>
      </c>
      <c r="Q59">
        <v>2.2977569999999999E-2</v>
      </c>
      <c r="R59">
        <v>-1.370361E-2</v>
      </c>
      <c r="S59">
        <v>3.6681180000000001E-2</v>
      </c>
      <c r="U59" s="15">
        <f t="shared" si="13"/>
        <v>-2.8000200000000142E-3</v>
      </c>
      <c r="V59" s="15">
        <f t="shared" si="14"/>
        <v>7.4603000000000863E-4</v>
      </c>
      <c r="W59" s="15"/>
      <c r="X59" s="15"/>
      <c r="Y59" s="16">
        <f t="shared" si="15"/>
        <v>1.010498E-2</v>
      </c>
      <c r="Z59" s="16">
        <f t="shared" si="16"/>
        <v>2.2977569999999999E-2</v>
      </c>
      <c r="AA59" s="16">
        <f t="shared" si="17"/>
        <v>6.5249840000000003E-2</v>
      </c>
      <c r="AB59" s="16">
        <f t="shared" si="18"/>
        <v>-1.370361E-2</v>
      </c>
      <c r="AC59" s="17">
        <f t="shared" si="19"/>
        <v>1.4383542824744071</v>
      </c>
      <c r="AD59" s="17">
        <f t="shared" si="20"/>
        <v>3.8229353338861536</v>
      </c>
      <c r="AE59" s="17">
        <f t="shared" si="21"/>
        <v>66.261266944832954</v>
      </c>
      <c r="AF59" s="17">
        <f t="shared" si="22"/>
        <v>65.813936544832956</v>
      </c>
    </row>
    <row r="60" spans="1:32" x14ac:dyDescent="0.25">
      <c r="A60" s="14">
        <v>58</v>
      </c>
      <c r="B60" t="s">
        <v>62</v>
      </c>
      <c r="C60">
        <v>210</v>
      </c>
      <c r="D60">
        <v>2</v>
      </c>
      <c r="E60">
        <v>-0.44263316000000003</v>
      </c>
      <c r="F60">
        <v>-0.44755440000000002</v>
      </c>
      <c r="G60">
        <v>4.9212300000000004E-3</v>
      </c>
      <c r="H60">
        <v>0.51216183999999998</v>
      </c>
      <c r="I60">
        <v>0.51317480000000004</v>
      </c>
      <c r="J60">
        <v>-1.0129200000000001E-3</v>
      </c>
      <c r="K60">
        <v>25.45</v>
      </c>
      <c r="L60">
        <v>25.45</v>
      </c>
      <c r="M60">
        <v>0</v>
      </c>
      <c r="N60">
        <v>1.2749430000000001E-2</v>
      </c>
      <c r="O60">
        <v>6.1248780000000003E-2</v>
      </c>
      <c r="P60">
        <v>-4.8499349999999997E-2</v>
      </c>
      <c r="Q60">
        <v>2.7538859999999998E-2</v>
      </c>
      <c r="R60">
        <v>-1.8074750000000001E-2</v>
      </c>
      <c r="S60">
        <v>4.5613599999999997E-2</v>
      </c>
      <c r="U60" s="15">
        <f t="shared" si="13"/>
        <v>-2.4606199999999967E-3</v>
      </c>
      <c r="V60" s="15">
        <f t="shared" si="14"/>
        <v>-5.0648000000003135E-4</v>
      </c>
      <c r="W60" s="15"/>
      <c r="X60" s="15"/>
      <c r="Y60" s="16">
        <f t="shared" si="15"/>
        <v>1.2749430000000001E-2</v>
      </c>
      <c r="Z60" s="16">
        <f t="shared" si="16"/>
        <v>2.7538859999999998E-2</v>
      </c>
      <c r="AA60" s="16">
        <f t="shared" si="17"/>
        <v>6.1248780000000003E-2</v>
      </c>
      <c r="AB60" s="16">
        <f t="shared" si="18"/>
        <v>-1.8074750000000001E-2</v>
      </c>
      <c r="AC60" s="17">
        <f t="shared" si="19"/>
        <v>1.7390185814550461</v>
      </c>
      <c r="AD60" s="17">
        <f t="shared" si="20"/>
        <v>3.6614044662749938</v>
      </c>
      <c r="AE60" s="17">
        <f t="shared" si="21"/>
        <v>65.157683234728651</v>
      </c>
      <c r="AF60" s="17">
        <f t="shared" si="22"/>
        <v>64.71012883472865</v>
      </c>
    </row>
    <row r="61" spans="1:32" x14ac:dyDescent="0.25">
      <c r="A61" s="14">
        <v>59</v>
      </c>
      <c r="B61" t="s">
        <v>62</v>
      </c>
      <c r="C61">
        <v>220</v>
      </c>
      <c r="D61">
        <v>2</v>
      </c>
      <c r="E61">
        <v>-0.43123324000000002</v>
      </c>
      <c r="F61">
        <v>-0.43096652000000002</v>
      </c>
      <c r="G61">
        <v>-2.6669999999999998E-4</v>
      </c>
      <c r="H61">
        <v>0.53335399999999999</v>
      </c>
      <c r="I61">
        <v>0.53577920000000001</v>
      </c>
      <c r="J61">
        <v>-2.4251899999999998E-3</v>
      </c>
      <c r="K61">
        <v>25.35</v>
      </c>
      <c r="L61">
        <v>25.38</v>
      </c>
      <c r="M61">
        <v>-0.03</v>
      </c>
      <c r="N61">
        <v>1.832804E-2</v>
      </c>
      <c r="O61">
        <v>5.8682249999999998E-2</v>
      </c>
      <c r="P61">
        <v>-4.0354210000000001E-2</v>
      </c>
      <c r="Q61">
        <v>3.0759890000000002E-2</v>
      </c>
      <c r="R61">
        <v>-2.095296E-2</v>
      </c>
      <c r="S61">
        <v>5.1712849999999998E-2</v>
      </c>
      <c r="U61" s="15">
        <f t="shared" si="13"/>
        <v>1.3335999999999903E-4</v>
      </c>
      <c r="V61" s="15">
        <f t="shared" si="14"/>
        <v>-1.2126000000000081E-3</v>
      </c>
      <c r="W61" s="15"/>
      <c r="X61" s="15"/>
      <c r="Y61" s="16">
        <f t="shared" si="15"/>
        <v>1.832804E-2</v>
      </c>
      <c r="Z61" s="16">
        <f t="shared" si="16"/>
        <v>3.0759890000000002E-2</v>
      </c>
      <c r="AA61" s="16">
        <f t="shared" si="17"/>
        <v>5.8682249999999998E-2</v>
      </c>
      <c r="AB61" s="16">
        <f t="shared" si="18"/>
        <v>-2.095296E-2</v>
      </c>
      <c r="AC61" s="17">
        <f t="shared" si="19"/>
        <v>2.0519859108396887</v>
      </c>
      <c r="AD61" s="17">
        <f t="shared" si="20"/>
        <v>3.5724588772970085</v>
      </c>
      <c r="AE61" s="17">
        <f t="shared" si="21"/>
        <v>59.211730540766126</v>
      </c>
      <c r="AF61" s="17">
        <f t="shared" si="22"/>
        <v>58.780764020766128</v>
      </c>
    </row>
    <row r="62" spans="1:32" x14ac:dyDescent="0.25">
      <c r="A62" s="14">
        <v>60</v>
      </c>
      <c r="B62" t="s">
        <v>62</v>
      </c>
      <c r="C62">
        <v>240</v>
      </c>
      <c r="D62">
        <v>2</v>
      </c>
      <c r="E62">
        <v>-0.43067030000000001</v>
      </c>
      <c r="F62">
        <v>-0.43060752000000002</v>
      </c>
      <c r="G62">
        <v>-6.2760000000000002E-5</v>
      </c>
      <c r="H62">
        <v>0.52952849999999996</v>
      </c>
      <c r="I62">
        <v>0.52917860000000005</v>
      </c>
      <c r="J62">
        <v>3.4988E-4</v>
      </c>
      <c r="K62">
        <v>25.37</v>
      </c>
      <c r="L62">
        <v>25.37</v>
      </c>
      <c r="M62">
        <v>0</v>
      </c>
      <c r="N62">
        <v>2.691752E-2</v>
      </c>
      <c r="O62">
        <v>4.8426110000000001E-2</v>
      </c>
      <c r="P62">
        <v>-2.1508590000000001E-2</v>
      </c>
      <c r="Q62">
        <v>3.6279909999999999E-2</v>
      </c>
      <c r="R62">
        <v>-2.640116E-2</v>
      </c>
      <c r="S62">
        <v>6.2681070000000005E-2</v>
      </c>
      <c r="U62" s="15">
        <f t="shared" si="13"/>
        <v>3.1389999999992257E-5</v>
      </c>
      <c r="V62" s="15">
        <f t="shared" si="14"/>
        <v>1.7494999999995153E-4</v>
      </c>
      <c r="W62" s="15"/>
      <c r="X62" s="15"/>
      <c r="Y62" s="16">
        <f t="shared" si="15"/>
        <v>2.691752E-2</v>
      </c>
      <c r="Z62" s="16">
        <f t="shared" si="16"/>
        <v>3.6279909999999999E-2</v>
      </c>
      <c r="AA62" s="16">
        <f t="shared" si="17"/>
        <v>4.8426110000000001E-2</v>
      </c>
      <c r="AB62" s="16">
        <f t="shared" si="18"/>
        <v>-2.640116E-2</v>
      </c>
      <c r="AC62" s="17">
        <f t="shared" si="19"/>
        <v>2.5892206404357165</v>
      </c>
      <c r="AD62" s="17">
        <f t="shared" si="20"/>
        <v>3.1617715418597996</v>
      </c>
      <c r="AE62" s="17">
        <f t="shared" si="21"/>
        <v>53.426798492476621</v>
      </c>
      <c r="AF62" s="17">
        <f t="shared" si="22"/>
        <v>52.996190972476619</v>
      </c>
    </row>
    <row r="63" spans="1:32" x14ac:dyDescent="0.25">
      <c r="A63" s="14">
        <v>61</v>
      </c>
      <c r="B63" t="s">
        <v>62</v>
      </c>
      <c r="C63">
        <v>250</v>
      </c>
      <c r="D63">
        <v>2</v>
      </c>
      <c r="E63">
        <v>-0.42654180000000003</v>
      </c>
      <c r="F63">
        <v>-0.43237059999999999</v>
      </c>
      <c r="G63">
        <v>5.8288000000000003E-3</v>
      </c>
      <c r="H63">
        <v>0.53345410000000004</v>
      </c>
      <c r="I63">
        <v>0.53836256000000005</v>
      </c>
      <c r="J63">
        <v>-4.90844E-3</v>
      </c>
      <c r="K63">
        <v>25.12</v>
      </c>
      <c r="L63">
        <v>25.12</v>
      </c>
      <c r="M63">
        <v>0</v>
      </c>
      <c r="N63">
        <v>3.3410040000000002E-2</v>
      </c>
      <c r="O63">
        <v>4.2587890000000003E-2</v>
      </c>
      <c r="P63">
        <v>-9.1778599999999995E-3</v>
      </c>
      <c r="Q63">
        <v>3.7931720000000002E-2</v>
      </c>
      <c r="R63">
        <v>-2.762655E-2</v>
      </c>
      <c r="S63">
        <v>6.5558270000000002E-2</v>
      </c>
      <c r="U63" s="15">
        <f t="shared" si="13"/>
        <v>-2.9143999999999837E-3</v>
      </c>
      <c r="V63" s="15">
        <f t="shared" si="14"/>
        <v>-2.4542300000000017E-3</v>
      </c>
      <c r="W63" s="15"/>
      <c r="X63" s="15"/>
      <c r="Y63" s="16">
        <f t="shared" si="15"/>
        <v>3.3410040000000002E-2</v>
      </c>
      <c r="Z63" s="16">
        <f t="shared" si="16"/>
        <v>3.7931720000000002E-2</v>
      </c>
      <c r="AA63" s="16">
        <f t="shared" si="17"/>
        <v>4.2587890000000003E-2</v>
      </c>
      <c r="AB63" s="16">
        <f t="shared" si="18"/>
        <v>-2.762655E-2</v>
      </c>
      <c r="AC63" s="17">
        <f t="shared" si="19"/>
        <v>2.8973910962753928</v>
      </c>
      <c r="AD63" s="17">
        <f t="shared" si="20"/>
        <v>2.9097972031834529</v>
      </c>
      <c r="AE63" s="17">
        <f t="shared" si="21"/>
        <v>48.626587105978935</v>
      </c>
      <c r="AF63" s="17">
        <f t="shared" si="22"/>
        <v>48.194216505978936</v>
      </c>
    </row>
    <row r="64" spans="1:32" x14ac:dyDescent="0.25">
      <c r="A64" s="14">
        <v>62</v>
      </c>
      <c r="B64" t="s">
        <v>62</v>
      </c>
      <c r="C64">
        <v>260</v>
      </c>
      <c r="D64">
        <v>3</v>
      </c>
      <c r="E64">
        <v>-0.42661628000000001</v>
      </c>
      <c r="F64">
        <v>-0.42590830000000002</v>
      </c>
      <c r="G64">
        <v>-7.0797999999999998E-4</v>
      </c>
      <c r="H64">
        <v>0.53255770000000002</v>
      </c>
      <c r="I64">
        <v>0.53941899999999998</v>
      </c>
      <c r="J64">
        <v>-6.86127E-3</v>
      </c>
      <c r="K64">
        <v>25.22</v>
      </c>
      <c r="L64">
        <v>25.23</v>
      </c>
      <c r="M64">
        <v>-0.01</v>
      </c>
      <c r="N64">
        <v>3.9018150000000001E-2</v>
      </c>
      <c r="O64">
        <v>3.744873E-2</v>
      </c>
      <c r="P64">
        <v>1.56942E-3</v>
      </c>
      <c r="Q64">
        <v>3.7849929999999997E-2</v>
      </c>
      <c r="R64">
        <v>-2.8144260000000001E-2</v>
      </c>
      <c r="S64">
        <v>6.5994200000000003E-2</v>
      </c>
      <c r="U64" s="15">
        <f t="shared" si="13"/>
        <v>3.5398999999999847E-4</v>
      </c>
      <c r="V64" s="15">
        <f t="shared" si="14"/>
        <v>-3.4306499999999795E-3</v>
      </c>
      <c r="W64" s="15"/>
      <c r="X64" s="15"/>
      <c r="Y64" s="16">
        <f t="shared" si="15"/>
        <v>3.9018150000000001E-2</v>
      </c>
      <c r="Z64" s="16">
        <f t="shared" si="16"/>
        <v>3.7849929999999997E-2</v>
      </c>
      <c r="AA64" s="16">
        <f t="shared" si="17"/>
        <v>3.744873E-2</v>
      </c>
      <c r="AB64" s="16">
        <f t="shared" si="18"/>
        <v>-2.8144260000000001E-2</v>
      </c>
      <c r="AC64" s="17">
        <f t="shared" si="19"/>
        <v>3.1161470342019997</v>
      </c>
      <c r="AD64" s="17">
        <f t="shared" si="20"/>
        <v>2.6850357007470795</v>
      </c>
      <c r="AE64" s="17">
        <f t="shared" si="21"/>
        <v>44.129301486612427</v>
      </c>
      <c r="AF64" s="17">
        <f t="shared" si="22"/>
        <v>43.703393186612423</v>
      </c>
    </row>
    <row r="65" spans="1:32" x14ac:dyDescent="0.25">
      <c r="A65" s="14">
        <v>63</v>
      </c>
      <c r="B65" t="s">
        <v>62</v>
      </c>
      <c r="C65">
        <v>270</v>
      </c>
      <c r="D65">
        <v>5</v>
      </c>
      <c r="E65">
        <v>-0.42489107999999998</v>
      </c>
      <c r="F65">
        <v>-0.4228963</v>
      </c>
      <c r="G65">
        <v>-1.9947900000000002E-3</v>
      </c>
      <c r="H65">
        <v>0.54057292000000001</v>
      </c>
      <c r="I65">
        <v>0.54270624000000001</v>
      </c>
      <c r="J65">
        <v>-2.1333099999999998E-3</v>
      </c>
      <c r="K65">
        <v>25.29</v>
      </c>
      <c r="L65">
        <v>25.29</v>
      </c>
      <c r="M65">
        <v>0</v>
      </c>
      <c r="N65">
        <v>4.432796E-2</v>
      </c>
      <c r="O65">
        <v>3.1785319999999999E-2</v>
      </c>
      <c r="P65">
        <v>1.2542650000000001E-2</v>
      </c>
      <c r="Q65">
        <v>3.7314050000000001E-2</v>
      </c>
      <c r="R65">
        <v>-2.7608890000000001E-2</v>
      </c>
      <c r="S65">
        <v>6.4922930000000004E-2</v>
      </c>
      <c r="U65" s="15">
        <f t="shared" si="13"/>
        <v>9.973899999999869E-4</v>
      </c>
      <c r="V65" s="15">
        <f t="shared" si="14"/>
        <v>-1.0666599999999971E-3</v>
      </c>
      <c r="W65" s="15"/>
      <c r="X65" s="15"/>
      <c r="Y65" s="16">
        <f t="shared" si="15"/>
        <v>4.432796E-2</v>
      </c>
      <c r="Z65" s="16">
        <f t="shared" si="16"/>
        <v>3.7314050000000001E-2</v>
      </c>
      <c r="AA65" s="16">
        <f t="shared" si="17"/>
        <v>3.1785319999999999E-2</v>
      </c>
      <c r="AB65" s="16">
        <f t="shared" si="18"/>
        <v>-2.7608890000000001E-2</v>
      </c>
      <c r="AC65" s="17">
        <f t="shared" si="19"/>
        <v>3.3217078204404848</v>
      </c>
      <c r="AD65" s="17">
        <f t="shared" si="20"/>
        <v>2.4129658114550643</v>
      </c>
      <c r="AE65" s="17">
        <f t="shared" si="21"/>
        <v>40.08974461975339</v>
      </c>
      <c r="AF65" s="17">
        <f t="shared" si="22"/>
        <v>39.666848319753392</v>
      </c>
    </row>
    <row r="66" spans="1:32" x14ac:dyDescent="0.25">
      <c r="A66" s="14">
        <v>64</v>
      </c>
      <c r="B66" t="s">
        <v>62</v>
      </c>
      <c r="C66">
        <v>280</v>
      </c>
      <c r="D66">
        <v>2</v>
      </c>
      <c r="E66">
        <v>-0.42818267999999998</v>
      </c>
      <c r="F66">
        <v>-0.42512875999999999</v>
      </c>
      <c r="G66">
        <v>-3.0539E-3</v>
      </c>
      <c r="H66">
        <v>0.54029939999999999</v>
      </c>
      <c r="I66">
        <v>0.54669129999999999</v>
      </c>
      <c r="J66">
        <v>-6.39188E-3</v>
      </c>
      <c r="K66">
        <v>25.35</v>
      </c>
      <c r="L66">
        <v>25.34</v>
      </c>
      <c r="M66">
        <v>0</v>
      </c>
      <c r="N66">
        <v>4.9426270000000001E-2</v>
      </c>
      <c r="O66">
        <v>2.7670090000000001E-2</v>
      </c>
      <c r="P66">
        <v>2.175618E-2</v>
      </c>
      <c r="Q66">
        <v>3.5683390000000002E-2</v>
      </c>
      <c r="R66">
        <v>-2.6103310000000001E-2</v>
      </c>
      <c r="S66">
        <v>6.17867E-2</v>
      </c>
      <c r="U66" s="15">
        <f t="shared" si="13"/>
        <v>1.5269599999999939E-3</v>
      </c>
      <c r="V66" s="15">
        <f t="shared" si="14"/>
        <v>-3.195950000000003E-3</v>
      </c>
      <c r="W66" s="15"/>
      <c r="X66" s="15"/>
      <c r="Y66" s="16">
        <f t="shared" si="15"/>
        <v>4.9426270000000001E-2</v>
      </c>
      <c r="Z66" s="16">
        <f t="shared" si="16"/>
        <v>3.5683390000000002E-2</v>
      </c>
      <c r="AA66" s="16">
        <f t="shared" si="17"/>
        <v>2.7670090000000001E-2</v>
      </c>
      <c r="AB66" s="16">
        <f t="shared" si="18"/>
        <v>-2.6103310000000001E-2</v>
      </c>
      <c r="AC66" s="17">
        <f t="shared" si="19"/>
        <v>3.4949829831987551</v>
      </c>
      <c r="AD66" s="17">
        <f t="shared" si="20"/>
        <v>2.1800386549495006</v>
      </c>
      <c r="AE66" s="17">
        <f t="shared" si="21"/>
        <v>35.827473063381419</v>
      </c>
      <c r="AF66" s="17">
        <f t="shared" si="22"/>
        <v>35.402344303381419</v>
      </c>
    </row>
    <row r="67" spans="1:32" x14ac:dyDescent="0.25">
      <c r="A67" s="14">
        <v>65</v>
      </c>
      <c r="B67" t="s">
        <v>62</v>
      </c>
      <c r="C67">
        <v>290</v>
      </c>
      <c r="D67">
        <v>3</v>
      </c>
      <c r="E67">
        <v>-0.43116900000000002</v>
      </c>
      <c r="F67">
        <v>-0.4317995</v>
      </c>
      <c r="G67">
        <v>6.3049999999999998E-4</v>
      </c>
      <c r="H67">
        <v>0.53733028000000005</v>
      </c>
      <c r="I67">
        <v>0.53953576000000003</v>
      </c>
      <c r="J67">
        <v>-2.2054900000000001E-3</v>
      </c>
      <c r="K67">
        <v>25.28</v>
      </c>
      <c r="L67">
        <v>25.28</v>
      </c>
      <c r="M67">
        <v>0</v>
      </c>
      <c r="N67">
        <v>5.5523000000000003E-2</v>
      </c>
      <c r="O67">
        <v>2.1271430000000001E-2</v>
      </c>
      <c r="P67">
        <v>3.4251579999999997E-2</v>
      </c>
      <c r="Q67">
        <v>3.2926570000000002E-2</v>
      </c>
      <c r="R67">
        <v>-2.3135039999999999E-2</v>
      </c>
      <c r="S67">
        <v>5.6061600000000003E-2</v>
      </c>
      <c r="U67" s="15">
        <f t="shared" si="13"/>
        <v>-3.1524999999998915E-4</v>
      </c>
      <c r="V67" s="15">
        <f t="shared" si="14"/>
        <v>-1.1027399999999909E-3</v>
      </c>
      <c r="W67" s="15"/>
      <c r="X67" s="15"/>
      <c r="Y67" s="16">
        <f t="shared" si="15"/>
        <v>5.5523000000000003E-2</v>
      </c>
      <c r="Z67" s="16">
        <f t="shared" si="16"/>
        <v>3.2926570000000002E-2</v>
      </c>
      <c r="AA67" s="16">
        <f t="shared" si="17"/>
        <v>2.1271430000000001E-2</v>
      </c>
      <c r="AB67" s="16">
        <f t="shared" si="18"/>
        <v>-2.3135039999999999E-2</v>
      </c>
      <c r="AC67" s="17">
        <f t="shared" si="19"/>
        <v>3.7011314282829075</v>
      </c>
      <c r="AD67" s="17">
        <f t="shared" si="20"/>
        <v>1.8009742990428665</v>
      </c>
      <c r="AE67" s="17">
        <f t="shared" si="21"/>
        <v>30.669033354146315</v>
      </c>
      <c r="AF67" s="17">
        <f t="shared" si="22"/>
        <v>30.237233854146314</v>
      </c>
    </row>
    <row r="68" spans="1:32" x14ac:dyDescent="0.25">
      <c r="A68" s="14">
        <v>66</v>
      </c>
      <c r="B68" t="s">
        <v>62</v>
      </c>
      <c r="C68">
        <v>300</v>
      </c>
      <c r="D68">
        <v>1</v>
      </c>
      <c r="E68">
        <v>-0.44028307999999999</v>
      </c>
      <c r="F68">
        <v>-0.43871559999999998</v>
      </c>
      <c r="G68">
        <v>-1.56745E-3</v>
      </c>
      <c r="H68">
        <v>0.49967415999999998</v>
      </c>
      <c r="I68">
        <v>0.5108665</v>
      </c>
      <c r="J68">
        <v>-1.119235E-2</v>
      </c>
      <c r="K68">
        <v>25.49</v>
      </c>
      <c r="L68">
        <v>25.45</v>
      </c>
      <c r="M68">
        <v>0.04</v>
      </c>
      <c r="N68">
        <v>5.8870850000000002E-2</v>
      </c>
      <c r="O68">
        <v>1.458008E-2</v>
      </c>
      <c r="P68">
        <v>4.429077E-2</v>
      </c>
      <c r="Q68">
        <v>2.8835860000000001E-2</v>
      </c>
      <c r="R68">
        <v>-1.9487299999999999E-2</v>
      </c>
      <c r="S68">
        <v>4.8323159999999997E-2</v>
      </c>
      <c r="U68" s="15">
        <f t="shared" si="13"/>
        <v>7.8374000000000499E-4</v>
      </c>
      <c r="V68" s="15">
        <f t="shared" si="14"/>
        <v>-5.5961700000000114E-3</v>
      </c>
      <c r="W68" s="15"/>
      <c r="X68" s="15"/>
      <c r="Y68" s="16">
        <f t="shared" si="15"/>
        <v>5.8870850000000002E-2</v>
      </c>
      <c r="Z68" s="16">
        <f t="shared" si="16"/>
        <v>2.8835860000000001E-2</v>
      </c>
      <c r="AA68" s="16">
        <f t="shared" si="17"/>
        <v>1.458008E-2</v>
      </c>
      <c r="AB68" s="16">
        <f t="shared" si="18"/>
        <v>-1.9487299999999999E-2</v>
      </c>
      <c r="AC68" s="17">
        <f t="shared" si="19"/>
        <v>3.7586439669058178</v>
      </c>
      <c r="AD68" s="17">
        <f t="shared" si="20"/>
        <v>1.3945969093276314</v>
      </c>
      <c r="AE68" s="17">
        <f t="shared" si="21"/>
        <v>26.096333077113307</v>
      </c>
      <c r="AF68" s="17">
        <f t="shared" si="22"/>
        <v>25.657617477113309</v>
      </c>
    </row>
    <row r="69" spans="1:32" x14ac:dyDescent="0.25">
      <c r="A69" s="14">
        <v>67</v>
      </c>
      <c r="B69" t="s">
        <v>62</v>
      </c>
      <c r="C69">
        <v>310</v>
      </c>
      <c r="D69">
        <v>6</v>
      </c>
      <c r="E69">
        <v>-0.43556368000000001</v>
      </c>
      <c r="F69">
        <v>-0.43086627999999999</v>
      </c>
      <c r="G69">
        <v>-4.69741E-3</v>
      </c>
      <c r="H69">
        <v>0.52577739999999995</v>
      </c>
      <c r="I69">
        <v>0.53213864</v>
      </c>
      <c r="J69">
        <v>-6.3612499999999997E-3</v>
      </c>
      <c r="K69">
        <v>25.35</v>
      </c>
      <c r="L69">
        <v>25.34</v>
      </c>
      <c r="M69">
        <v>0.01</v>
      </c>
      <c r="N69">
        <v>6.3967360000000001E-2</v>
      </c>
      <c r="O69">
        <v>1.2426080000000001E-2</v>
      </c>
      <c r="P69">
        <v>5.1541280000000002E-2</v>
      </c>
      <c r="Q69">
        <v>2.508755E-2</v>
      </c>
      <c r="R69">
        <v>-1.525777E-2</v>
      </c>
      <c r="S69">
        <v>4.0345319999999997E-2</v>
      </c>
      <c r="U69" s="15">
        <f t="shared" si="13"/>
        <v>2.3487000000000091E-3</v>
      </c>
      <c r="V69" s="15">
        <f t="shared" si="14"/>
        <v>-3.1806200000000229E-3</v>
      </c>
      <c r="W69" s="15"/>
      <c r="X69" s="15"/>
      <c r="Y69" s="16">
        <f t="shared" si="15"/>
        <v>6.3967360000000001E-2</v>
      </c>
      <c r="Z69" s="16">
        <f t="shared" si="16"/>
        <v>2.508755E-2</v>
      </c>
      <c r="AA69" s="16">
        <f t="shared" si="17"/>
        <v>1.2426080000000001E-2</v>
      </c>
      <c r="AB69" s="16">
        <f t="shared" si="18"/>
        <v>-1.525777E-2</v>
      </c>
      <c r="AC69" s="17">
        <f t="shared" si="19"/>
        <v>3.9399575207264332</v>
      </c>
      <c r="AD69" s="17">
        <f t="shared" si="20"/>
        <v>1.127514845353154</v>
      </c>
      <c r="AE69" s="17">
        <f t="shared" si="21"/>
        <v>21.41476335178308</v>
      </c>
      <c r="AF69" s="17">
        <f t="shared" si="22"/>
        <v>20.98389707178308</v>
      </c>
    </row>
    <row r="70" spans="1:32" x14ac:dyDescent="0.25">
      <c r="A70" s="14">
        <v>68</v>
      </c>
      <c r="B70" t="s">
        <v>62</v>
      </c>
      <c r="C70">
        <v>320</v>
      </c>
      <c r="D70">
        <v>2</v>
      </c>
      <c r="E70">
        <v>-0.44049132000000002</v>
      </c>
      <c r="F70">
        <v>-0.4343033</v>
      </c>
      <c r="G70">
        <v>-6.1880099999999999E-3</v>
      </c>
      <c r="H70">
        <v>0.51169560000000003</v>
      </c>
      <c r="I70">
        <v>0.52225390000000005</v>
      </c>
      <c r="J70">
        <v>-1.055825E-2</v>
      </c>
      <c r="K70">
        <v>25.43</v>
      </c>
      <c r="L70">
        <v>25.4</v>
      </c>
      <c r="M70">
        <v>0.04</v>
      </c>
      <c r="N70">
        <v>6.6600950000000006E-2</v>
      </c>
      <c r="O70">
        <v>9.0460200000000001E-3</v>
      </c>
      <c r="P70">
        <v>5.7554929999999997E-2</v>
      </c>
      <c r="Q70">
        <v>2.0309239999999999E-2</v>
      </c>
      <c r="R70">
        <v>-1.0621749999999999E-2</v>
      </c>
      <c r="S70">
        <v>3.0930989999999998E-2</v>
      </c>
      <c r="U70" s="15">
        <f t="shared" si="13"/>
        <v>3.0940100000000081E-3</v>
      </c>
      <c r="V70" s="15">
        <f t="shared" si="14"/>
        <v>-5.2791500000000102E-3</v>
      </c>
      <c r="W70" s="15"/>
      <c r="X70" s="15"/>
      <c r="Y70" s="16">
        <f t="shared" si="15"/>
        <v>6.6600950000000006E-2</v>
      </c>
      <c r="Z70" s="16">
        <f t="shared" si="16"/>
        <v>2.0309239999999999E-2</v>
      </c>
      <c r="AA70" s="16">
        <f t="shared" si="17"/>
        <v>9.0460200000000001E-3</v>
      </c>
      <c r="AB70" s="16">
        <f t="shared" si="18"/>
        <v>-1.0621749999999999E-2</v>
      </c>
      <c r="AC70" s="17">
        <f t="shared" si="19"/>
        <v>3.9926595714094106</v>
      </c>
      <c r="AD70" s="17">
        <f t="shared" si="20"/>
        <v>0.79940381176361175</v>
      </c>
      <c r="AE70" s="17">
        <f t="shared" si="21"/>
        <v>16.958518404865742</v>
      </c>
      <c r="AF70" s="17">
        <f t="shared" si="22"/>
        <v>16.524215104865743</v>
      </c>
    </row>
    <row r="71" spans="1:32" x14ac:dyDescent="0.25">
      <c r="A71" s="14">
        <v>69</v>
      </c>
      <c r="B71" t="s">
        <v>62</v>
      </c>
      <c r="C71">
        <v>330</v>
      </c>
      <c r="D71">
        <v>3</v>
      </c>
      <c r="E71">
        <v>-0.4276298</v>
      </c>
      <c r="F71">
        <v>-0.42565503999999998</v>
      </c>
      <c r="G71">
        <v>-1.9747599999999999E-3</v>
      </c>
      <c r="H71">
        <v>0.53802123999999996</v>
      </c>
      <c r="I71">
        <v>0.54010780000000003</v>
      </c>
      <c r="J71">
        <v>-2.0865200000000001E-3</v>
      </c>
      <c r="K71">
        <v>25.33</v>
      </c>
      <c r="L71">
        <v>25.37</v>
      </c>
      <c r="M71">
        <v>-0.03</v>
      </c>
      <c r="N71">
        <v>6.881524E-2</v>
      </c>
      <c r="O71">
        <v>7.39231E-3</v>
      </c>
      <c r="P71">
        <v>6.1422930000000001E-2</v>
      </c>
      <c r="Q71">
        <v>1.5936280000000001E-2</v>
      </c>
      <c r="R71">
        <v>-6.1901899999999999E-3</v>
      </c>
      <c r="S71">
        <v>2.2126469999999999E-2</v>
      </c>
      <c r="U71" s="15">
        <f t="shared" si="13"/>
        <v>9.8738000000000992E-4</v>
      </c>
      <c r="V71" s="15">
        <f t="shared" si="14"/>
        <v>-1.0432800000000353E-3</v>
      </c>
      <c r="W71" s="15"/>
      <c r="X71" s="15"/>
      <c r="Y71" s="16">
        <f t="shared" si="15"/>
        <v>6.881524E-2</v>
      </c>
      <c r="Z71" s="16">
        <f t="shared" si="16"/>
        <v>1.5936280000000001E-2</v>
      </c>
      <c r="AA71" s="16">
        <f t="shared" si="17"/>
        <v>7.39231E-3</v>
      </c>
      <c r="AB71" s="16">
        <f t="shared" si="18"/>
        <v>-6.1901899999999999E-3</v>
      </c>
      <c r="AC71" s="17">
        <f t="shared" si="19"/>
        <v>4.0505412539087144</v>
      </c>
      <c r="AD71" s="17">
        <f t="shared" si="20"/>
        <v>0.55244417187812589</v>
      </c>
      <c r="AE71" s="17">
        <f t="shared" si="21"/>
        <v>13.038750744448119</v>
      </c>
      <c r="AF71" s="17">
        <f t="shared" si="22"/>
        <v>12.613095704448119</v>
      </c>
    </row>
    <row r="72" spans="1:32" x14ac:dyDescent="0.25">
      <c r="A72" s="14">
        <v>70</v>
      </c>
      <c r="B72" t="s">
        <v>62</v>
      </c>
      <c r="C72">
        <v>340</v>
      </c>
      <c r="D72">
        <v>2</v>
      </c>
      <c r="E72">
        <v>-0.43024519999999999</v>
      </c>
      <c r="F72">
        <v>-0.4263245</v>
      </c>
      <c r="G72">
        <v>-3.9207299999999999E-3</v>
      </c>
      <c r="H72">
        <v>0.53436209999999995</v>
      </c>
      <c r="I72">
        <v>0.53735840000000001</v>
      </c>
      <c r="J72">
        <v>-2.9963300000000002E-3</v>
      </c>
      <c r="K72">
        <v>25.31</v>
      </c>
      <c r="L72">
        <v>25.31</v>
      </c>
      <c r="M72">
        <v>0</v>
      </c>
      <c r="N72">
        <v>7.0594480000000001E-2</v>
      </c>
      <c r="O72">
        <v>5.8103399999999998E-3</v>
      </c>
      <c r="P72">
        <v>6.4784140000000004E-2</v>
      </c>
      <c r="Q72">
        <v>9.6537299999999993E-3</v>
      </c>
      <c r="R72">
        <v>2.1545000000000001E-4</v>
      </c>
      <c r="S72">
        <v>9.4382700000000003E-3</v>
      </c>
      <c r="U72" s="15">
        <f t="shared" si="13"/>
        <v>1.9603499999999996E-3</v>
      </c>
      <c r="V72" s="15">
        <f t="shared" si="14"/>
        <v>-1.4981500000000314E-3</v>
      </c>
      <c r="W72" s="15"/>
      <c r="X72" s="15"/>
      <c r="Y72" s="16">
        <f t="shared" si="15"/>
        <v>7.0594480000000001E-2</v>
      </c>
      <c r="Z72" s="16">
        <f t="shared" si="16"/>
        <v>9.6537299999999993E-3</v>
      </c>
      <c r="AA72" s="16">
        <f t="shared" si="17"/>
        <v>5.8103399999999998E-3</v>
      </c>
      <c r="AB72" s="16">
        <f t="shared" si="18"/>
        <v>2.1545000000000001E-4</v>
      </c>
      <c r="AC72" s="17">
        <f t="shared" si="19"/>
        <v>4.0858719358453559</v>
      </c>
      <c r="AD72" s="17">
        <f t="shared" si="20"/>
        <v>0.33313862545699485</v>
      </c>
      <c r="AE72" s="17">
        <f t="shared" si="21"/>
        <v>7.7868458769088047</v>
      </c>
      <c r="AF72" s="17">
        <f t="shared" si="22"/>
        <v>7.3605213769088049</v>
      </c>
    </row>
    <row r="73" spans="1:32" x14ac:dyDescent="0.25">
      <c r="A73" s="14">
        <v>71</v>
      </c>
      <c r="B73" t="s">
        <v>62</v>
      </c>
      <c r="C73">
        <v>350</v>
      </c>
      <c r="D73">
        <v>2</v>
      </c>
      <c r="E73">
        <v>-0.42966660000000001</v>
      </c>
      <c r="F73">
        <v>-0.42354130000000001</v>
      </c>
      <c r="G73">
        <v>-6.1252700000000004E-3</v>
      </c>
      <c r="H73">
        <v>0.54122510000000001</v>
      </c>
      <c r="I73">
        <v>0.53785360000000004</v>
      </c>
      <c r="J73">
        <v>3.37148E-3</v>
      </c>
      <c r="K73">
        <v>25.34</v>
      </c>
      <c r="L73">
        <v>25.34</v>
      </c>
      <c r="M73">
        <v>0</v>
      </c>
      <c r="N73">
        <v>7.0591639999999997E-2</v>
      </c>
      <c r="O73">
        <v>5.8874499999999998E-3</v>
      </c>
      <c r="P73">
        <v>6.4704189999999995E-2</v>
      </c>
      <c r="Q73">
        <v>3.7992299999999998E-3</v>
      </c>
      <c r="R73">
        <v>6.0278299999999996E-3</v>
      </c>
      <c r="S73">
        <v>-2.2285999999999999E-3</v>
      </c>
      <c r="U73" s="15">
        <f t="shared" si="13"/>
        <v>3.0626500000000001E-3</v>
      </c>
      <c r="V73" s="15">
        <f t="shared" si="14"/>
        <v>1.6857499999999859E-3</v>
      </c>
      <c r="W73" s="15"/>
      <c r="X73" s="15"/>
      <c r="Y73" s="16">
        <f t="shared" si="15"/>
        <v>7.0591639999999997E-2</v>
      </c>
      <c r="Z73" s="16">
        <f t="shared" si="16"/>
        <v>3.7992299999999998E-3</v>
      </c>
      <c r="AA73" s="16">
        <f t="shared" si="17"/>
        <v>5.8874499999999998E-3</v>
      </c>
      <c r="AB73" s="16">
        <f t="shared" si="18"/>
        <v>6.0278299999999996E-3</v>
      </c>
      <c r="AC73" s="17">
        <f t="shared" si="19"/>
        <v>4.053837930791639</v>
      </c>
      <c r="AD73" s="17">
        <f t="shared" si="20"/>
        <v>0.48277765937793449</v>
      </c>
      <c r="AE73" s="17">
        <f t="shared" si="21"/>
        <v>3.0806768855195248</v>
      </c>
      <c r="AF73" s="17">
        <f t="shared" si="22"/>
        <v>2.6571355855195247</v>
      </c>
    </row>
    <row r="74" spans="1:32" x14ac:dyDescent="0.25">
      <c r="A74" s="14">
        <v>72</v>
      </c>
      <c r="U74" s="15">
        <f t="shared" si="13"/>
        <v>0</v>
      </c>
      <c r="V74" s="15">
        <f t="shared" si="14"/>
        <v>0</v>
      </c>
      <c r="W74" s="15"/>
      <c r="X74" s="15"/>
      <c r="Y74" s="16">
        <f t="shared" si="15"/>
        <v>0</v>
      </c>
      <c r="Z74" s="16">
        <f t="shared" si="16"/>
        <v>0</v>
      </c>
      <c r="AA74" s="16">
        <f t="shared" si="17"/>
        <v>0</v>
      </c>
      <c r="AB74" s="16">
        <f t="shared" si="18"/>
        <v>0</v>
      </c>
      <c r="AC74" s="17">
        <f t="shared" si="19"/>
        <v>0</v>
      </c>
      <c r="AD74" s="17">
        <f t="shared" si="20"/>
        <v>0</v>
      </c>
      <c r="AE74" s="17" t="e">
        <f t="shared" si="21"/>
        <v>#DIV/0!</v>
      </c>
      <c r="AF74" s="17" t="e">
        <f t="shared" si="22"/>
        <v>#DIV/0!</v>
      </c>
    </row>
    <row r="77" spans="1:32" x14ac:dyDescent="0.25">
      <c r="A77">
        <v>1</v>
      </c>
      <c r="C77" s="14">
        <v>0</v>
      </c>
      <c r="K77">
        <f>(K3+K39)/2</f>
        <v>25.405000000000001</v>
      </c>
      <c r="L77">
        <f>(L3+L39)/2</f>
        <v>25.39</v>
      </c>
      <c r="M77">
        <f>K77-L77</f>
        <v>1.5000000000000568E-2</v>
      </c>
      <c r="U77">
        <f>(U3+U39)/2</f>
        <v>1.7823950000000061E-3</v>
      </c>
      <c r="V77">
        <f>(V3+V39)/2</f>
        <v>-1.4798849999999864E-3</v>
      </c>
      <c r="AC77">
        <f>(AC3+AC39)/2</f>
        <v>3.9922252551656592</v>
      </c>
      <c r="AD77">
        <f>(AD3+AD39)/2</f>
        <v>0.77368708920176754</v>
      </c>
    </row>
    <row r="78" spans="1:32" x14ac:dyDescent="0.25">
      <c r="A78">
        <v>2</v>
      </c>
      <c r="C78" s="14">
        <v>10</v>
      </c>
      <c r="K78">
        <f t="shared" ref="K78:L78" si="23">(K4+K40)/2</f>
        <v>25.384999999999998</v>
      </c>
      <c r="L78">
        <f t="shared" si="23"/>
        <v>25.375</v>
      </c>
      <c r="M78">
        <f t="shared" ref="M78:M112" si="24">K78-L78</f>
        <v>9.9999999999980105E-3</v>
      </c>
      <c r="U78">
        <f t="shared" ref="U78:V78" si="25">(U4+U40)/2</f>
        <v>2.3285650000000047E-3</v>
      </c>
      <c r="V78">
        <f t="shared" si="25"/>
        <v>-2.7297999999997824E-4</v>
      </c>
      <c r="AC78">
        <f t="shared" ref="AC78:AD78" si="26">(AC4+AC40)/2</f>
        <v>3.9241739964159392</v>
      </c>
      <c r="AD78">
        <f t="shared" si="26"/>
        <v>1.07286083084092</v>
      </c>
    </row>
    <row r="79" spans="1:32" x14ac:dyDescent="0.25">
      <c r="A79">
        <v>3</v>
      </c>
      <c r="C79" s="14">
        <v>20</v>
      </c>
      <c r="K79">
        <f t="shared" ref="K79:L79" si="27">(K5+K41)/2</f>
        <v>25.395</v>
      </c>
      <c r="L79">
        <f t="shared" si="27"/>
        <v>25.384999999999998</v>
      </c>
      <c r="M79">
        <f t="shared" si="24"/>
        <v>1.0000000000001563E-2</v>
      </c>
      <c r="U79">
        <f t="shared" ref="U79:V79" si="28">(U5+U41)/2</f>
        <v>2.3950650000000018E-3</v>
      </c>
      <c r="V79">
        <f t="shared" si="28"/>
        <v>9.2836499999998656E-4</v>
      </c>
      <c r="AC79">
        <f t="shared" ref="AC79:AD79" si="29">(AC5+AC41)/2</f>
        <v>3.8458322486464374</v>
      </c>
      <c r="AD79">
        <f t="shared" si="29"/>
        <v>1.3976934853942209</v>
      </c>
    </row>
    <row r="80" spans="1:32" x14ac:dyDescent="0.25">
      <c r="A80">
        <v>4</v>
      </c>
      <c r="C80" s="14">
        <v>30</v>
      </c>
      <c r="K80">
        <f t="shared" ref="K80:L80" si="30">(K6+K42)/2</f>
        <v>25.305</v>
      </c>
      <c r="L80">
        <f t="shared" si="30"/>
        <v>25.299999999999997</v>
      </c>
      <c r="M80">
        <f t="shared" si="24"/>
        <v>5.000000000002558E-3</v>
      </c>
      <c r="U80">
        <f t="shared" ref="U80:V80" si="31">(U6+U42)/2</f>
        <v>2.3637350000000057E-3</v>
      </c>
      <c r="V80">
        <f t="shared" si="31"/>
        <v>4.1703000000004042E-4</v>
      </c>
      <c r="AC80">
        <f t="shared" ref="AC80:AD80" si="32">(AC6+AC42)/2</f>
        <v>3.7092370967595478</v>
      </c>
      <c r="AD80">
        <f t="shared" si="32"/>
        <v>1.7090273716184958</v>
      </c>
    </row>
    <row r="81" spans="1:30" x14ac:dyDescent="0.25">
      <c r="A81">
        <v>5</v>
      </c>
      <c r="C81" s="14">
        <v>40</v>
      </c>
      <c r="K81">
        <f t="shared" ref="K81:L81" si="33">(K7+K43)/2</f>
        <v>25.18</v>
      </c>
      <c r="L81">
        <f t="shared" si="33"/>
        <v>25.185000000000002</v>
      </c>
      <c r="M81">
        <f t="shared" si="24"/>
        <v>-5.000000000002558E-3</v>
      </c>
      <c r="U81">
        <f t="shared" ref="U81:V81" si="34">(U7+U43)/2</f>
        <v>1.8254099999999995E-3</v>
      </c>
      <c r="V81">
        <f t="shared" si="34"/>
        <v>1.391185000000017E-3</v>
      </c>
      <c r="AC81">
        <f t="shared" ref="AC81:AD81" si="35">(AC7+AC43)/2</f>
        <v>3.5472250098038902</v>
      </c>
      <c r="AD81">
        <f t="shared" si="35"/>
        <v>2.0405638577813612</v>
      </c>
    </row>
    <row r="82" spans="1:30" x14ac:dyDescent="0.25">
      <c r="A82">
        <v>6</v>
      </c>
      <c r="C82" s="14">
        <v>50</v>
      </c>
      <c r="K82">
        <f t="shared" ref="K82:L82" si="36">(K8+K44)/2</f>
        <v>25.375</v>
      </c>
      <c r="L82">
        <f t="shared" si="36"/>
        <v>25.385000000000002</v>
      </c>
      <c r="M82">
        <f t="shared" si="24"/>
        <v>-1.0000000000001563E-2</v>
      </c>
      <c r="U82">
        <f t="shared" ref="U82:V82" si="37">(U8+U44)/2</f>
        <v>1.2356649999999969E-3</v>
      </c>
      <c r="V82">
        <f t="shared" si="37"/>
        <v>1.6293850000000387E-3</v>
      </c>
      <c r="AC82">
        <f t="shared" ref="AC82:AD82" si="38">(AC8+AC44)/2</f>
        <v>3.3505115244184811</v>
      </c>
      <c r="AD82">
        <f t="shared" si="38"/>
        <v>2.318235232458985</v>
      </c>
    </row>
    <row r="83" spans="1:30" x14ac:dyDescent="0.25">
      <c r="A83">
        <v>7</v>
      </c>
      <c r="C83" s="14">
        <v>60</v>
      </c>
      <c r="K83">
        <f t="shared" ref="K83:L83" si="39">(K9+K45)/2</f>
        <v>25.414999999999999</v>
      </c>
      <c r="L83">
        <f t="shared" si="39"/>
        <v>25.4</v>
      </c>
      <c r="M83">
        <f t="shared" si="24"/>
        <v>1.5000000000000568E-2</v>
      </c>
      <c r="U83">
        <f t="shared" ref="U83:V83" si="40">(U9+U45)/2</f>
        <v>-6.5603499999998538E-4</v>
      </c>
      <c r="V83">
        <f t="shared" si="40"/>
        <v>1.7934799999999862E-3</v>
      </c>
      <c r="AC83">
        <f t="shared" ref="AC83:AD83" si="41">(AC9+AC45)/2</f>
        <v>3.0937078725272511</v>
      </c>
      <c r="AD83">
        <f t="shared" si="41"/>
        <v>2.6189507786343471</v>
      </c>
    </row>
    <row r="84" spans="1:30" x14ac:dyDescent="0.25">
      <c r="A84">
        <v>8</v>
      </c>
      <c r="C84" s="14">
        <v>70</v>
      </c>
      <c r="K84">
        <f t="shared" ref="K84:L84" si="42">(K10+K46)/2</f>
        <v>25.274999999999999</v>
      </c>
      <c r="L84">
        <f t="shared" si="42"/>
        <v>25.270000000000003</v>
      </c>
      <c r="M84">
        <f t="shared" si="24"/>
        <v>4.9999999999954525E-3</v>
      </c>
      <c r="U84">
        <f t="shared" ref="U84:V84" si="43">(U10+U46)/2</f>
        <v>-6.0523000000001215E-4</v>
      </c>
      <c r="V84">
        <f t="shared" si="43"/>
        <v>6.0420499999999655E-4</v>
      </c>
      <c r="AC84">
        <f t="shared" ref="AC84:AD84" si="44">(AC10+AC46)/2</f>
        <v>2.9423381483756295</v>
      </c>
      <c r="AD84">
        <f t="shared" si="44"/>
        <v>2.8539173601418444</v>
      </c>
    </row>
    <row r="85" spans="1:30" x14ac:dyDescent="0.25">
      <c r="A85">
        <v>9</v>
      </c>
      <c r="C85" s="14">
        <v>80</v>
      </c>
      <c r="K85">
        <f t="shared" ref="K85:L85" si="45">(K11+K47)/2</f>
        <v>24.905000000000001</v>
      </c>
      <c r="L85">
        <f t="shared" si="45"/>
        <v>24.914999999999999</v>
      </c>
      <c r="M85">
        <f t="shared" si="24"/>
        <v>-9.9999999999980105E-3</v>
      </c>
      <c r="U85">
        <f t="shared" ref="U85:V85" si="46">(U11+U47)/2</f>
        <v>2.3461150000000097E-3</v>
      </c>
      <c r="V85">
        <f t="shared" si="46"/>
        <v>9.3236749999999757E-3</v>
      </c>
      <c r="AC85">
        <f t="shared" ref="AC85:AD85" si="47">(AC11+AC47)/2</f>
        <v>2.7048969748679621</v>
      </c>
      <c r="AD85">
        <f t="shared" si="47"/>
        <v>3.1406179791753503</v>
      </c>
    </row>
    <row r="86" spans="1:30" x14ac:dyDescent="0.25">
      <c r="A86">
        <v>10</v>
      </c>
      <c r="C86" s="14">
        <v>90</v>
      </c>
      <c r="K86">
        <f t="shared" ref="K86:L86" si="48">(K12+K48)/2</f>
        <v>25.435000000000002</v>
      </c>
      <c r="L86">
        <f t="shared" si="48"/>
        <v>25.435000000000002</v>
      </c>
      <c r="M86">
        <f t="shared" si="24"/>
        <v>0</v>
      </c>
      <c r="U86">
        <f t="shared" ref="U86:V86" si="49">(U12+U48)/2</f>
        <v>-7.2691499999999465E-4</v>
      </c>
      <c r="V86">
        <f t="shared" si="49"/>
        <v>2.4488399999999799E-3</v>
      </c>
      <c r="AC86">
        <f t="shared" ref="AC86:AD86" si="50">(AC12+AC48)/2</f>
        <v>2.3410870075140124</v>
      </c>
      <c r="AD86">
        <f t="shared" si="50"/>
        <v>3.3296711636124643</v>
      </c>
    </row>
    <row r="87" spans="1:30" x14ac:dyDescent="0.25">
      <c r="A87">
        <v>11</v>
      </c>
      <c r="C87" s="14">
        <v>100</v>
      </c>
      <c r="K87">
        <f t="shared" ref="K87:L87" si="51">(K13+K49)/2</f>
        <v>25.16</v>
      </c>
      <c r="L87">
        <f t="shared" si="51"/>
        <v>25.17</v>
      </c>
      <c r="M87">
        <f t="shared" si="24"/>
        <v>-1.0000000000001563E-2</v>
      </c>
      <c r="U87">
        <f t="shared" ref="U87:V87" si="52">(U13+U49)/2</f>
        <v>-1.4034650000000065E-3</v>
      </c>
      <c r="V87">
        <f t="shared" si="52"/>
        <v>2.2465850000000231E-3</v>
      </c>
      <c r="AC87">
        <f t="shared" ref="AC87:AD87" si="53">(AC13+AC49)/2</f>
        <v>2.0888515823132536</v>
      </c>
      <c r="AD87">
        <f t="shared" si="53"/>
        <v>3.522119924684735</v>
      </c>
    </row>
    <row r="88" spans="1:30" x14ac:dyDescent="0.25">
      <c r="A88">
        <v>12</v>
      </c>
      <c r="C88" s="14">
        <v>110</v>
      </c>
      <c r="K88">
        <f t="shared" ref="K88:L88" si="54">(K14+K50)/2</f>
        <v>25.310000000000002</v>
      </c>
      <c r="L88">
        <f t="shared" si="54"/>
        <v>25.324999999999999</v>
      </c>
      <c r="M88">
        <f t="shared" si="24"/>
        <v>-1.4999999999997016E-2</v>
      </c>
      <c r="U88">
        <f t="shared" ref="U88:V88" si="55">(U14+U50)/2</f>
        <v>4.9251999999999629E-4</v>
      </c>
      <c r="V88">
        <f t="shared" si="55"/>
        <v>2.3394899999999719E-3</v>
      </c>
      <c r="AC88">
        <f t="shared" ref="AC88:AD88" si="56">(AC14+AC50)/2</f>
        <v>1.7903223689867942</v>
      </c>
      <c r="AD88">
        <f t="shared" si="56"/>
        <v>3.717045740440402</v>
      </c>
    </row>
    <row r="89" spans="1:30" x14ac:dyDescent="0.25">
      <c r="A89">
        <v>13</v>
      </c>
      <c r="C89" s="14">
        <v>120</v>
      </c>
      <c r="K89">
        <f t="shared" ref="K89:L89" si="57">(K15+K51)/2</f>
        <v>25.515000000000001</v>
      </c>
      <c r="L89">
        <f t="shared" si="57"/>
        <v>25.535</v>
      </c>
      <c r="M89">
        <f t="shared" si="24"/>
        <v>-1.9999999999999574E-2</v>
      </c>
      <c r="U89">
        <f t="shared" ref="U89:V89" si="58">(U15+U51)/2</f>
        <v>-3.5628500000001173E-4</v>
      </c>
      <c r="V89">
        <f t="shared" si="58"/>
        <v>2.1207849999999862E-3</v>
      </c>
      <c r="AC89">
        <f t="shared" ref="AC89:AD89" si="59">(AC15+AC51)/2</f>
        <v>1.3770907760460294</v>
      </c>
      <c r="AD89">
        <f t="shared" si="59"/>
        <v>3.7982121049252764</v>
      </c>
    </row>
    <row r="90" spans="1:30" x14ac:dyDescent="0.25">
      <c r="A90">
        <v>14</v>
      </c>
      <c r="C90" s="14">
        <v>130</v>
      </c>
      <c r="K90">
        <f t="shared" ref="K90:L90" si="60">(K16+K52)/2</f>
        <v>25.344999999999999</v>
      </c>
      <c r="L90">
        <f t="shared" si="60"/>
        <v>25.36</v>
      </c>
      <c r="M90">
        <f t="shared" si="24"/>
        <v>-1.5000000000000568E-2</v>
      </c>
      <c r="U90">
        <f t="shared" ref="U90:V90" si="61">(U16+U52)/2</f>
        <v>-2.8659750000000067E-3</v>
      </c>
      <c r="V90">
        <f t="shared" si="61"/>
        <v>3.0075999999999992E-3</v>
      </c>
      <c r="AC90">
        <f t="shared" ref="AC90:AD90" si="62">(AC16+AC52)/2</f>
        <v>1.1403596574152048</v>
      </c>
      <c r="AD90">
        <f t="shared" si="62"/>
        <v>3.9318332954566206</v>
      </c>
    </row>
    <row r="91" spans="1:30" x14ac:dyDescent="0.25">
      <c r="A91">
        <v>15</v>
      </c>
      <c r="C91" s="14">
        <v>140</v>
      </c>
      <c r="K91">
        <f t="shared" ref="K91:L91" si="63">(K17+K53)/2</f>
        <v>25.324999999999999</v>
      </c>
      <c r="L91">
        <f t="shared" si="63"/>
        <v>25.314999999999998</v>
      </c>
      <c r="M91">
        <f t="shared" si="24"/>
        <v>1.0000000000001563E-2</v>
      </c>
      <c r="U91">
        <f t="shared" ref="U91:V91" si="64">(U17+U53)/2</f>
        <v>-1.281110000000002E-3</v>
      </c>
      <c r="V91">
        <f t="shared" si="64"/>
        <v>5.3801000000000543E-4</v>
      </c>
      <c r="AC91">
        <f t="shared" ref="AC91:AD91" si="65">(AC17+AC53)/2</f>
        <v>0.80458877215022562</v>
      </c>
      <c r="AD91">
        <f t="shared" si="65"/>
        <v>4.030201967666887</v>
      </c>
    </row>
    <row r="92" spans="1:30" x14ac:dyDescent="0.25">
      <c r="A92">
        <v>16</v>
      </c>
      <c r="C92" s="14">
        <v>150</v>
      </c>
      <c r="K92">
        <f t="shared" ref="K92:L92" si="66">(K18+K54)/2</f>
        <v>25.335000000000001</v>
      </c>
      <c r="L92">
        <f t="shared" si="66"/>
        <v>25.32</v>
      </c>
      <c r="M92">
        <f t="shared" si="24"/>
        <v>1.5000000000000568E-2</v>
      </c>
      <c r="U92">
        <f t="shared" ref="U92:V92" si="67">(U18+U54)/2</f>
        <v>-3.0598599999999976E-3</v>
      </c>
      <c r="V92">
        <f t="shared" si="67"/>
        <v>1.2621199999999777E-3</v>
      </c>
      <c r="AC92">
        <f t="shared" ref="AC92:AD92" si="68">(AC18+AC54)/2</f>
        <v>0.4899675000722451</v>
      </c>
      <c r="AD92">
        <f t="shared" si="68"/>
        <v>4.0522202483729561</v>
      </c>
    </row>
    <row r="93" spans="1:30" x14ac:dyDescent="0.25">
      <c r="A93">
        <v>17</v>
      </c>
      <c r="C93" s="14">
        <v>160</v>
      </c>
      <c r="K93">
        <f t="shared" ref="K93:L93" si="69">(K19+K55)/2</f>
        <v>25.265000000000001</v>
      </c>
      <c r="L93">
        <f t="shared" si="69"/>
        <v>25.274999999999999</v>
      </c>
      <c r="M93">
        <f t="shared" si="24"/>
        <v>-9.9999999999980105E-3</v>
      </c>
      <c r="U93">
        <f t="shared" ref="U93:V93" si="70">(U19+U55)/2</f>
        <v>-2.1541949999999976E-3</v>
      </c>
      <c r="V93">
        <f t="shared" si="70"/>
        <v>1.178270000000009E-3</v>
      </c>
      <c r="AC93">
        <f t="shared" ref="AC93:AD93" si="71">(AC19+AC55)/2</f>
        <v>0.30261281975084298</v>
      </c>
      <c r="AD93">
        <f t="shared" si="71"/>
        <v>4.0999088397862637</v>
      </c>
    </row>
    <row r="94" spans="1:30" x14ac:dyDescent="0.25">
      <c r="A94">
        <v>18</v>
      </c>
      <c r="C94" s="14">
        <v>170</v>
      </c>
      <c r="K94">
        <f t="shared" ref="K94:L94" si="72">(K20+K56)/2</f>
        <v>25.39</v>
      </c>
      <c r="L94">
        <f t="shared" si="72"/>
        <v>25.38</v>
      </c>
      <c r="M94">
        <f t="shared" si="24"/>
        <v>1.0000000000001563E-2</v>
      </c>
      <c r="U94">
        <f t="shared" ref="U94:V94" si="73">(U20+U56)/2</f>
        <v>-3.6728850000000007E-3</v>
      </c>
      <c r="V94">
        <f t="shared" si="73"/>
        <v>-1.1731150000000301E-3</v>
      </c>
      <c r="AC94">
        <f t="shared" ref="AC94:AD94" si="74">(AC20+AC56)/2</f>
        <v>0.44968851548850786</v>
      </c>
      <c r="AD94">
        <f t="shared" si="74"/>
        <v>4.0351063244945351</v>
      </c>
    </row>
    <row r="95" spans="1:30" x14ac:dyDescent="0.25">
      <c r="A95">
        <v>19</v>
      </c>
      <c r="C95" s="14">
        <v>180</v>
      </c>
      <c r="K95">
        <f t="shared" ref="K95:L95" si="75">(K21+K57)/2</f>
        <v>25.32</v>
      </c>
      <c r="L95">
        <f t="shared" si="75"/>
        <v>25.324999999999999</v>
      </c>
      <c r="M95">
        <f t="shared" si="24"/>
        <v>-4.9999999999990052E-3</v>
      </c>
      <c r="U95">
        <f t="shared" ref="U95:V95" si="76">(U21+U57)/2</f>
        <v>-3.5468400000000094E-3</v>
      </c>
      <c r="V95">
        <f t="shared" si="76"/>
        <v>-1.9574950000000035E-3</v>
      </c>
      <c r="AC95">
        <f t="shared" ref="AC95:AD95" si="77">(AC21+AC57)/2</f>
        <v>0.74397463656096163</v>
      </c>
      <c r="AD95">
        <f t="shared" si="77"/>
        <v>4.0552096538364042</v>
      </c>
    </row>
    <row r="96" spans="1:30" x14ac:dyDescent="0.25">
      <c r="A96">
        <v>20</v>
      </c>
      <c r="C96" s="14">
        <v>190</v>
      </c>
      <c r="K96">
        <f t="shared" ref="K96:L96" si="78">(K22+K58)/2</f>
        <v>25.41</v>
      </c>
      <c r="L96">
        <f t="shared" si="78"/>
        <v>25.42</v>
      </c>
      <c r="M96">
        <f t="shared" si="24"/>
        <v>-1.0000000000001563E-2</v>
      </c>
      <c r="U96">
        <f t="shared" ref="U96:V96" si="79">(U22+U58)/2</f>
        <v>-1.2084699999999893E-3</v>
      </c>
      <c r="V96">
        <f t="shared" si="79"/>
        <v>6.3660000000020922E-5</v>
      </c>
      <c r="AC96">
        <f t="shared" ref="AC96:AD96" si="80">(AC22+AC58)/2</f>
        <v>1.061512442604001</v>
      </c>
      <c r="AD96">
        <f t="shared" si="80"/>
        <v>3.9474676489389831</v>
      </c>
    </row>
    <row r="97" spans="1:30" x14ac:dyDescent="0.25">
      <c r="A97">
        <v>21</v>
      </c>
      <c r="C97" s="14">
        <v>200</v>
      </c>
      <c r="K97">
        <f t="shared" ref="K97:L97" si="81">(K23+K59)/2</f>
        <v>25.445</v>
      </c>
      <c r="L97">
        <f t="shared" si="81"/>
        <v>25.435000000000002</v>
      </c>
      <c r="M97">
        <f t="shared" si="24"/>
        <v>9.9999999999980105E-3</v>
      </c>
      <c r="U97">
        <f t="shared" ref="U97:V97" si="82">(U23+U59)/2</f>
        <v>-3.1850199999999967E-3</v>
      </c>
      <c r="V97">
        <f t="shared" si="82"/>
        <v>-9.6291999999997824E-4</v>
      </c>
      <c r="AC97">
        <f t="shared" ref="AC97:AD97" si="83">(AC23+AC59)/2</f>
        <v>1.4225681822586806</v>
      </c>
      <c r="AD97">
        <f t="shared" si="83"/>
        <v>3.8260497933569857</v>
      </c>
    </row>
    <row r="98" spans="1:30" x14ac:dyDescent="0.25">
      <c r="A98">
        <v>22</v>
      </c>
      <c r="C98" s="14">
        <v>210</v>
      </c>
      <c r="K98">
        <f t="shared" ref="K98:L98" si="84">(K24+K60)/2</f>
        <v>25.38</v>
      </c>
      <c r="L98">
        <f t="shared" si="84"/>
        <v>25.375</v>
      </c>
      <c r="M98">
        <f t="shared" si="24"/>
        <v>4.9999999999990052E-3</v>
      </c>
      <c r="U98">
        <f t="shared" ref="U98:V98" si="85">(U24+U60)/2</f>
        <v>-1.7406900000000031E-3</v>
      </c>
      <c r="V98">
        <f t="shared" si="85"/>
        <v>-1.651890000000017E-3</v>
      </c>
      <c r="AC98">
        <f t="shared" ref="AC98:AD98" si="86">(AC24+AC60)/2</f>
        <v>1.730024635329876</v>
      </c>
      <c r="AD98">
        <f t="shared" si="86"/>
        <v>3.6967101212142817</v>
      </c>
    </row>
    <row r="99" spans="1:30" x14ac:dyDescent="0.25">
      <c r="A99">
        <v>23</v>
      </c>
      <c r="C99" s="14">
        <v>220</v>
      </c>
      <c r="K99">
        <f t="shared" ref="K99:L99" si="87">(K25+K61)/2</f>
        <v>25.385000000000002</v>
      </c>
      <c r="L99">
        <f t="shared" si="87"/>
        <v>25.39</v>
      </c>
      <c r="M99">
        <f t="shared" si="24"/>
        <v>-4.9999999999990052E-3</v>
      </c>
      <c r="U99">
        <f t="shared" ref="U99:V99" si="88">(U25+U61)/2</f>
        <v>-1.0750499999999941E-3</v>
      </c>
      <c r="V99">
        <f t="shared" si="88"/>
        <v>-1.708849999999984E-3</v>
      </c>
      <c r="AC99">
        <f t="shared" ref="AC99:AD99" si="89">(AC25+AC61)/2</f>
        <v>2.0384050560639624</v>
      </c>
      <c r="AD99">
        <f t="shared" si="89"/>
        <v>3.5597156368583986</v>
      </c>
    </row>
    <row r="100" spans="1:30" x14ac:dyDescent="0.25">
      <c r="A100">
        <v>24</v>
      </c>
      <c r="C100" s="14">
        <v>230</v>
      </c>
      <c r="K100">
        <f t="shared" ref="K100:L100" si="90">(K26+K62)/2</f>
        <v>25.274999999999999</v>
      </c>
      <c r="L100">
        <f t="shared" si="90"/>
        <v>25.28</v>
      </c>
      <c r="M100">
        <f t="shared" si="24"/>
        <v>-5.000000000002558E-3</v>
      </c>
      <c r="U100">
        <f t="shared" ref="U100:V100" si="91">(U26+U62)/2</f>
        <v>-1.4244750000000084E-3</v>
      </c>
      <c r="V100">
        <f t="shared" si="91"/>
        <v>-1.1153700000000044E-3</v>
      </c>
      <c r="AC100">
        <f t="shared" ref="AC100:AD100" si="92">(AC26+AC62)/2</f>
        <v>2.4613959927922116</v>
      </c>
      <c r="AD100">
        <f t="shared" si="92"/>
        <v>3.2910805852549725</v>
      </c>
    </row>
    <row r="101" spans="1:30" x14ac:dyDescent="0.25">
      <c r="A101">
        <v>25</v>
      </c>
      <c r="C101" s="14">
        <v>240</v>
      </c>
      <c r="K101">
        <f t="shared" ref="K101:L101" si="93">(K27+K63)/2</f>
        <v>25.225000000000001</v>
      </c>
      <c r="L101">
        <f t="shared" si="93"/>
        <v>25.23</v>
      </c>
      <c r="M101">
        <f t="shared" si="24"/>
        <v>-4.9999999999990052E-3</v>
      </c>
      <c r="U101">
        <f t="shared" ref="U101:V101" si="94">(U27+U63)/2</f>
        <v>-1.2001399999999884E-3</v>
      </c>
      <c r="V101">
        <f t="shared" si="94"/>
        <v>-2.4275850000000099E-3</v>
      </c>
      <c r="AC101">
        <f t="shared" ref="AC101:AD101" si="95">(AC27+AC63)/2</f>
        <v>2.7520444646944444</v>
      </c>
      <c r="AD101">
        <f t="shared" si="95"/>
        <v>3.0199629309561775</v>
      </c>
    </row>
    <row r="102" spans="1:30" x14ac:dyDescent="0.25">
      <c r="A102">
        <v>26</v>
      </c>
      <c r="C102" s="14">
        <v>250</v>
      </c>
      <c r="K102">
        <f t="shared" ref="K102:L102" si="96">(K28+K64)/2</f>
        <v>25.11</v>
      </c>
      <c r="L102">
        <f t="shared" si="96"/>
        <v>25.12</v>
      </c>
      <c r="M102">
        <f t="shared" si="24"/>
        <v>-1.0000000000001563E-2</v>
      </c>
      <c r="U102">
        <f t="shared" ref="U102:V102" si="97">(U28+U64)/2</f>
        <v>4.8404500000000239E-4</v>
      </c>
      <c r="V102">
        <f t="shared" si="97"/>
        <v>-7.127949999999883E-4</v>
      </c>
      <c r="AC102">
        <f t="shared" ref="AC102:AD102" si="98">(AC28+AC64)/2</f>
        <v>3.0088337803135978</v>
      </c>
      <c r="AD102">
        <f t="shared" si="98"/>
        <v>2.8111057018747925</v>
      </c>
    </row>
    <row r="103" spans="1:30" x14ac:dyDescent="0.25">
      <c r="A103">
        <v>27</v>
      </c>
      <c r="C103" s="14">
        <v>260</v>
      </c>
      <c r="K103">
        <f t="shared" ref="K103:L103" si="99">(K29+K65)/2</f>
        <v>25.33</v>
      </c>
      <c r="L103">
        <f t="shared" si="99"/>
        <v>25.32</v>
      </c>
      <c r="M103">
        <f t="shared" si="24"/>
        <v>9.9999999999980105E-3</v>
      </c>
      <c r="U103">
        <f t="shared" ref="U103:V103" si="100">(U29+U65)/2</f>
        <v>6.3412499999999927E-4</v>
      </c>
      <c r="V103">
        <f t="shared" si="100"/>
        <v>-1.7034550000000204E-3</v>
      </c>
      <c r="AC103">
        <f t="shared" ref="AC103:AD103" si="101">(AC29+AC65)/2</f>
        <v>3.2143813547491584</v>
      </c>
      <c r="AD103">
        <f t="shared" si="101"/>
        <v>2.5476570822473703</v>
      </c>
    </row>
    <row r="104" spans="1:30" x14ac:dyDescent="0.25">
      <c r="A104">
        <v>28</v>
      </c>
      <c r="C104" s="14">
        <v>270</v>
      </c>
      <c r="K104">
        <f t="shared" ref="K104:L104" si="102">(K30+K66)/2</f>
        <v>25.385000000000002</v>
      </c>
      <c r="L104">
        <f t="shared" si="102"/>
        <v>25.384999999999998</v>
      </c>
      <c r="M104">
        <f t="shared" si="24"/>
        <v>0</v>
      </c>
      <c r="U104">
        <f t="shared" ref="U104:V104" si="103">(U30+U66)/2</f>
        <v>7.2453999999999574E-4</v>
      </c>
      <c r="V104">
        <f t="shared" si="103"/>
        <v>-3.8967249999999898E-3</v>
      </c>
      <c r="AC104">
        <f t="shared" ref="AC104:AD104" si="104">(AC30+AC66)/2</f>
        <v>3.4150998416073985</v>
      </c>
      <c r="AD104">
        <f t="shared" si="104"/>
        <v>2.2797460113785966</v>
      </c>
    </row>
    <row r="105" spans="1:30" x14ac:dyDescent="0.25">
      <c r="A105">
        <v>29</v>
      </c>
      <c r="C105" s="14">
        <v>280</v>
      </c>
      <c r="K105">
        <f t="shared" ref="K105:L105" si="105">(K31+K67)/2</f>
        <v>25.29</v>
      </c>
      <c r="L105">
        <f t="shared" si="105"/>
        <v>25.285</v>
      </c>
      <c r="M105">
        <f t="shared" si="24"/>
        <v>4.9999999999990052E-3</v>
      </c>
      <c r="U105">
        <f t="shared" ref="U105:V105" si="106">(U31+U67)/2</f>
        <v>-6.4920999999998341E-4</v>
      </c>
      <c r="V105">
        <f t="shared" si="106"/>
        <v>-2.3596549999999883E-3</v>
      </c>
      <c r="AC105">
        <f t="shared" ref="AC105:AD105" si="107">(AC31+AC67)/2</f>
        <v>3.6129402201977752</v>
      </c>
      <c r="AD105">
        <f t="shared" si="107"/>
        <v>1.9753558212709854</v>
      </c>
    </row>
    <row r="106" spans="1:30" x14ac:dyDescent="0.25">
      <c r="A106">
        <v>30</v>
      </c>
      <c r="C106" s="14">
        <v>290</v>
      </c>
      <c r="K106">
        <f t="shared" ref="K106:L106" si="108">(K32+K68)/2</f>
        <v>25.28</v>
      </c>
      <c r="L106">
        <f t="shared" si="108"/>
        <v>25.259999999999998</v>
      </c>
      <c r="M106">
        <f t="shared" si="24"/>
        <v>2.0000000000003126E-2</v>
      </c>
      <c r="U106">
        <f t="shared" ref="U106:V106" si="109">(U32+U68)/2</f>
        <v>1.4703449999999979E-3</v>
      </c>
      <c r="V106">
        <f t="shared" si="109"/>
        <v>-2.932749999999984E-3</v>
      </c>
      <c r="AC106">
        <f t="shared" ref="AC106:AD106" si="110">(AC32+AC68)/2</f>
        <v>3.7537715440242851</v>
      </c>
      <c r="AD106">
        <f t="shared" si="110"/>
        <v>1.613442897806264</v>
      </c>
    </row>
    <row r="107" spans="1:30" x14ac:dyDescent="0.25">
      <c r="A107">
        <v>31</v>
      </c>
      <c r="C107" s="14">
        <v>300</v>
      </c>
      <c r="K107">
        <f t="shared" ref="K107:L107" si="111">(K33+K69)/2</f>
        <v>25.395000000000003</v>
      </c>
      <c r="L107">
        <f t="shared" si="111"/>
        <v>25.384999999999998</v>
      </c>
      <c r="M107">
        <f t="shared" si="24"/>
        <v>1.0000000000005116E-2</v>
      </c>
      <c r="U107">
        <f t="shared" ref="U107:V107" si="112">(U33+U69)/2</f>
        <v>6.5557000000000809E-4</v>
      </c>
      <c r="V107">
        <f t="shared" si="112"/>
        <v>-2.6791850000000006E-3</v>
      </c>
      <c r="AC107">
        <f t="shared" ref="AC107:AD107" si="113">(AC33+AC69)/2</f>
        <v>3.8679318284857915</v>
      </c>
      <c r="AD107">
        <f t="shared" si="113"/>
        <v>1.286405357485241</v>
      </c>
    </row>
    <row r="108" spans="1:30" x14ac:dyDescent="0.25">
      <c r="A108">
        <v>32</v>
      </c>
      <c r="C108" s="14">
        <v>310</v>
      </c>
      <c r="K108">
        <f t="shared" ref="K108:L108" si="114">(K34+K70)/2</f>
        <v>25.395</v>
      </c>
      <c r="L108">
        <f t="shared" si="114"/>
        <v>25.38</v>
      </c>
      <c r="M108">
        <f t="shared" si="24"/>
        <v>1.5000000000000568E-2</v>
      </c>
      <c r="U108">
        <f t="shared" ref="U108:V108" si="115">(U34+U70)/2</f>
        <v>2.4620950000000114E-3</v>
      </c>
      <c r="V108">
        <f t="shared" si="115"/>
        <v>-4.3783749999999899E-3</v>
      </c>
      <c r="AC108">
        <f t="shared" ref="AC108:AD108" si="116">(AC34+AC70)/2</f>
        <v>3.959296169291461</v>
      </c>
      <c r="AD108">
        <f t="shared" si="116"/>
        <v>0.95271866315492237</v>
      </c>
    </row>
    <row r="109" spans="1:30" x14ac:dyDescent="0.25">
      <c r="A109">
        <v>33</v>
      </c>
      <c r="C109">
        <v>320</v>
      </c>
      <c r="K109">
        <f t="shared" ref="K109:L109" si="117">(K35+K71)/2</f>
        <v>25.384999999999998</v>
      </c>
      <c r="L109">
        <f t="shared" si="117"/>
        <v>25.4</v>
      </c>
      <c r="M109">
        <f t="shared" si="24"/>
        <v>-1.5000000000000568E-2</v>
      </c>
      <c r="U109">
        <f t="shared" ref="U109:V109" si="118">(U35+U71)/2</f>
        <v>1.3401999999999997E-3</v>
      </c>
      <c r="V109">
        <f t="shared" si="118"/>
        <v>-1.4710900000000082E-3</v>
      </c>
      <c r="AC109">
        <f t="shared" ref="AC109:AD109" si="119">(AC35+AC71)/2</f>
        <v>4.0188835867136081</v>
      </c>
      <c r="AD109">
        <f t="shared" si="119"/>
        <v>0.65413123734675871</v>
      </c>
    </row>
    <row r="110" spans="1:30" x14ac:dyDescent="0.25">
      <c r="A110">
        <v>34</v>
      </c>
      <c r="C110">
        <v>330</v>
      </c>
      <c r="K110">
        <f t="shared" ref="K110:L110" si="120">(K36+K72)/2</f>
        <v>25.31</v>
      </c>
      <c r="L110">
        <f t="shared" si="120"/>
        <v>25.314999999999998</v>
      </c>
      <c r="M110">
        <f t="shared" si="24"/>
        <v>-4.9999999999990052E-3</v>
      </c>
      <c r="U110">
        <f t="shared" ref="U110:V110" si="121">(U36+U72)/2</f>
        <v>2.3260999999999976E-3</v>
      </c>
      <c r="V110">
        <f t="shared" si="121"/>
        <v>-1.1568200000000306E-3</v>
      </c>
      <c r="AC110">
        <f t="shared" ref="AC110:AD110" si="122">(AC36+AC72)/2</f>
        <v>4.064637887019277</v>
      </c>
      <c r="AD110">
        <f t="shared" si="122"/>
        <v>0.40819804595876807</v>
      </c>
    </row>
    <row r="111" spans="1:30" x14ac:dyDescent="0.25">
      <c r="A111">
        <v>35</v>
      </c>
      <c r="C111">
        <v>340</v>
      </c>
      <c r="K111">
        <f t="shared" ref="K111:L111" si="123">(K37+K73)/2</f>
        <v>25.310000000000002</v>
      </c>
      <c r="L111">
        <f t="shared" si="123"/>
        <v>25.314999999999998</v>
      </c>
      <c r="M111">
        <f t="shared" si="24"/>
        <v>-4.9999999999954525E-3</v>
      </c>
      <c r="U111">
        <f t="shared" ref="U111:V111" si="124">(U37+U73)/2</f>
        <v>2.5948449999999984E-3</v>
      </c>
      <c r="V111">
        <f t="shared" si="124"/>
        <v>-7.5613499999999112E-4</v>
      </c>
      <c r="AC111">
        <f t="shared" ref="AC111:AD111" si="125">(AC37+AC73)/2</f>
        <v>4.0595551162387373</v>
      </c>
      <c r="AD111">
        <f t="shared" si="125"/>
        <v>0.40740391523878339</v>
      </c>
    </row>
    <row r="112" spans="1:30" x14ac:dyDescent="0.25">
      <c r="A112">
        <v>36</v>
      </c>
      <c r="C112">
        <v>350</v>
      </c>
      <c r="K112">
        <f t="shared" ref="K112:L112" si="126">(K38+K74)/2</f>
        <v>12.68</v>
      </c>
      <c r="L112">
        <f t="shared" si="126"/>
        <v>12.67</v>
      </c>
      <c r="M112">
        <f t="shared" si="24"/>
        <v>9.9999999999997868E-3</v>
      </c>
      <c r="U112">
        <f t="shared" ref="U112:V112" si="127">(U38+U74)/2</f>
        <v>1.3806400000000024E-3</v>
      </c>
      <c r="V112">
        <f t="shared" si="127"/>
        <v>2.7918999999998473E-4</v>
      </c>
      <c r="AC112">
        <f>(AC38+AC74)/2</f>
        <v>2.0377622980570584</v>
      </c>
      <c r="AD112">
        <f t="shared" ref="AD112" si="128">(AD38+AD74)/2</f>
        <v>0.22475553981479621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1425A-C009-419A-9976-13E70976864C}">
  <dimension ref="A1:AA164"/>
  <sheetViews>
    <sheetView topLeftCell="G18" zoomScaleNormal="100" workbookViewId="0">
      <selection activeCell="Z50" sqref="Z50"/>
    </sheetView>
  </sheetViews>
  <sheetFormatPr defaultRowHeight="15.75" x14ac:dyDescent="0.25"/>
  <cols>
    <col min="1" max="1" width="19.42578125" style="31" customWidth="1"/>
    <col min="2" max="2" width="20.140625" style="31" customWidth="1"/>
    <col min="3" max="3" width="20.7109375" style="31" customWidth="1"/>
    <col min="4" max="5" width="9.140625" style="31"/>
    <col min="6" max="6" width="11.5703125" style="31" customWidth="1"/>
    <col min="7" max="7" width="11.7109375" style="31" customWidth="1"/>
    <col min="8" max="8" width="10.85546875" style="31" customWidth="1"/>
    <col min="9" max="10" width="10.28515625" style="31" bestFit="1" customWidth="1"/>
    <col min="11" max="11" width="9.140625" style="31"/>
    <col min="12" max="12" width="21.7109375" style="31" customWidth="1"/>
    <col min="13" max="13" width="21" style="31" customWidth="1"/>
    <col min="14" max="14" width="19.85546875" style="31" customWidth="1"/>
    <col min="15" max="16384" width="9.140625" style="31"/>
  </cols>
  <sheetData>
    <row r="1" spans="1:27" x14ac:dyDescent="0.25">
      <c r="A1" s="114" t="s">
        <v>63</v>
      </c>
      <c r="B1" s="114"/>
      <c r="C1" s="114"/>
      <c r="N1" s="24" t="s">
        <v>64</v>
      </c>
      <c r="O1" s="31">
        <f>COUNT($A$5:$A$104)</f>
        <v>36</v>
      </c>
    </row>
    <row r="2" spans="1:27" x14ac:dyDescent="0.25">
      <c r="A2" s="115" t="s">
        <v>65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P2" s="24"/>
      <c r="Q2" s="24"/>
      <c r="R2" s="24"/>
      <c r="S2" s="24"/>
      <c r="T2" s="24"/>
      <c r="U2" s="24"/>
      <c r="V2" s="24"/>
      <c r="W2" s="24"/>
    </row>
    <row r="3" spans="1:27" x14ac:dyDescent="0.25">
      <c r="A3" s="115" t="s">
        <v>66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P3" s="32"/>
      <c r="Q3" s="32"/>
      <c r="R3" s="32"/>
      <c r="S3" s="32"/>
      <c r="T3" s="32"/>
      <c r="U3" s="32"/>
      <c r="V3" s="32"/>
      <c r="W3" s="32"/>
    </row>
    <row r="4" spans="1:27" x14ac:dyDescent="0.25">
      <c r="A4" s="41" t="s">
        <v>67</v>
      </c>
      <c r="B4" s="41" t="s">
        <v>68</v>
      </c>
      <c r="C4" s="41" t="s">
        <v>69</v>
      </c>
      <c r="E4" s="42" t="s">
        <v>67</v>
      </c>
      <c r="F4" s="42" t="s">
        <v>70</v>
      </c>
      <c r="G4" s="42" t="s">
        <v>71</v>
      </c>
      <c r="H4" s="42" t="s">
        <v>72</v>
      </c>
      <c r="I4" s="42" t="s">
        <v>73</v>
      </c>
      <c r="J4" s="42" t="s">
        <v>74</v>
      </c>
      <c r="L4" s="43" t="s">
        <v>75</v>
      </c>
      <c r="M4" s="43" t="s">
        <v>76</v>
      </c>
      <c r="N4" s="43" t="s">
        <v>77</v>
      </c>
      <c r="P4" s="44"/>
      <c r="Q4" s="44"/>
      <c r="R4" s="44"/>
      <c r="S4" s="44"/>
      <c r="T4" s="44"/>
      <c r="U4" s="44"/>
      <c r="V4" s="44"/>
      <c r="W4" s="44"/>
      <c r="Z4" s="44"/>
      <c r="AA4" s="44"/>
    </row>
    <row r="5" spans="1:27" x14ac:dyDescent="0.25">
      <c r="A5" s="38">
        <v>0</v>
      </c>
      <c r="B5" s="39">
        <v>1.7823950000000061E-3</v>
      </c>
      <c r="C5" s="39">
        <v>-1.4798849999999864E-3</v>
      </c>
      <c r="E5" s="38">
        <f t="shared" ref="E5:E68" si="0">IF(A5="","",A5)</f>
        <v>0</v>
      </c>
      <c r="F5" s="38">
        <f t="shared" ref="F5:F68" si="1">IF(E5="","",RADIANS(E5))</f>
        <v>0</v>
      </c>
      <c r="G5" s="38">
        <f t="shared" ref="G5:G68" si="2">IF(E5="","",COS(F5))</f>
        <v>1</v>
      </c>
      <c r="H5" s="38">
        <f t="shared" ref="H5:H68" si="3">IF(E5="","",SIN(F5))</f>
        <v>0</v>
      </c>
      <c r="I5" s="38">
        <f t="shared" ref="I5:I68" si="4">IF(E5="","",COS(2*F5))</f>
        <v>1</v>
      </c>
      <c r="J5" s="38">
        <f t="shared" ref="J5:J68" si="5">IF(E5="","",SIN(2*F5))</f>
        <v>0</v>
      </c>
      <c r="L5" s="33">
        <v>0</v>
      </c>
      <c r="M5" s="34">
        <f>$B111+$B110*COS(RADIANS(L5))+$B109*SIN(RADIANS(L5))</f>
        <v>2.2923460597387975E-3</v>
      </c>
      <c r="N5" s="34">
        <f>$B137+$B136*COS(RADIANS(L5))+$B135*SIN(RADIANS(L5))</f>
        <v>-1.6971014640774606E-4</v>
      </c>
      <c r="P5" s="45"/>
      <c r="Q5" s="45"/>
      <c r="R5" s="45"/>
      <c r="S5" s="45"/>
      <c r="T5" s="46"/>
      <c r="U5" s="46"/>
      <c r="V5" s="46"/>
      <c r="W5" s="46"/>
      <c r="Z5" s="45"/>
      <c r="AA5" s="45"/>
    </row>
    <row r="6" spans="1:27" x14ac:dyDescent="0.25">
      <c r="A6" s="38">
        <v>10</v>
      </c>
      <c r="B6" s="39">
        <v>2.3285650000000047E-3</v>
      </c>
      <c r="C6" s="39">
        <v>-2.7297999999997824E-4</v>
      </c>
      <c r="E6" s="38">
        <f t="shared" si="0"/>
        <v>10</v>
      </c>
      <c r="F6" s="39">
        <f t="shared" si="1"/>
        <v>0.17453292519943295</v>
      </c>
      <c r="G6" s="39">
        <f t="shared" si="2"/>
        <v>0.98480775301220802</v>
      </c>
      <c r="H6" s="39">
        <f t="shared" si="3"/>
        <v>0.17364817766693033</v>
      </c>
      <c r="I6" s="39">
        <f t="shared" si="4"/>
        <v>0.93969262078590843</v>
      </c>
      <c r="J6" s="39">
        <f t="shared" si="5"/>
        <v>0.34202014332566871</v>
      </c>
      <c r="L6" s="33">
        <v>5</v>
      </c>
      <c r="M6" s="34">
        <f>$B111+$B110*COS(RADIANS(L6))+$B109*SIN(RADIANS(L6))</f>
        <v>2.2575586625495263E-3</v>
      </c>
      <c r="N6" s="34">
        <f>$B137+$B136*COS(RADIANS(L6))+$B135*SIN(RADIANS(L6))</f>
        <v>7.284973684787752E-5</v>
      </c>
      <c r="P6" s="45"/>
      <c r="Q6" s="45"/>
      <c r="R6" s="45"/>
      <c r="S6" s="45"/>
      <c r="T6" s="46"/>
      <c r="U6" s="46"/>
      <c r="V6" s="46"/>
      <c r="W6" s="46"/>
      <c r="Z6" s="45"/>
      <c r="AA6" s="45"/>
    </row>
    <row r="7" spans="1:27" x14ac:dyDescent="0.25">
      <c r="A7" s="38">
        <v>20</v>
      </c>
      <c r="B7" s="39">
        <v>2.3950650000000018E-3</v>
      </c>
      <c r="C7" s="39">
        <v>9.2836499999998656E-4</v>
      </c>
      <c r="E7" s="38">
        <f t="shared" si="0"/>
        <v>20</v>
      </c>
      <c r="F7" s="39">
        <f t="shared" si="1"/>
        <v>0.3490658503988659</v>
      </c>
      <c r="G7" s="39">
        <f t="shared" si="2"/>
        <v>0.93969262078590843</v>
      </c>
      <c r="H7" s="39">
        <f t="shared" si="3"/>
        <v>0.34202014332566871</v>
      </c>
      <c r="I7" s="39">
        <f t="shared" si="4"/>
        <v>0.76604444311897801</v>
      </c>
      <c r="J7" s="39">
        <f t="shared" si="5"/>
        <v>0.64278760968653925</v>
      </c>
      <c r="L7" s="33">
        <v>10</v>
      </c>
      <c r="M7" s="34">
        <f>$B111+$B110*COS(RADIANS(L7))+$B109*SIN(RADIANS(L7))</f>
        <v>2.2051734380594775E-3</v>
      </c>
      <c r="N7" s="34">
        <f>$B137+$B136*COS(RADIANS(L7))+$B135*SIN(RADIANS(L7))</f>
        <v>3.1417336407852037E-4</v>
      </c>
      <c r="P7" s="45"/>
      <c r="Q7" s="45"/>
      <c r="R7" s="45"/>
      <c r="S7" s="45"/>
      <c r="T7" s="46"/>
      <c r="U7" s="46"/>
      <c r="V7" s="46"/>
      <c r="W7" s="46"/>
      <c r="Z7" s="45"/>
      <c r="AA7" s="45"/>
    </row>
    <row r="8" spans="1:27" x14ac:dyDescent="0.25">
      <c r="A8" s="38">
        <v>30</v>
      </c>
      <c r="B8" s="39">
        <v>2.3637350000000057E-3</v>
      </c>
      <c r="C8" s="39">
        <v>4.1703000000004042E-4</v>
      </c>
      <c r="E8" s="38">
        <f t="shared" si="0"/>
        <v>30</v>
      </c>
      <c r="F8" s="39">
        <f t="shared" si="1"/>
        <v>0.52359877559829882</v>
      </c>
      <c r="G8" s="39">
        <f t="shared" si="2"/>
        <v>0.86602540378443871</v>
      </c>
      <c r="H8" s="39">
        <f t="shared" si="3"/>
        <v>0.49999999999999994</v>
      </c>
      <c r="I8" s="39">
        <f t="shared" si="4"/>
        <v>0.50000000000000011</v>
      </c>
      <c r="J8" s="39">
        <f t="shared" si="5"/>
        <v>0.8660254037844386</v>
      </c>
      <c r="L8" s="33">
        <v>15</v>
      </c>
      <c r="M8" s="34">
        <f>$B111+$B110*COS(RADIANS(L8))+$B109*SIN(RADIANS(L8))</f>
        <v>2.1355890694580858E-3</v>
      </c>
      <c r="N8" s="34">
        <f>$B137+$B136*COS(RADIANS(L8))+$B135*SIN(RADIANS(L8))</f>
        <v>5.5242411676576734E-4</v>
      </c>
      <c r="P8" s="45"/>
      <c r="Q8" s="45"/>
      <c r="R8" s="45"/>
      <c r="S8" s="45"/>
      <c r="T8" s="46"/>
      <c r="U8" s="46"/>
      <c r="V8" s="46"/>
      <c r="W8" s="46"/>
      <c r="Z8" s="45"/>
      <c r="AA8" s="45"/>
    </row>
    <row r="9" spans="1:27" x14ac:dyDescent="0.25">
      <c r="A9" s="38">
        <v>40</v>
      </c>
      <c r="B9" s="39">
        <v>1.8254099999999995E-3</v>
      </c>
      <c r="C9" s="39">
        <v>1.391185000000017E-3</v>
      </c>
      <c r="E9" s="38">
        <f t="shared" si="0"/>
        <v>40</v>
      </c>
      <c r="F9" s="39">
        <f t="shared" si="1"/>
        <v>0.69813170079773179</v>
      </c>
      <c r="G9" s="39">
        <f t="shared" si="2"/>
        <v>0.76604444311897801</v>
      </c>
      <c r="H9" s="39">
        <f t="shared" si="3"/>
        <v>0.64278760968653925</v>
      </c>
      <c r="I9" s="39">
        <f t="shared" si="4"/>
        <v>0.17364817766693041</v>
      </c>
      <c r="J9" s="39">
        <f t="shared" si="5"/>
        <v>0.98480775301220802</v>
      </c>
      <c r="L9" s="33">
        <v>20</v>
      </c>
      <c r="M9" s="34">
        <f>$B111+$B110*COS(RADIANS(L9))+$B109*SIN(RADIANS(L9))</f>
        <v>2.0493351358065962E-3</v>
      </c>
      <c r="N9" s="34">
        <f>$B137+$B136*COS(RADIANS(L9))+$B135*SIN(RADIANS(L9))</f>
        <v>7.8578876282193056E-4</v>
      </c>
      <c r="P9" s="45"/>
      <c r="Q9" s="45"/>
      <c r="R9" s="45"/>
      <c r="S9" s="45"/>
      <c r="T9" s="46"/>
      <c r="U9" s="46"/>
      <c r="V9" s="46"/>
      <c r="W9" s="46"/>
      <c r="Z9" s="45"/>
      <c r="AA9" s="45"/>
    </row>
    <row r="10" spans="1:27" x14ac:dyDescent="0.25">
      <c r="A10" s="38">
        <v>50</v>
      </c>
      <c r="B10" s="39">
        <v>1.2356649999999969E-3</v>
      </c>
      <c r="C10" s="39">
        <v>1.6293850000000387E-3</v>
      </c>
      <c r="E10" s="38">
        <f t="shared" si="0"/>
        <v>50</v>
      </c>
      <c r="F10" s="39">
        <f t="shared" si="1"/>
        <v>0.87266462599716477</v>
      </c>
      <c r="G10" s="39">
        <f t="shared" si="2"/>
        <v>0.64278760968653936</v>
      </c>
      <c r="H10" s="39">
        <f t="shared" si="3"/>
        <v>0.76604444311897801</v>
      </c>
      <c r="I10" s="39">
        <f t="shared" si="4"/>
        <v>-0.1736481776669303</v>
      </c>
      <c r="J10" s="39">
        <f t="shared" si="5"/>
        <v>0.98480775301220802</v>
      </c>
      <c r="L10" s="33">
        <v>25</v>
      </c>
      <c r="M10" s="34">
        <f>$B111+$B110*COS(RADIANS(L10))+$B109*SIN(RADIANS(L10))</f>
        <v>1.9470680816216464E-3</v>
      </c>
      <c r="N10" s="34">
        <f>$B137+$B136*COS(RADIANS(L10))+$B135*SIN(RADIANS(L10))</f>
        <v>1.0124912563810966E-3</v>
      </c>
      <c r="P10" s="45"/>
      <c r="Q10" s="45"/>
      <c r="R10" s="45"/>
      <c r="S10" s="45"/>
      <c r="T10" s="46"/>
      <c r="U10" s="46"/>
      <c r="V10" s="46"/>
      <c r="W10" s="46"/>
      <c r="Z10" s="45"/>
      <c r="AA10" s="45"/>
    </row>
    <row r="11" spans="1:27" x14ac:dyDescent="0.25">
      <c r="A11" s="38">
        <v>60</v>
      </c>
      <c r="B11" s="39">
        <v>-6.5603499999998538E-4</v>
      </c>
      <c r="C11" s="39">
        <v>1.7934799999999862E-3</v>
      </c>
      <c r="E11" s="38">
        <f t="shared" si="0"/>
        <v>60</v>
      </c>
      <c r="F11" s="39">
        <f t="shared" si="1"/>
        <v>1.0471975511965976</v>
      </c>
      <c r="G11" s="39">
        <f t="shared" si="2"/>
        <v>0.50000000000000011</v>
      </c>
      <c r="H11" s="39">
        <f t="shared" si="3"/>
        <v>0.8660254037844386</v>
      </c>
      <c r="I11" s="39">
        <f t="shared" si="4"/>
        <v>-0.49999999999999978</v>
      </c>
      <c r="J11" s="39">
        <f t="shared" si="5"/>
        <v>0.86602540378443871</v>
      </c>
      <c r="L11" s="33">
        <v>30</v>
      </c>
      <c r="M11" s="34">
        <f>$B111+$B110*COS(RADIANS(L11))+$B109*SIN(RADIANS(L11))</f>
        <v>1.82956622093612E-3</v>
      </c>
      <c r="N11" s="34">
        <f>$B137+$B136*COS(RADIANS(L11))+$B135*SIN(RADIANS(L11))</f>
        <v>1.2308062545805722E-3</v>
      </c>
      <c r="P11" s="45"/>
      <c r="Q11" s="45"/>
      <c r="R11" s="45"/>
      <c r="S11" s="45"/>
      <c r="T11" s="46"/>
      <c r="U11" s="46"/>
      <c r="V11" s="46"/>
      <c r="W11" s="46"/>
      <c r="Z11" s="45"/>
      <c r="AA11" s="45"/>
    </row>
    <row r="12" spans="1:27" x14ac:dyDescent="0.25">
      <c r="A12" s="38">
        <v>70</v>
      </c>
      <c r="B12" s="39">
        <v>-6.0523000000001215E-4</v>
      </c>
      <c r="C12" s="39">
        <v>6.0420499999999655E-4</v>
      </c>
      <c r="E12" s="38">
        <f t="shared" si="0"/>
        <v>70</v>
      </c>
      <c r="F12" s="39">
        <f t="shared" si="1"/>
        <v>1.2217304763960306</v>
      </c>
      <c r="G12" s="39">
        <f t="shared" si="2"/>
        <v>0.34202014332566882</v>
      </c>
      <c r="H12" s="39">
        <f t="shared" si="3"/>
        <v>0.93969262078590832</v>
      </c>
      <c r="I12" s="39">
        <f t="shared" si="4"/>
        <v>-0.7660444431189779</v>
      </c>
      <c r="J12" s="39">
        <f t="shared" si="5"/>
        <v>0.64278760968653947</v>
      </c>
      <c r="L12" s="33">
        <v>35</v>
      </c>
      <c r="M12" s="34">
        <f>$B111+$B110*COS(RADIANS(L12))+$B109*SIN(RADIANS(L12))</f>
        <v>1.6977238138593969E-3</v>
      </c>
      <c r="N12" s="34">
        <f>$B137+$B136*COS(RADIANS(L12))+$B135*SIN(RADIANS(L12))</f>
        <v>1.4390722484618596E-3</v>
      </c>
      <c r="P12" s="45"/>
      <c r="Q12" s="45"/>
      <c r="R12" s="45"/>
      <c r="S12" s="45"/>
      <c r="T12" s="46"/>
      <c r="U12" s="46"/>
      <c r="V12" s="46"/>
      <c r="W12" s="46"/>
      <c r="Z12" s="45"/>
      <c r="AA12" s="45"/>
    </row>
    <row r="13" spans="1:27" x14ac:dyDescent="0.25">
      <c r="A13" s="38">
        <v>80</v>
      </c>
      <c r="B13" s="39">
        <v>2.3461150000000097E-3</v>
      </c>
      <c r="C13" s="39">
        <v>9.3236749999999757E-3</v>
      </c>
      <c r="E13" s="38">
        <f t="shared" si="0"/>
        <v>80</v>
      </c>
      <c r="F13" s="39">
        <f t="shared" si="1"/>
        <v>1.3962634015954636</v>
      </c>
      <c r="G13" s="39">
        <f t="shared" si="2"/>
        <v>0.17364817766693041</v>
      </c>
      <c r="H13" s="39">
        <f t="shared" si="3"/>
        <v>0.98480775301220802</v>
      </c>
      <c r="I13" s="39">
        <f t="shared" si="4"/>
        <v>-0.93969262078590832</v>
      </c>
      <c r="J13" s="39">
        <f t="shared" si="5"/>
        <v>0.34202014332566888</v>
      </c>
      <c r="L13" s="33">
        <v>40</v>
      </c>
      <c r="M13" s="34">
        <f>$B111+$B110*COS(RADIANS(L13))+$B109*SIN(RADIANS(L13))</f>
        <v>1.5525442607179525E-3</v>
      </c>
      <c r="N13" s="34">
        <f>$B137+$B136*COS(RADIANS(L13))+$B135*SIN(RADIANS(L13))</f>
        <v>1.6357042080570763E-3</v>
      </c>
      <c r="P13" s="45"/>
      <c r="Q13" s="45"/>
      <c r="R13" s="45"/>
      <c r="S13" s="45"/>
      <c r="T13" s="46"/>
      <c r="U13" s="46"/>
      <c r="V13" s="46"/>
      <c r="W13" s="46"/>
      <c r="Z13" s="45"/>
      <c r="AA13" s="45"/>
    </row>
    <row r="14" spans="1:27" x14ac:dyDescent="0.25">
      <c r="A14" s="38">
        <v>90</v>
      </c>
      <c r="B14" s="39">
        <v>-7.2691499999999465E-4</v>
      </c>
      <c r="C14" s="39">
        <v>2.4488399999999799E-3</v>
      </c>
      <c r="E14" s="38">
        <f t="shared" si="0"/>
        <v>90</v>
      </c>
      <c r="F14" s="39">
        <f t="shared" si="1"/>
        <v>1.5707963267948966</v>
      </c>
      <c r="G14" s="39">
        <f t="shared" si="2"/>
        <v>6.1257422745431001E-17</v>
      </c>
      <c r="H14" s="39">
        <f t="shared" si="3"/>
        <v>1</v>
      </c>
      <c r="I14" s="39">
        <f t="shared" si="4"/>
        <v>-1</v>
      </c>
      <c r="J14" s="39">
        <f t="shared" si="5"/>
        <v>1.22514845490862E-16</v>
      </c>
      <c r="L14" s="33">
        <v>45</v>
      </c>
      <c r="M14" s="34">
        <f>$B111+$B110*COS(RADIANS(L14))+$B109*SIN(RADIANS(L14))</f>
        <v>1.3951324655730045E-3</v>
      </c>
      <c r="N14" s="34">
        <f>$B137+$B136*COS(RADIANS(L14))+$B135*SIN(RADIANS(L14))</f>
        <v>1.8192056454240796E-3</v>
      </c>
      <c r="P14" s="45"/>
      <c r="Q14" s="45"/>
      <c r="R14" s="45"/>
      <c r="S14" s="45"/>
      <c r="T14" s="46"/>
      <c r="U14" s="46"/>
      <c r="V14" s="46"/>
      <c r="W14" s="46"/>
      <c r="Z14" s="45"/>
      <c r="AA14" s="45"/>
    </row>
    <row r="15" spans="1:27" x14ac:dyDescent="0.25">
      <c r="A15" s="38">
        <v>100</v>
      </c>
      <c r="B15" s="39">
        <v>-1.4034650000000065E-3</v>
      </c>
      <c r="C15" s="39">
        <v>2.2465850000000231E-3</v>
      </c>
      <c r="E15" s="38">
        <f t="shared" si="0"/>
        <v>100</v>
      </c>
      <c r="F15" s="39">
        <f t="shared" si="1"/>
        <v>1.7453292519943295</v>
      </c>
      <c r="G15" s="39">
        <f t="shared" si="2"/>
        <v>-0.1736481776669303</v>
      </c>
      <c r="H15" s="39">
        <f t="shared" si="3"/>
        <v>0.98480775301220802</v>
      </c>
      <c r="I15" s="39">
        <f t="shared" si="4"/>
        <v>-0.93969262078590843</v>
      </c>
      <c r="J15" s="39">
        <f t="shared" si="5"/>
        <v>-0.34202014332566866</v>
      </c>
      <c r="L15" s="33">
        <v>50</v>
      </c>
      <c r="M15" s="34">
        <f>$B111+$B110*COS(RADIANS(L15))+$B109*SIN(RADIANS(L15))</f>
        <v>1.2266864272334464E-3</v>
      </c>
      <c r="N15" s="34">
        <f>$B137+$B136*COS(RADIANS(L15))+$B135*SIN(RADIANS(L15))</f>
        <v>1.9881800038233088E-3</v>
      </c>
      <c r="P15" s="45"/>
      <c r="Q15" s="45"/>
      <c r="R15" s="45"/>
      <c r="S15" s="45"/>
      <c r="T15" s="46"/>
      <c r="U15" s="46"/>
      <c r="V15" s="46"/>
      <c r="W15" s="46"/>
      <c r="Z15" s="45"/>
      <c r="AA15" s="45"/>
    </row>
    <row r="16" spans="1:27" x14ac:dyDescent="0.25">
      <c r="A16" s="38">
        <v>110</v>
      </c>
      <c r="B16" s="39">
        <v>4.9251999999999629E-4</v>
      </c>
      <c r="C16" s="39">
        <v>2.3394899999999719E-3</v>
      </c>
      <c r="E16" s="38">
        <f t="shared" si="0"/>
        <v>110</v>
      </c>
      <c r="F16" s="39">
        <f t="shared" si="1"/>
        <v>1.9198621771937625</v>
      </c>
      <c r="G16" s="39">
        <f t="shared" si="2"/>
        <v>-0.34202014332566871</v>
      </c>
      <c r="H16" s="39">
        <f t="shared" si="3"/>
        <v>0.93969262078590843</v>
      </c>
      <c r="I16" s="39">
        <f t="shared" si="4"/>
        <v>-0.76604444311897801</v>
      </c>
      <c r="J16" s="39">
        <f t="shared" si="5"/>
        <v>-0.64278760968653925</v>
      </c>
      <c r="L16" s="33">
        <v>55</v>
      </c>
      <c r="M16" s="34">
        <f>$B111+$B110*COS(RADIANS(L16))+$B109*SIN(RADIANS(L16))</f>
        <v>1.0484881217615412E-3</v>
      </c>
      <c r="N16" s="34">
        <f>$B137+$B136*COS(RADIANS(L16))+$B135*SIN(RADIANS(L16))</f>
        <v>2.1413412863578395E-3</v>
      </c>
      <c r="P16" s="45"/>
      <c r="Q16" s="45"/>
      <c r="R16" s="45"/>
      <c r="S16" s="45"/>
      <c r="T16" s="46"/>
      <c r="U16" s="46"/>
      <c r="V16" s="46"/>
      <c r="W16" s="46"/>
      <c r="Z16" s="45"/>
      <c r="AA16" s="45"/>
    </row>
    <row r="17" spans="1:27" x14ac:dyDescent="0.25">
      <c r="A17" s="38">
        <v>120</v>
      </c>
      <c r="B17" s="39">
        <v>-3.5628500000001173E-4</v>
      </c>
      <c r="C17" s="39">
        <v>2.1207849999999862E-3</v>
      </c>
      <c r="E17" s="38">
        <f t="shared" si="0"/>
        <v>120</v>
      </c>
      <c r="F17" s="39">
        <f t="shared" si="1"/>
        <v>2.0943951023931953</v>
      </c>
      <c r="G17" s="39">
        <f t="shared" si="2"/>
        <v>-0.49999999999999978</v>
      </c>
      <c r="H17" s="39">
        <f t="shared" si="3"/>
        <v>0.86602540378443871</v>
      </c>
      <c r="I17" s="39">
        <f t="shared" si="4"/>
        <v>-0.50000000000000044</v>
      </c>
      <c r="J17" s="39">
        <f t="shared" si="5"/>
        <v>-0.86602540378443837</v>
      </c>
      <c r="L17" s="33">
        <v>60</v>
      </c>
      <c r="M17" s="34">
        <f>$B111+$B110*COS(RADIANS(L17))+$B109*SIN(RADIANS(L17))</f>
        <v>8.6189374586100867E-4</v>
      </c>
      <c r="N17" s="34">
        <f>$B137+$B136*COS(RADIANS(L17))+$B135*SIN(RADIANS(L17))</f>
        <v>2.2775238431862726E-3</v>
      </c>
      <c r="P17" s="45"/>
      <c r="Q17" s="45"/>
      <c r="R17" s="45"/>
      <c r="S17" s="45"/>
      <c r="T17" s="46"/>
      <c r="U17" s="46"/>
      <c r="V17" s="46"/>
      <c r="W17" s="46"/>
      <c r="Z17" s="45"/>
      <c r="AA17" s="45" t="str">
        <f t="shared" ref="AA17:AA80" si="6">IF(Q17="","",Q17-S17)</f>
        <v/>
      </c>
    </row>
    <row r="18" spans="1:27" x14ac:dyDescent="0.25">
      <c r="A18" s="38">
        <v>130</v>
      </c>
      <c r="B18" s="39">
        <v>-2.8659750000000067E-3</v>
      </c>
      <c r="C18" s="39">
        <v>3.0075999999999992E-3</v>
      </c>
      <c r="E18" s="38">
        <f t="shared" si="0"/>
        <v>130</v>
      </c>
      <c r="F18" s="39">
        <f t="shared" si="1"/>
        <v>2.2689280275926285</v>
      </c>
      <c r="G18" s="39">
        <f t="shared" si="2"/>
        <v>-0.64278760968653936</v>
      </c>
      <c r="H18" s="39">
        <f t="shared" si="3"/>
        <v>0.76604444311897801</v>
      </c>
      <c r="I18" s="39">
        <f t="shared" si="4"/>
        <v>-0.17364817766693033</v>
      </c>
      <c r="J18" s="39">
        <f t="shared" si="5"/>
        <v>-0.98480775301220802</v>
      </c>
      <c r="L18" s="33">
        <v>65</v>
      </c>
      <c r="M18" s="34">
        <f>$B111+$B110*COS(RADIANS(L18))+$B109*SIN(RADIANS(L18))</f>
        <v>6.6832339540121607E-4</v>
      </c>
      <c r="N18" s="34">
        <f>$B137+$B136*COS(RADIANS(L18))+$B135*SIN(RADIANS(L18))</f>
        <v>2.3956912428218674E-3</v>
      </c>
      <c r="P18" s="45"/>
      <c r="Q18" s="45"/>
      <c r="R18" s="45"/>
      <c r="S18" s="45"/>
      <c r="T18" s="46"/>
      <c r="U18" s="46"/>
      <c r="V18" s="46"/>
      <c r="W18" s="46"/>
      <c r="Z18" s="45"/>
      <c r="AA18" s="45" t="str">
        <f t="shared" si="6"/>
        <v/>
      </c>
    </row>
    <row r="19" spans="1:27" x14ac:dyDescent="0.25">
      <c r="A19" s="38">
        <v>140</v>
      </c>
      <c r="B19" s="39">
        <v>-1.281110000000002E-3</v>
      </c>
      <c r="C19" s="39">
        <v>5.3801000000000543E-4</v>
      </c>
      <c r="E19" s="38">
        <f t="shared" si="0"/>
        <v>140</v>
      </c>
      <c r="F19" s="39">
        <f t="shared" si="1"/>
        <v>2.4434609527920612</v>
      </c>
      <c r="G19" s="39">
        <f t="shared" si="2"/>
        <v>-0.7660444431189779</v>
      </c>
      <c r="H19" s="39">
        <f t="shared" si="3"/>
        <v>0.64278760968653947</v>
      </c>
      <c r="I19" s="39">
        <f t="shared" si="4"/>
        <v>0.17364817766692997</v>
      </c>
      <c r="J19" s="39">
        <f t="shared" si="5"/>
        <v>-0.98480775301220813</v>
      </c>
      <c r="L19" s="33">
        <v>70</v>
      </c>
      <c r="M19" s="34">
        <f>$B111+$B110*COS(RADIANS(L19))+$B109*SIN(RADIANS(L19))</f>
        <v>4.6925025763013695E-4</v>
      </c>
      <c r="N19" s="34">
        <f>$B137+$B136*COS(RADIANS(L19))+$B135*SIN(RADIANS(L19))</f>
        <v>2.4949441600019698E-3</v>
      </c>
      <c r="P19" s="45"/>
      <c r="Q19" s="45"/>
      <c r="R19" s="45"/>
      <c r="S19" s="45"/>
      <c r="T19" s="46"/>
      <c r="U19" s="46"/>
      <c r="V19" s="46"/>
      <c r="W19" s="46"/>
      <c r="Z19" s="45"/>
      <c r="AA19" s="45" t="str">
        <f t="shared" si="6"/>
        <v/>
      </c>
    </row>
    <row r="20" spans="1:27" x14ac:dyDescent="0.25">
      <c r="A20" s="38">
        <v>150</v>
      </c>
      <c r="B20" s="39">
        <v>-3.0598599999999976E-3</v>
      </c>
      <c r="C20" s="39">
        <v>1.2621199999999777E-3</v>
      </c>
      <c r="E20" s="38">
        <f t="shared" si="0"/>
        <v>150</v>
      </c>
      <c r="F20" s="39">
        <f t="shared" si="1"/>
        <v>2.6179938779914944</v>
      </c>
      <c r="G20" s="39">
        <f t="shared" si="2"/>
        <v>-0.86602540378443871</v>
      </c>
      <c r="H20" s="39">
        <f t="shared" si="3"/>
        <v>0.49999999999999994</v>
      </c>
      <c r="I20" s="39">
        <f t="shared" si="4"/>
        <v>0.50000000000000011</v>
      </c>
      <c r="J20" s="39">
        <f t="shared" si="5"/>
        <v>-0.8660254037844386</v>
      </c>
      <c r="L20" s="33">
        <v>75</v>
      </c>
      <c r="M20" s="34">
        <f>$B111+$B110*COS(RADIANS(L20))+$B109*SIN(RADIANS(L20))</f>
        <v>2.66189399329855E-4</v>
      </c>
      <c r="N20" s="34">
        <f>$B137+$B136*COS(RADIANS(L20))+$B135*SIN(RADIANS(L20))</f>
        <v>2.5745272200962911E-3</v>
      </c>
      <c r="P20" s="45"/>
      <c r="Q20" s="45"/>
      <c r="R20" s="45"/>
      <c r="S20" s="45"/>
      <c r="T20" s="46"/>
      <c r="U20" s="46"/>
      <c r="V20" s="46"/>
      <c r="W20" s="46"/>
      <c r="Z20" s="45"/>
      <c r="AA20" s="45" t="str">
        <f t="shared" si="6"/>
        <v/>
      </c>
    </row>
    <row r="21" spans="1:27" x14ac:dyDescent="0.25">
      <c r="A21" s="38">
        <v>160</v>
      </c>
      <c r="B21" s="39">
        <v>-2.1541949999999976E-3</v>
      </c>
      <c r="C21" s="39">
        <v>1.178270000000009E-3</v>
      </c>
      <c r="E21" s="38">
        <f t="shared" si="0"/>
        <v>160</v>
      </c>
      <c r="F21" s="39">
        <f t="shared" si="1"/>
        <v>2.7925268031909272</v>
      </c>
      <c r="G21" s="39">
        <f t="shared" si="2"/>
        <v>-0.93969262078590832</v>
      </c>
      <c r="H21" s="39">
        <f t="shared" si="3"/>
        <v>0.34202014332566888</v>
      </c>
      <c r="I21" s="39">
        <f t="shared" si="4"/>
        <v>0.76604444311897779</v>
      </c>
      <c r="J21" s="39">
        <f t="shared" si="5"/>
        <v>-0.64278760968653958</v>
      </c>
      <c r="L21" s="33">
        <v>80</v>
      </c>
      <c r="M21" s="34">
        <f>$B111+$B110*COS(RADIANS(L21))+$B109*SIN(RADIANS(L21))</f>
        <v>6.0686236243534834E-5</v>
      </c>
      <c r="N21" s="34">
        <f>$B137+$B136*COS(RADIANS(L21))+$B135*SIN(RADIANS(L21))</f>
        <v>2.6338347479639462E-3</v>
      </c>
      <c r="T21" s="46"/>
      <c r="U21" s="46"/>
      <c r="V21" s="46"/>
      <c r="W21" s="46"/>
      <c r="Z21" s="45"/>
      <c r="AA21" s="45" t="str">
        <f t="shared" si="6"/>
        <v/>
      </c>
    </row>
    <row r="22" spans="1:27" x14ac:dyDescent="0.25">
      <c r="A22" s="38">
        <v>170</v>
      </c>
      <c r="B22" s="39">
        <v>-3.6728850000000007E-3</v>
      </c>
      <c r="C22" s="39">
        <v>-1.1731150000000301E-3</v>
      </c>
      <c r="E22" s="38">
        <f t="shared" si="0"/>
        <v>170</v>
      </c>
      <c r="F22" s="39">
        <f t="shared" si="1"/>
        <v>2.9670597283903604</v>
      </c>
      <c r="G22" s="39">
        <f t="shared" si="2"/>
        <v>-0.98480775301220802</v>
      </c>
      <c r="H22" s="39">
        <f t="shared" si="3"/>
        <v>0.17364817766693028</v>
      </c>
      <c r="I22" s="39">
        <f t="shared" si="4"/>
        <v>0.93969262078590843</v>
      </c>
      <c r="J22" s="39">
        <f t="shared" si="5"/>
        <v>-0.3420201433256686</v>
      </c>
      <c r="L22" s="33">
        <v>85</v>
      </c>
      <c r="M22" s="34">
        <f>$B111+$B110*COS(RADIANS(L22))+$B109*SIN(RADIANS(L22))</f>
        <v>-1.4569522847153484E-4</v>
      </c>
      <c r="N22" s="34">
        <f>$B137+$B136*COS(RADIANS(L22))+$B135*SIN(RADIANS(L22))</f>
        <v>2.6724153775069988E-3</v>
      </c>
      <c r="T22" s="46"/>
      <c r="U22" s="46"/>
      <c r="V22" s="46"/>
      <c r="W22" s="46"/>
      <c r="Z22" s="45"/>
      <c r="AA22" s="45" t="str">
        <f t="shared" si="6"/>
        <v/>
      </c>
    </row>
    <row r="23" spans="1:27" x14ac:dyDescent="0.25">
      <c r="A23" s="38">
        <v>180</v>
      </c>
      <c r="B23" s="39">
        <v>-3.5468400000000094E-3</v>
      </c>
      <c r="C23" s="39">
        <v>-1.9574950000000035E-3</v>
      </c>
      <c r="E23" s="38">
        <f t="shared" si="0"/>
        <v>180</v>
      </c>
      <c r="F23" s="39">
        <f t="shared" si="1"/>
        <v>3.1415926535897931</v>
      </c>
      <c r="G23" s="39">
        <f t="shared" si="2"/>
        <v>-1</v>
      </c>
      <c r="H23" s="39">
        <f t="shared" si="3"/>
        <v>1.22514845490862E-16</v>
      </c>
      <c r="I23" s="39">
        <f t="shared" si="4"/>
        <v>1</v>
      </c>
      <c r="J23" s="39">
        <f t="shared" si="5"/>
        <v>-2.45029690981724E-16</v>
      </c>
      <c r="L23" s="33">
        <v>90</v>
      </c>
      <c r="M23" s="34">
        <f>$B111+$B110*COS(RADIANS(L23))+$B109*SIN(RADIANS(L23))</f>
        <v>-3.5138430725233614E-4</v>
      </c>
      <c r="N23" s="34">
        <f>$B137+$B136*COS(RADIANS(L23))+$B135*SIN(RADIANS(L23))</f>
        <v>2.6899754868390047E-3</v>
      </c>
      <c r="T23" s="46"/>
      <c r="U23" s="46"/>
      <c r="V23" s="46"/>
      <c r="W23" s="46"/>
      <c r="Z23" s="45"/>
      <c r="AA23" s="45" t="str">
        <f t="shared" si="6"/>
        <v/>
      </c>
    </row>
    <row r="24" spans="1:27" x14ac:dyDescent="0.25">
      <c r="A24" s="38">
        <v>190</v>
      </c>
      <c r="B24" s="39">
        <v>-1.2084699999999893E-3</v>
      </c>
      <c r="C24" s="39">
        <v>6.3660000000020922E-5</v>
      </c>
      <c r="E24" s="38">
        <f t="shared" si="0"/>
        <v>190</v>
      </c>
      <c r="F24" s="39">
        <f t="shared" si="1"/>
        <v>3.3161255787892263</v>
      </c>
      <c r="G24" s="39">
        <f t="shared" si="2"/>
        <v>-0.98480775301220802</v>
      </c>
      <c r="H24" s="39">
        <f t="shared" si="3"/>
        <v>-0.17364817766693047</v>
      </c>
      <c r="I24" s="39">
        <f t="shared" si="4"/>
        <v>0.93969262078590832</v>
      </c>
      <c r="J24" s="39">
        <f t="shared" si="5"/>
        <v>0.34202014332566893</v>
      </c>
      <c r="L24" s="33">
        <v>95</v>
      </c>
      <c r="M24" s="34">
        <f>$B111+$B110*COS(RADIANS(L24))+$B109*SIN(RADIANS(L24))</f>
        <v>-5.5481558201088649E-4</v>
      </c>
      <c r="N24" s="34">
        <f>$B137+$B136*COS(RADIANS(L24))+$B135*SIN(RADIANS(L24))</f>
        <v>2.6863814329248633E-3</v>
      </c>
      <c r="T24" s="46"/>
      <c r="U24" s="46"/>
      <c r="V24" s="46"/>
      <c r="W24" s="46"/>
      <c r="Z24" s="45"/>
      <c r="AA24" s="45" t="str">
        <f t="shared" si="6"/>
        <v/>
      </c>
    </row>
    <row r="25" spans="1:27" x14ac:dyDescent="0.25">
      <c r="A25" s="38">
        <v>200</v>
      </c>
      <c r="B25" s="39">
        <v>-3.1850199999999967E-3</v>
      </c>
      <c r="C25" s="39">
        <v>-9.6291999999997824E-4</v>
      </c>
      <c r="E25" s="38">
        <f t="shared" si="0"/>
        <v>200</v>
      </c>
      <c r="F25" s="39">
        <f t="shared" si="1"/>
        <v>3.4906585039886591</v>
      </c>
      <c r="G25" s="39">
        <f t="shared" si="2"/>
        <v>-0.93969262078590843</v>
      </c>
      <c r="H25" s="39">
        <f t="shared" si="3"/>
        <v>-0.34202014332566866</v>
      </c>
      <c r="I25" s="39">
        <f t="shared" si="4"/>
        <v>0.76604444311897812</v>
      </c>
      <c r="J25" s="39">
        <f t="shared" si="5"/>
        <v>0.64278760968653914</v>
      </c>
      <c r="L25" s="33">
        <v>100</v>
      </c>
      <c r="M25" s="34">
        <f>$B111+$B110*COS(RADIANS(L25))+$B109*SIN(RADIANS(L25))</f>
        <v>-7.5444081791111025E-4</v>
      </c>
      <c r="N25" s="34">
        <f>$B137+$B136*COS(RADIANS(L25))+$B135*SIN(RADIANS(L25))</f>
        <v>2.6616605686850111E-3</v>
      </c>
      <c r="T25" s="46"/>
      <c r="U25" s="46"/>
      <c r="V25" s="46"/>
      <c r="W25" s="46"/>
      <c r="Z25" s="45"/>
      <c r="AA25" s="45" t="str">
        <f t="shared" si="6"/>
        <v/>
      </c>
    </row>
    <row r="26" spans="1:27" x14ac:dyDescent="0.25">
      <c r="A26" s="38">
        <v>210</v>
      </c>
      <c r="B26" s="39">
        <v>-1.7406900000000031E-3</v>
      </c>
      <c r="C26" s="39">
        <v>-1.651890000000017E-3</v>
      </c>
      <c r="E26" s="38">
        <f t="shared" si="0"/>
        <v>210</v>
      </c>
      <c r="F26" s="39">
        <f t="shared" si="1"/>
        <v>3.6651914291880923</v>
      </c>
      <c r="G26" s="39">
        <f t="shared" si="2"/>
        <v>-0.8660254037844386</v>
      </c>
      <c r="H26" s="39">
        <f t="shared" si="3"/>
        <v>-0.50000000000000011</v>
      </c>
      <c r="I26" s="39">
        <f t="shared" si="4"/>
        <v>0.49999999999999972</v>
      </c>
      <c r="J26" s="39">
        <f t="shared" si="5"/>
        <v>0.86602540378443882</v>
      </c>
      <c r="L26" s="33">
        <v>105</v>
      </c>
      <c r="M26" s="34">
        <f>$B111+$B110*COS(RADIANS(L26))+$B109*SIN(RADIANS(L26))</f>
        <v>-9.4874074637079481E-4</v>
      </c>
      <c r="N26" s="34">
        <f>$B137+$B136*COS(RADIANS(L26))+$B135*SIN(RADIANS(L26))</f>
        <v>2.6160010348231788E-3</v>
      </c>
      <c r="T26" s="46"/>
      <c r="U26" s="46"/>
      <c r="V26" s="46"/>
      <c r="W26" s="46"/>
      <c r="Z26" s="45"/>
      <c r="AA26" s="45" t="str">
        <f t="shared" si="6"/>
        <v/>
      </c>
    </row>
    <row r="27" spans="1:27" x14ac:dyDescent="0.25">
      <c r="A27" s="38">
        <v>220</v>
      </c>
      <c r="B27" s="39">
        <v>-1.0750499999999941E-3</v>
      </c>
      <c r="C27" s="39">
        <v>-1.708849999999984E-3</v>
      </c>
      <c r="E27" s="38">
        <f t="shared" si="0"/>
        <v>220</v>
      </c>
      <c r="F27" s="39">
        <f t="shared" si="1"/>
        <v>3.839724354387525</v>
      </c>
      <c r="G27" s="39">
        <f t="shared" si="2"/>
        <v>-0.76604444311897801</v>
      </c>
      <c r="H27" s="39">
        <f t="shared" si="3"/>
        <v>-0.64278760968653925</v>
      </c>
      <c r="I27" s="39">
        <f t="shared" si="4"/>
        <v>0.17364817766693044</v>
      </c>
      <c r="J27" s="39">
        <f t="shared" si="5"/>
        <v>0.98480775301220802</v>
      </c>
      <c r="L27" s="33">
        <v>110</v>
      </c>
      <c r="M27" s="34">
        <f>$B111+$B110*COS(RADIANS(L27))+$B109*SIN(RADIANS(L27))</f>
        <v>-1.1362366276128563E-3</v>
      </c>
      <c r="N27" s="34">
        <f>$B137+$B136*COS(RADIANS(L27))+$B135*SIN(RADIANS(L27))</f>
        <v>2.5497503279620351E-3</v>
      </c>
      <c r="T27" s="46"/>
      <c r="U27" s="46"/>
      <c r="V27" s="46"/>
      <c r="W27" s="46"/>
      <c r="Z27" s="45"/>
      <c r="AA27" s="45" t="str">
        <f t="shared" si="6"/>
        <v/>
      </c>
    </row>
    <row r="28" spans="1:27" x14ac:dyDescent="0.25">
      <c r="A28" s="38">
        <v>230</v>
      </c>
      <c r="B28" s="39">
        <v>-1.4244750000000084E-3</v>
      </c>
      <c r="C28" s="39">
        <v>-1.1153700000000044E-3</v>
      </c>
      <c r="E28" s="38">
        <f t="shared" si="0"/>
        <v>230</v>
      </c>
      <c r="F28" s="39">
        <f t="shared" si="1"/>
        <v>4.0142572795869578</v>
      </c>
      <c r="G28" s="39">
        <f t="shared" si="2"/>
        <v>-0.64278760968653947</v>
      </c>
      <c r="H28" s="39">
        <f t="shared" si="3"/>
        <v>-0.7660444431189779</v>
      </c>
      <c r="I28" s="39">
        <f t="shared" si="4"/>
        <v>-0.17364817766692986</v>
      </c>
      <c r="J28" s="39">
        <f t="shared" si="5"/>
        <v>0.98480775301220813</v>
      </c>
      <c r="L28" s="33">
        <v>115</v>
      </c>
      <c r="M28" s="34">
        <f>$B111+$B110*COS(RADIANS(L28))+$B109*SIN(RADIANS(L28))</f>
        <v>-1.3155015047679347E-3</v>
      </c>
      <c r="N28" s="34">
        <f>$B137+$B136*COS(RADIANS(L28))+$B135*SIN(RADIANS(L28))</f>
        <v>2.4634126559840647E-3</v>
      </c>
      <c r="T28" s="46"/>
      <c r="U28" s="46"/>
      <c r="V28" s="46"/>
      <c r="W28" s="46"/>
      <c r="Z28" s="45"/>
      <c r="AA28" s="45" t="str">
        <f t="shared" si="6"/>
        <v/>
      </c>
    </row>
    <row r="29" spans="1:27" x14ac:dyDescent="0.25">
      <c r="A29" s="38">
        <v>240</v>
      </c>
      <c r="B29" s="39">
        <v>-1.2001399999999884E-3</v>
      </c>
      <c r="C29" s="39">
        <v>-2.4275850000000099E-3</v>
      </c>
      <c r="E29" s="38">
        <f t="shared" si="0"/>
        <v>240</v>
      </c>
      <c r="F29" s="39">
        <f t="shared" si="1"/>
        <v>4.1887902047863905</v>
      </c>
      <c r="G29" s="39">
        <f t="shared" si="2"/>
        <v>-0.50000000000000044</v>
      </c>
      <c r="H29" s="39">
        <f t="shared" si="3"/>
        <v>-0.86602540378443837</v>
      </c>
      <c r="I29" s="39">
        <f t="shared" si="4"/>
        <v>-0.49999999999999922</v>
      </c>
      <c r="J29" s="39">
        <f t="shared" si="5"/>
        <v>0.86602540378443915</v>
      </c>
      <c r="L29" s="33">
        <v>120</v>
      </c>
      <c r="M29" s="34">
        <f>$B111+$B110*COS(RADIANS(L29))+$B109*SIN(RADIANS(L29))</f>
        <v>-1.4851710638777876E-3</v>
      </c>
      <c r="N29" s="34">
        <f>$B137+$B136*COS(RADIANS(L29))+$B135*SIN(RADIANS(L29))</f>
        <v>2.3576451007051302E-3</v>
      </c>
      <c r="T29" s="46"/>
      <c r="U29" s="46"/>
      <c r="V29" s="46"/>
      <c r="W29" s="46"/>
      <c r="Z29" s="45"/>
      <c r="AA29" s="45" t="str">
        <f t="shared" si="6"/>
        <v/>
      </c>
    </row>
    <row r="30" spans="1:27" x14ac:dyDescent="0.25">
      <c r="A30" s="38">
        <v>250</v>
      </c>
      <c r="B30" s="39">
        <v>4.8404500000000239E-4</v>
      </c>
      <c r="C30" s="39">
        <v>-7.127949999999883E-4</v>
      </c>
      <c r="E30" s="38">
        <f t="shared" si="0"/>
        <v>250</v>
      </c>
      <c r="F30" s="39">
        <f t="shared" si="1"/>
        <v>4.3633231299858242</v>
      </c>
      <c r="G30" s="39">
        <f t="shared" si="2"/>
        <v>-0.34202014332566855</v>
      </c>
      <c r="H30" s="39">
        <f t="shared" si="3"/>
        <v>-0.93969262078590843</v>
      </c>
      <c r="I30" s="39">
        <f t="shared" si="4"/>
        <v>-0.76604444311897835</v>
      </c>
      <c r="J30" s="39">
        <f t="shared" si="5"/>
        <v>0.64278760968653903</v>
      </c>
      <c r="L30" s="33">
        <v>125</v>
      </c>
      <c r="M30" s="34">
        <f>$B111+$B110*COS(RADIANS(L30))+$B109*SIN(RADIANS(L30))</f>
        <v>-1.6439540171483088E-3</v>
      </c>
      <c r="N30" s="34">
        <f>$B137+$B136*COS(RADIANS(L30))+$B135*SIN(RADIANS(L30))</f>
        <v>2.2332526170851011E-3</v>
      </c>
      <c r="T30" s="46"/>
      <c r="U30" s="46"/>
      <c r="V30" s="46"/>
      <c r="W30" s="46"/>
      <c r="Z30" s="45"/>
      <c r="AA30" s="45" t="str">
        <f t="shared" si="6"/>
        <v/>
      </c>
    </row>
    <row r="31" spans="1:27" x14ac:dyDescent="0.25">
      <c r="A31" s="38">
        <v>260</v>
      </c>
      <c r="B31" s="39">
        <v>6.3412499999999927E-4</v>
      </c>
      <c r="C31" s="39">
        <v>-1.7034550000000204E-3</v>
      </c>
      <c r="E31" s="38">
        <f t="shared" si="0"/>
        <v>260</v>
      </c>
      <c r="F31" s="39">
        <f t="shared" si="1"/>
        <v>4.5378560551852569</v>
      </c>
      <c r="G31" s="39">
        <f t="shared" si="2"/>
        <v>-0.17364817766693033</v>
      </c>
      <c r="H31" s="39">
        <f t="shared" si="3"/>
        <v>-0.98480775301220802</v>
      </c>
      <c r="I31" s="39">
        <f t="shared" si="4"/>
        <v>-0.93969262078590843</v>
      </c>
      <c r="J31" s="39">
        <f t="shared" si="5"/>
        <v>0.34202014332566871</v>
      </c>
      <c r="L31" s="33">
        <v>130</v>
      </c>
      <c r="M31" s="34">
        <f>$B111+$B110*COS(RADIANS(L31))+$B109*SIN(RADIANS(L31))</f>
        <v>-1.7906419304293398E-3</v>
      </c>
      <c r="N31" s="34">
        <f>$B137+$B136*COS(RADIANS(L31))+$B135*SIN(RADIANS(L31))</f>
        <v>2.0911819070345613E-3</v>
      </c>
      <c r="T31" s="46"/>
      <c r="U31" s="46"/>
      <c r="V31" s="46"/>
      <c r="W31" s="46"/>
      <c r="Z31" s="45"/>
      <c r="AA31" s="45" t="str">
        <f t="shared" si="6"/>
        <v/>
      </c>
    </row>
    <row r="32" spans="1:27" x14ac:dyDescent="0.25">
      <c r="A32" s="38">
        <v>270</v>
      </c>
      <c r="B32" s="39">
        <v>7.2453999999999574E-4</v>
      </c>
      <c r="C32" s="39">
        <v>-3.8967249999999898E-3</v>
      </c>
      <c r="E32" s="38">
        <f t="shared" si="0"/>
        <v>270</v>
      </c>
      <c r="F32" s="39">
        <f t="shared" si="1"/>
        <v>4.7123889803846897</v>
      </c>
      <c r="G32" s="39">
        <f t="shared" si="2"/>
        <v>-1.83772268236293E-16</v>
      </c>
      <c r="H32" s="39">
        <f t="shared" si="3"/>
        <v>-1</v>
      </c>
      <c r="I32" s="39">
        <f t="shared" si="4"/>
        <v>-1</v>
      </c>
      <c r="J32" s="39">
        <f t="shared" si="5"/>
        <v>3.67544536472586E-16</v>
      </c>
      <c r="L32" s="33">
        <v>135</v>
      </c>
      <c r="M32" s="34">
        <f>$B111+$B110*COS(RADIANS(L32))+$B109*SIN(RADIANS(L32))</f>
        <v>-1.9241184201282291E-3</v>
      </c>
      <c r="N32" s="34">
        <f>$B137+$B136*COS(RADIANS(L32))+$B135*SIN(RADIANS(L32))</f>
        <v>1.9325142144416352E-3</v>
      </c>
      <c r="T32" s="46"/>
      <c r="U32" s="46"/>
      <c r="V32" s="46"/>
      <c r="W32" s="46"/>
      <c r="Z32" s="45"/>
      <c r="AA32" s="45" t="str">
        <f t="shared" si="6"/>
        <v/>
      </c>
    </row>
    <row r="33" spans="1:27" x14ac:dyDescent="0.25">
      <c r="A33" s="38">
        <v>280</v>
      </c>
      <c r="B33" s="39">
        <v>-6.4920999999998341E-4</v>
      </c>
      <c r="C33" s="39">
        <v>-2.3596549999999883E-3</v>
      </c>
      <c r="E33" s="38">
        <f t="shared" si="0"/>
        <v>280</v>
      </c>
      <c r="F33" s="39">
        <f t="shared" si="1"/>
        <v>4.8869219055841224</v>
      </c>
      <c r="G33" s="39">
        <f t="shared" si="2"/>
        <v>0.17364817766692997</v>
      </c>
      <c r="H33" s="39">
        <f t="shared" si="3"/>
        <v>-0.98480775301220813</v>
      </c>
      <c r="I33" s="39">
        <f t="shared" si="4"/>
        <v>-0.93969262078590865</v>
      </c>
      <c r="J33" s="39">
        <f t="shared" si="5"/>
        <v>-0.34202014332566799</v>
      </c>
      <c r="L33" s="33">
        <v>140</v>
      </c>
      <c r="M33" s="34">
        <f>$B111+$B110*COS(RADIANS(L33))+$B109*SIN(RADIANS(L33))</f>
        <v>-2.04336764956306E-3</v>
      </c>
      <c r="N33" s="34">
        <f>$B137+$B136*COS(RADIANS(L33))+$B135*SIN(RADIANS(L33))</f>
        <v>1.7584570962531276E-3</v>
      </c>
      <c r="T33" s="46"/>
      <c r="U33" s="46"/>
      <c r="V33" s="46"/>
      <c r="W33" s="46"/>
      <c r="Z33" s="45"/>
      <c r="AA33" s="45" t="str">
        <f t="shared" si="6"/>
        <v/>
      </c>
    </row>
    <row r="34" spans="1:27" x14ac:dyDescent="0.25">
      <c r="A34" s="38">
        <v>290</v>
      </c>
      <c r="B34" s="39">
        <v>1.4703449999999979E-3</v>
      </c>
      <c r="C34" s="39">
        <v>-2.932749999999984E-3</v>
      </c>
      <c r="E34" s="38">
        <f t="shared" si="0"/>
        <v>290</v>
      </c>
      <c r="F34" s="39">
        <f t="shared" si="1"/>
        <v>5.0614548307835561</v>
      </c>
      <c r="G34" s="39">
        <f t="shared" si="2"/>
        <v>0.34202014332566899</v>
      </c>
      <c r="H34" s="39">
        <f t="shared" si="3"/>
        <v>-0.93969262078590832</v>
      </c>
      <c r="I34" s="39">
        <f t="shared" si="4"/>
        <v>-0.76604444311897768</v>
      </c>
      <c r="J34" s="39">
        <f t="shared" si="5"/>
        <v>-0.64278760968653981</v>
      </c>
      <c r="L34" s="33">
        <v>145</v>
      </c>
      <c r="M34" s="34">
        <f>$B111+$B110*COS(RADIANS(L34))+$B109*SIN(RADIANS(L34))</f>
        <v>-2.1474820600931805E-3</v>
      </c>
      <c r="N34" s="34">
        <f>$B137+$B136*COS(RADIANS(L34))+$B135*SIN(RADIANS(L34))</f>
        <v>1.570335232237013E-3</v>
      </c>
      <c r="T34" s="46"/>
      <c r="U34" s="46"/>
      <c r="V34" s="46"/>
      <c r="W34" s="46"/>
      <c r="Z34" s="45"/>
      <c r="AA34" s="45" t="str">
        <f t="shared" si="6"/>
        <v/>
      </c>
    </row>
    <row r="35" spans="1:27" x14ac:dyDescent="0.25">
      <c r="A35" s="38">
        <v>300</v>
      </c>
      <c r="B35" s="39">
        <v>6.5557000000000809E-4</v>
      </c>
      <c r="C35" s="39">
        <v>-2.6791850000000006E-3</v>
      </c>
      <c r="E35" s="38">
        <f t="shared" si="0"/>
        <v>300</v>
      </c>
      <c r="F35" s="39">
        <f t="shared" si="1"/>
        <v>5.2359877559829888</v>
      </c>
      <c r="G35" s="39">
        <f t="shared" si="2"/>
        <v>0.50000000000000011</v>
      </c>
      <c r="H35" s="39">
        <f t="shared" si="3"/>
        <v>-0.8660254037844386</v>
      </c>
      <c r="I35" s="39">
        <f t="shared" si="4"/>
        <v>-0.49999999999999983</v>
      </c>
      <c r="J35" s="39">
        <f t="shared" si="5"/>
        <v>-0.86602540378443871</v>
      </c>
      <c r="L35" s="33">
        <v>150</v>
      </c>
      <c r="M35" s="34">
        <f>$B111+$B110*COS(RADIANS(L35))+$B109*SIN(RADIANS(L35))</f>
        <v>-2.2356692781884554E-3</v>
      </c>
      <c r="N35" s="34">
        <f>$B137+$B136*COS(RADIANS(L35))+$B135*SIN(RADIANS(L35))</f>
        <v>1.3695803433695433E-3</v>
      </c>
      <c r="T35" s="46"/>
      <c r="U35" s="46"/>
      <c r="V35" s="46"/>
      <c r="W35" s="46"/>
      <c r="Z35" s="45"/>
      <c r="AA35" s="45" t="str">
        <f t="shared" si="6"/>
        <v/>
      </c>
    </row>
    <row r="36" spans="1:27" x14ac:dyDescent="0.25">
      <c r="A36" s="38">
        <v>310</v>
      </c>
      <c r="B36" s="39">
        <v>2.4620950000000114E-3</v>
      </c>
      <c r="C36" s="39">
        <v>-4.3783749999999899E-3</v>
      </c>
      <c r="E36" s="38">
        <f t="shared" si="0"/>
        <v>310</v>
      </c>
      <c r="F36" s="39">
        <f t="shared" si="1"/>
        <v>5.4105206811824216</v>
      </c>
      <c r="G36" s="39">
        <f t="shared" si="2"/>
        <v>0.64278760968653925</v>
      </c>
      <c r="H36" s="39">
        <f t="shared" si="3"/>
        <v>-0.76604444311897812</v>
      </c>
      <c r="I36" s="39">
        <f t="shared" si="4"/>
        <v>-0.17364817766693058</v>
      </c>
      <c r="J36" s="39">
        <f t="shared" si="5"/>
        <v>-0.98480775301220802</v>
      </c>
      <c r="L36" s="33">
        <v>155</v>
      </c>
      <c r="M36" s="34">
        <f>$B111+$B110*COS(RADIANS(L36))+$B109*SIN(RADIANS(L36))</f>
        <v>-2.307258145870282E-3</v>
      </c>
      <c r="N36" s="34">
        <f>$B137+$B136*COS(RADIANS(L36))+$B135*SIN(RADIANS(L36))</f>
        <v>1.1577202955741154E-3</v>
      </c>
      <c r="T36" s="46"/>
      <c r="U36" s="46"/>
      <c r="V36" s="46"/>
      <c r="W36" s="46"/>
      <c r="Z36" s="45"/>
      <c r="AA36" s="45" t="str">
        <f t="shared" si="6"/>
        <v/>
      </c>
    </row>
    <row r="37" spans="1:27" x14ac:dyDescent="0.25">
      <c r="A37" s="38">
        <v>320</v>
      </c>
      <c r="B37" s="39">
        <v>1.3401999999999997E-3</v>
      </c>
      <c r="C37" s="39">
        <v>-1.4710900000000082E-3</v>
      </c>
      <c r="E37" s="38">
        <f t="shared" si="0"/>
        <v>320</v>
      </c>
      <c r="F37" s="39">
        <f t="shared" si="1"/>
        <v>5.5850536063818543</v>
      </c>
      <c r="G37" s="39">
        <f t="shared" si="2"/>
        <v>0.76604444311897779</v>
      </c>
      <c r="H37" s="39">
        <f t="shared" si="3"/>
        <v>-0.64278760968653958</v>
      </c>
      <c r="I37" s="39">
        <f t="shared" si="4"/>
        <v>0.17364817766692972</v>
      </c>
      <c r="J37" s="39">
        <f t="shared" si="5"/>
        <v>-0.98480775301220813</v>
      </c>
      <c r="L37" s="33">
        <v>160</v>
      </c>
      <c r="M37" s="34">
        <f>$B111+$B110*COS(RADIANS(L37))+$B109*SIN(RADIANS(L37))</f>
        <v>-2.3617038286290614E-3</v>
      </c>
      <c r="N37" s="34">
        <f>$B137+$B136*COS(RADIANS(L37))+$B135*SIN(RADIANS(L37))</f>
        <v>9.3636747173904671E-4</v>
      </c>
      <c r="T37" s="46"/>
      <c r="U37" s="46"/>
      <c r="V37" s="46"/>
      <c r="W37" s="46"/>
      <c r="Z37" s="45"/>
      <c r="AA37" s="45" t="str">
        <f t="shared" si="6"/>
        <v/>
      </c>
    </row>
    <row r="38" spans="1:27" x14ac:dyDescent="0.25">
      <c r="A38" s="38">
        <v>330</v>
      </c>
      <c r="B38" s="39">
        <v>2.3260999999999976E-3</v>
      </c>
      <c r="C38" s="39">
        <v>-1.1568200000000306E-3</v>
      </c>
      <c r="E38" s="38">
        <f t="shared" si="0"/>
        <v>330</v>
      </c>
      <c r="F38" s="39">
        <f t="shared" si="1"/>
        <v>5.7595865315812871</v>
      </c>
      <c r="G38" s="39">
        <f t="shared" si="2"/>
        <v>0.86602540378443837</v>
      </c>
      <c r="H38" s="39">
        <f t="shared" si="3"/>
        <v>-0.50000000000000044</v>
      </c>
      <c r="I38" s="39">
        <f t="shared" si="4"/>
        <v>0.49999999999999911</v>
      </c>
      <c r="J38" s="39">
        <f t="shared" si="5"/>
        <v>-0.86602540378443915</v>
      </c>
      <c r="L38" s="33">
        <v>165</v>
      </c>
      <c r="M38" s="34">
        <f>$B111+$B110*COS(RADIANS(L38))+$B109*SIN(RADIANS(L38))</f>
        <v>-2.3985919619437975E-3</v>
      </c>
      <c r="N38" s="34">
        <f>$B137+$B136*COS(RADIANS(L38))+$B135*SIN(RADIANS(L38))</f>
        <v>7.0720650051021134E-4</v>
      </c>
      <c r="T38" s="46"/>
      <c r="U38" s="46"/>
      <c r="V38" s="46"/>
      <c r="W38" s="46"/>
      <c r="Z38" s="45"/>
      <c r="AA38" s="45" t="str">
        <f t="shared" si="6"/>
        <v/>
      </c>
    </row>
    <row r="39" spans="1:27" x14ac:dyDescent="0.25">
      <c r="A39" s="38">
        <v>340</v>
      </c>
      <c r="B39" s="39">
        <v>2.5948449999999984E-3</v>
      </c>
      <c r="C39" s="39">
        <v>-7.5613499999999112E-4</v>
      </c>
      <c r="E39" s="38">
        <f t="shared" si="0"/>
        <v>340</v>
      </c>
      <c r="F39" s="39">
        <f t="shared" si="1"/>
        <v>5.9341194567807207</v>
      </c>
      <c r="G39" s="39">
        <f t="shared" si="2"/>
        <v>0.93969262078590843</v>
      </c>
      <c r="H39" s="39">
        <f t="shared" si="3"/>
        <v>-0.3420201433256686</v>
      </c>
      <c r="I39" s="39">
        <f t="shared" si="4"/>
        <v>0.76604444311897824</v>
      </c>
      <c r="J39" s="39">
        <f t="shared" si="5"/>
        <v>-0.64278760968653903</v>
      </c>
      <c r="L39" s="33">
        <v>170</v>
      </c>
      <c r="M39" s="34">
        <f>$B111+$B110*COS(RADIANS(L39))+$B109*SIN(RADIANS(L39))</f>
        <v>-2.417641804846301E-3</v>
      </c>
      <c r="N39" s="34">
        <f>$B137+$B136*COS(RADIANS(L39))+$B135*SIN(RADIANS(L39))</f>
        <v>4.7198143524983726E-4</v>
      </c>
      <c r="T39" s="46"/>
      <c r="U39" s="46"/>
      <c r="V39" s="46"/>
      <c r="W39" s="46"/>
      <c r="Z39" s="45"/>
      <c r="AA39" s="45" t="str">
        <f t="shared" si="6"/>
        <v/>
      </c>
    </row>
    <row r="40" spans="1:27" x14ac:dyDescent="0.25">
      <c r="A40" s="38">
        <v>350</v>
      </c>
      <c r="B40" s="39">
        <v>1.3806400000000024E-3</v>
      </c>
      <c r="C40" s="39">
        <v>2.7918999999998473E-4</v>
      </c>
      <c r="E40" s="38">
        <f t="shared" si="0"/>
        <v>350</v>
      </c>
      <c r="F40" s="39">
        <f t="shared" si="1"/>
        <v>6.1086523819801535</v>
      </c>
      <c r="G40" s="39">
        <f t="shared" si="2"/>
        <v>0.98480775301220802</v>
      </c>
      <c r="H40" s="39">
        <f t="shared" si="3"/>
        <v>-0.17364817766693039</v>
      </c>
      <c r="I40" s="39">
        <f t="shared" si="4"/>
        <v>0.93969262078590832</v>
      </c>
      <c r="J40" s="39">
        <f t="shared" si="5"/>
        <v>-0.34202014332566882</v>
      </c>
      <c r="L40" s="33">
        <v>175</v>
      </c>
      <c r="M40" s="34">
        <f>$B111+$B110*COS(RADIANS(L40))+$B109*SIN(RADIANS(L40))</f>
        <v>-2.4187083765294746E-3</v>
      </c>
      <c r="N40" s="34">
        <f>$B137+$B136*COS(RADIANS(L40))+$B135*SIN(RADIANS(L40))</f>
        <v>2.3248248073733606E-4</v>
      </c>
      <c r="T40" s="46"/>
      <c r="U40" s="46"/>
      <c r="V40" s="46"/>
      <c r="W40" s="46"/>
      <c r="Z40" s="45"/>
      <c r="AA40" s="45" t="str">
        <f t="shared" si="6"/>
        <v/>
      </c>
    </row>
    <row r="41" spans="1:27" x14ac:dyDescent="0.25">
      <c r="A41" s="38"/>
      <c r="B41" s="39"/>
      <c r="C41" s="39"/>
      <c r="E41" s="38" t="str">
        <f t="shared" si="0"/>
        <v/>
      </c>
      <c r="F41" s="38" t="str">
        <f t="shared" si="1"/>
        <v/>
      </c>
      <c r="G41" s="38" t="str">
        <f t="shared" si="2"/>
        <v/>
      </c>
      <c r="H41" s="38" t="str">
        <f t="shared" si="3"/>
        <v/>
      </c>
      <c r="I41" s="38" t="str">
        <f t="shared" si="4"/>
        <v/>
      </c>
      <c r="J41" s="38" t="str">
        <f t="shared" si="5"/>
        <v/>
      </c>
      <c r="L41" s="33">
        <v>180</v>
      </c>
      <c r="M41" s="34">
        <f>$B111+$B110*COS(RADIANS(L41))+$B109*SIN(RADIANS(L41))</f>
        <v>-2.401783559738795E-3</v>
      </c>
      <c r="N41" s="34">
        <f>$B137+$B136*COS(RADIANS(L41))+$B135*SIN(RADIANS(L41))</f>
        <v>-9.4676313700307277E-6</v>
      </c>
      <c r="T41" s="46"/>
      <c r="U41" s="46"/>
      <c r="V41" s="46"/>
      <c r="W41" s="46"/>
      <c r="Z41" s="45"/>
      <c r="AA41" s="45" t="str">
        <f t="shared" si="6"/>
        <v/>
      </c>
    </row>
    <row r="42" spans="1:27" x14ac:dyDescent="0.25">
      <c r="A42" s="38"/>
      <c r="B42" s="39"/>
      <c r="C42" s="39"/>
      <c r="E42" s="38" t="str">
        <f t="shared" si="0"/>
        <v/>
      </c>
      <c r="F42" s="38" t="str">
        <f t="shared" si="1"/>
        <v/>
      </c>
      <c r="G42" s="38" t="str">
        <f t="shared" si="2"/>
        <v/>
      </c>
      <c r="H42" s="38" t="str">
        <f t="shared" si="3"/>
        <v/>
      </c>
      <c r="I42" s="38" t="str">
        <f t="shared" si="4"/>
        <v/>
      </c>
      <c r="J42" s="38" t="str">
        <f t="shared" si="5"/>
        <v/>
      </c>
      <c r="L42" s="33">
        <v>185</v>
      </c>
      <c r="M42" s="34">
        <f>$B111+$B110*COS(RADIANS(L42))+$B109*SIN(RADIANS(L42))</f>
        <v>-2.3669961625495239E-3</v>
      </c>
      <c r="N42" s="34">
        <f>$B137+$B136*COS(RADIANS(L42))+$B135*SIN(RADIANS(L42))</f>
        <v>-2.5202751462565404E-4</v>
      </c>
      <c r="T42" s="46"/>
      <c r="U42" s="46"/>
      <c r="V42" s="46"/>
      <c r="W42" s="46"/>
      <c r="Z42" s="45"/>
      <c r="AA42" s="45" t="str">
        <f t="shared" si="6"/>
        <v/>
      </c>
    </row>
    <row r="43" spans="1:27" x14ac:dyDescent="0.25">
      <c r="A43" s="38"/>
      <c r="B43" s="39"/>
      <c r="C43" s="39"/>
      <c r="E43" s="38" t="str">
        <f t="shared" si="0"/>
        <v/>
      </c>
      <c r="F43" s="38" t="str">
        <f t="shared" si="1"/>
        <v/>
      </c>
      <c r="G43" s="38" t="str">
        <f t="shared" si="2"/>
        <v/>
      </c>
      <c r="H43" s="38" t="str">
        <f t="shared" si="3"/>
        <v/>
      </c>
      <c r="I43" s="38" t="str">
        <f t="shared" si="4"/>
        <v/>
      </c>
      <c r="J43" s="38" t="str">
        <f t="shared" si="5"/>
        <v/>
      </c>
      <c r="L43" s="33">
        <v>190</v>
      </c>
      <c r="M43" s="34">
        <f>$B111+$B110*COS(RADIANS(L43))+$B109*SIN(RADIANS(L43))</f>
        <v>-2.3146109380594751E-3</v>
      </c>
      <c r="N43" s="34">
        <f>$B137+$B136*COS(RADIANS(L43))+$B135*SIN(RADIANS(L43))</f>
        <v>-4.9335114185629792E-4</v>
      </c>
      <c r="T43" s="46"/>
      <c r="U43" s="46"/>
      <c r="V43" s="46"/>
      <c r="W43" s="46"/>
      <c r="Z43" s="45"/>
      <c r="AA43" s="45" t="str">
        <f t="shared" si="6"/>
        <v/>
      </c>
    </row>
    <row r="44" spans="1:27" x14ac:dyDescent="0.25">
      <c r="A44" s="38"/>
      <c r="B44" s="39"/>
      <c r="C44" s="39"/>
      <c r="E44" s="38" t="str">
        <f t="shared" si="0"/>
        <v/>
      </c>
      <c r="F44" s="38" t="str">
        <f t="shared" si="1"/>
        <v/>
      </c>
      <c r="G44" s="38" t="str">
        <f t="shared" si="2"/>
        <v/>
      </c>
      <c r="H44" s="38" t="str">
        <f t="shared" si="3"/>
        <v/>
      </c>
      <c r="I44" s="38" t="str">
        <f t="shared" si="4"/>
        <v/>
      </c>
      <c r="J44" s="38" t="str">
        <f t="shared" si="5"/>
        <v/>
      </c>
      <c r="L44" s="33">
        <v>195</v>
      </c>
      <c r="M44" s="34">
        <f>$B111+$B110*COS(RADIANS(L44))+$B109*SIN(RADIANS(L44))</f>
        <v>-2.2450265694580833E-3</v>
      </c>
      <c r="N44" s="34">
        <f>$B137+$B136*COS(RADIANS(L44))+$B135*SIN(RADIANS(L44))</f>
        <v>-7.3160189454354462E-4</v>
      </c>
      <c r="T44" s="46"/>
      <c r="U44" s="46"/>
      <c r="V44" s="46"/>
      <c r="W44" s="46"/>
      <c r="Z44" s="45"/>
      <c r="AA44" s="45" t="str">
        <f t="shared" si="6"/>
        <v/>
      </c>
    </row>
    <row r="45" spans="1:27" x14ac:dyDescent="0.25">
      <c r="A45" s="38"/>
      <c r="B45" s="39"/>
      <c r="C45" s="39"/>
      <c r="E45" s="38" t="str">
        <f t="shared" si="0"/>
        <v/>
      </c>
      <c r="F45" s="38" t="str">
        <f t="shared" si="1"/>
        <v/>
      </c>
      <c r="G45" s="38" t="str">
        <f t="shared" si="2"/>
        <v/>
      </c>
      <c r="H45" s="38" t="str">
        <f t="shared" si="3"/>
        <v/>
      </c>
      <c r="I45" s="38" t="str">
        <f t="shared" si="4"/>
        <v/>
      </c>
      <c r="J45" s="38" t="str">
        <f t="shared" si="5"/>
        <v/>
      </c>
      <c r="L45" s="33">
        <v>200</v>
      </c>
      <c r="M45" s="34">
        <f>$B111+$B110*COS(RADIANS(L45))+$B109*SIN(RADIANS(L45))</f>
        <v>-2.1587726358065938E-3</v>
      </c>
      <c r="N45" s="34">
        <f>$B137+$B136*COS(RADIANS(L45))+$B135*SIN(RADIANS(L45))</f>
        <v>-9.649665405997074E-4</v>
      </c>
      <c r="T45" s="46"/>
      <c r="U45" s="46"/>
      <c r="V45" s="46"/>
      <c r="W45" s="46"/>
      <c r="Z45" s="45"/>
      <c r="AA45" s="45" t="str">
        <f t="shared" si="6"/>
        <v/>
      </c>
    </row>
    <row r="46" spans="1:27" x14ac:dyDescent="0.25">
      <c r="A46" s="38"/>
      <c r="B46" s="39"/>
      <c r="C46" s="39"/>
      <c r="E46" s="38" t="str">
        <f t="shared" si="0"/>
        <v/>
      </c>
      <c r="F46" s="38" t="str">
        <f t="shared" si="1"/>
        <v/>
      </c>
      <c r="G46" s="38" t="str">
        <f t="shared" si="2"/>
        <v/>
      </c>
      <c r="H46" s="38" t="str">
        <f t="shared" si="3"/>
        <v/>
      </c>
      <c r="I46" s="38" t="str">
        <f t="shared" si="4"/>
        <v/>
      </c>
      <c r="J46" s="38" t="str">
        <f t="shared" si="5"/>
        <v/>
      </c>
      <c r="L46" s="33">
        <v>205</v>
      </c>
      <c r="M46" s="34">
        <f>$B111+$B110*COS(RADIANS(L46))+$B109*SIN(RADIANS(L46))</f>
        <v>-2.0565055816216446E-3</v>
      </c>
      <c r="N46" s="34">
        <f>$B137+$B136*COS(RADIANS(L46))+$B135*SIN(RADIANS(L46))</f>
        <v>-1.1916690341588734E-3</v>
      </c>
      <c r="T46" s="46"/>
      <c r="U46" s="46"/>
      <c r="V46" s="46"/>
      <c r="W46" s="46"/>
      <c r="Z46" s="45"/>
      <c r="AA46" s="45" t="str">
        <f t="shared" si="6"/>
        <v/>
      </c>
    </row>
    <row r="47" spans="1:27" x14ac:dyDescent="0.25">
      <c r="A47" s="38"/>
      <c r="B47" s="39"/>
      <c r="C47" s="39"/>
      <c r="E47" s="38" t="str">
        <f t="shared" si="0"/>
        <v/>
      </c>
      <c r="F47" s="38" t="str">
        <f t="shared" si="1"/>
        <v/>
      </c>
      <c r="G47" s="38" t="str">
        <f t="shared" si="2"/>
        <v/>
      </c>
      <c r="H47" s="38" t="str">
        <f t="shared" si="3"/>
        <v/>
      </c>
      <c r="I47" s="38" t="str">
        <f t="shared" si="4"/>
        <v/>
      </c>
      <c r="J47" s="38" t="str">
        <f t="shared" si="5"/>
        <v/>
      </c>
      <c r="L47" s="33">
        <v>210</v>
      </c>
      <c r="M47" s="34">
        <f>$B111+$B110*COS(RADIANS(L47))+$B109*SIN(RADIANS(L47))</f>
        <v>-1.9390037209361176E-3</v>
      </c>
      <c r="N47" s="34">
        <f>$B137+$B136*COS(RADIANS(L47))+$B135*SIN(RADIANS(L47))</f>
        <v>-1.4099840323583499E-3</v>
      </c>
      <c r="T47" s="46"/>
      <c r="U47" s="46"/>
      <c r="V47" s="46"/>
      <c r="W47" s="46"/>
      <c r="Z47" s="45"/>
      <c r="AA47" s="45" t="str">
        <f t="shared" si="6"/>
        <v/>
      </c>
    </row>
    <row r="48" spans="1:27" x14ac:dyDescent="0.25">
      <c r="A48" s="38"/>
      <c r="B48" s="39"/>
      <c r="C48" s="39"/>
      <c r="E48" s="38" t="str">
        <f t="shared" si="0"/>
        <v/>
      </c>
      <c r="F48" s="38" t="str">
        <f t="shared" si="1"/>
        <v/>
      </c>
      <c r="G48" s="38" t="str">
        <f t="shared" si="2"/>
        <v/>
      </c>
      <c r="H48" s="38" t="str">
        <f t="shared" si="3"/>
        <v/>
      </c>
      <c r="I48" s="38" t="str">
        <f t="shared" si="4"/>
        <v/>
      </c>
      <c r="J48" s="38" t="str">
        <f t="shared" si="5"/>
        <v/>
      </c>
      <c r="L48" s="33">
        <v>215</v>
      </c>
      <c r="M48" s="34">
        <f>$B111+$B110*COS(RADIANS(L48))+$B109*SIN(RADIANS(L48))</f>
        <v>-1.8071613138593943E-3</v>
      </c>
      <c r="N48" s="34">
        <f>$B137+$B136*COS(RADIANS(L48))+$B135*SIN(RADIANS(L48))</f>
        <v>-1.6182500262396369E-3</v>
      </c>
      <c r="T48" s="46"/>
      <c r="U48" s="46"/>
      <c r="V48" s="46"/>
      <c r="W48" s="46"/>
      <c r="Z48" s="45"/>
      <c r="AA48" s="45" t="str">
        <f t="shared" si="6"/>
        <v/>
      </c>
    </row>
    <row r="49" spans="1:27" x14ac:dyDescent="0.25">
      <c r="A49" s="38"/>
      <c r="B49" s="39"/>
      <c r="C49" s="39"/>
      <c r="E49" s="38" t="str">
        <f t="shared" si="0"/>
        <v/>
      </c>
      <c r="F49" s="38" t="str">
        <f t="shared" si="1"/>
        <v/>
      </c>
      <c r="G49" s="38" t="str">
        <f t="shared" si="2"/>
        <v/>
      </c>
      <c r="H49" s="38" t="str">
        <f t="shared" si="3"/>
        <v/>
      </c>
      <c r="I49" s="38" t="str">
        <f t="shared" si="4"/>
        <v/>
      </c>
      <c r="J49" s="38" t="str">
        <f t="shared" si="5"/>
        <v/>
      </c>
      <c r="L49" s="33">
        <v>220</v>
      </c>
      <c r="M49" s="34">
        <f>$B111+$B110*COS(RADIANS(L49))+$B109*SIN(RADIANS(L49))</f>
        <v>-1.6619817607179497E-3</v>
      </c>
      <c r="N49" s="34">
        <f>$B137+$B136*COS(RADIANS(L49))+$B135*SIN(RADIANS(L49))</f>
        <v>-1.8148819858348534E-3</v>
      </c>
      <c r="T49" s="46"/>
      <c r="U49" s="46"/>
      <c r="V49" s="46"/>
      <c r="W49" s="46"/>
      <c r="Z49" s="45"/>
      <c r="AA49" s="45" t="str">
        <f t="shared" si="6"/>
        <v/>
      </c>
    </row>
    <row r="50" spans="1:27" x14ac:dyDescent="0.25">
      <c r="A50" s="38"/>
      <c r="B50" s="39"/>
      <c r="C50" s="39"/>
      <c r="E50" s="38" t="str">
        <f t="shared" si="0"/>
        <v/>
      </c>
      <c r="F50" s="38" t="str">
        <f t="shared" si="1"/>
        <v/>
      </c>
      <c r="G50" s="38" t="str">
        <f t="shared" si="2"/>
        <v/>
      </c>
      <c r="H50" s="38" t="str">
        <f t="shared" si="3"/>
        <v/>
      </c>
      <c r="I50" s="38" t="str">
        <f t="shared" si="4"/>
        <v/>
      </c>
      <c r="J50" s="38" t="str">
        <f t="shared" si="5"/>
        <v/>
      </c>
      <c r="L50" s="33">
        <v>225</v>
      </c>
      <c r="M50" s="34">
        <f>$B111+$B110*COS(RADIANS(L50))+$B109*SIN(RADIANS(L50))</f>
        <v>-1.5045699655730019E-3</v>
      </c>
      <c r="N50" s="34">
        <f>$B137+$B136*COS(RADIANS(L50))+$B135*SIN(RADIANS(L50))</f>
        <v>-1.9983834232018566E-3</v>
      </c>
      <c r="T50" s="46"/>
      <c r="U50" s="46"/>
      <c r="V50" s="46"/>
      <c r="W50" s="46"/>
      <c r="Z50" s="45"/>
      <c r="AA50" s="45" t="str">
        <f t="shared" si="6"/>
        <v/>
      </c>
    </row>
    <row r="51" spans="1:27" x14ac:dyDescent="0.25">
      <c r="A51" s="38"/>
      <c r="B51" s="39"/>
      <c r="C51" s="39"/>
      <c r="E51" s="38" t="str">
        <f t="shared" si="0"/>
        <v/>
      </c>
      <c r="F51" s="38" t="str">
        <f t="shared" si="1"/>
        <v/>
      </c>
      <c r="G51" s="38" t="str">
        <f t="shared" si="2"/>
        <v/>
      </c>
      <c r="H51" s="38" t="str">
        <f t="shared" si="3"/>
        <v/>
      </c>
      <c r="I51" s="38" t="str">
        <f t="shared" si="4"/>
        <v/>
      </c>
      <c r="J51" s="38" t="str">
        <f t="shared" si="5"/>
        <v/>
      </c>
      <c r="L51" s="33">
        <v>230</v>
      </c>
      <c r="M51" s="34">
        <f>$B111+$B110*COS(RADIANS(L51))+$B109*SIN(RADIANS(L51))</f>
        <v>-1.3361239272334437E-3</v>
      </c>
      <c r="N51" s="34">
        <f>$B137+$B136*COS(RADIANS(L51))+$B135*SIN(RADIANS(L51))</f>
        <v>-2.1673577816010859E-3</v>
      </c>
      <c r="T51" s="46"/>
      <c r="U51" s="46"/>
      <c r="V51" s="46"/>
      <c r="W51" s="46"/>
      <c r="Z51" s="45"/>
      <c r="AA51" s="45" t="str">
        <f t="shared" si="6"/>
        <v/>
      </c>
    </row>
    <row r="52" spans="1:27" x14ac:dyDescent="0.25">
      <c r="A52" s="38"/>
      <c r="B52" s="39"/>
      <c r="C52" s="39"/>
      <c r="E52" s="38" t="str">
        <f t="shared" si="0"/>
        <v/>
      </c>
      <c r="F52" s="38" t="str">
        <f t="shared" si="1"/>
        <v/>
      </c>
      <c r="G52" s="38" t="str">
        <f t="shared" si="2"/>
        <v/>
      </c>
      <c r="H52" s="38" t="str">
        <f t="shared" si="3"/>
        <v/>
      </c>
      <c r="I52" s="38" t="str">
        <f t="shared" si="4"/>
        <v/>
      </c>
      <c r="J52" s="38" t="str">
        <f t="shared" si="5"/>
        <v/>
      </c>
      <c r="L52" s="33">
        <v>235</v>
      </c>
      <c r="M52" s="34">
        <f>$B111+$B110*COS(RADIANS(L52))+$B109*SIN(RADIANS(L52))</f>
        <v>-1.1579256217615387E-3</v>
      </c>
      <c r="N52" s="34">
        <f>$B137+$B136*COS(RADIANS(L52))+$B135*SIN(RADIANS(L52))</f>
        <v>-2.3205190641356161E-3</v>
      </c>
      <c r="T52" s="46"/>
      <c r="U52" s="46"/>
      <c r="V52" s="46"/>
      <c r="W52" s="46"/>
      <c r="Z52" s="45"/>
      <c r="AA52" s="45" t="str">
        <f t="shared" si="6"/>
        <v/>
      </c>
    </row>
    <row r="53" spans="1:27" x14ac:dyDescent="0.25">
      <c r="A53" s="38"/>
      <c r="B53" s="39"/>
      <c r="C53" s="39"/>
      <c r="E53" s="38" t="str">
        <f t="shared" si="0"/>
        <v/>
      </c>
      <c r="F53" s="38" t="str">
        <f t="shared" si="1"/>
        <v/>
      </c>
      <c r="G53" s="38" t="str">
        <f t="shared" si="2"/>
        <v/>
      </c>
      <c r="H53" s="38" t="str">
        <f t="shared" si="3"/>
        <v/>
      </c>
      <c r="I53" s="38" t="str">
        <f t="shared" si="4"/>
        <v/>
      </c>
      <c r="J53" s="38" t="str">
        <f t="shared" si="5"/>
        <v/>
      </c>
      <c r="L53" s="33">
        <v>240</v>
      </c>
      <c r="M53" s="34">
        <f>$B111+$B110*COS(RADIANS(L53))+$B109*SIN(RADIANS(L53))</f>
        <v>-9.7133124586100666E-4</v>
      </c>
      <c r="N53" s="34">
        <f>$B137+$B136*COS(RADIANS(L53))+$B135*SIN(RADIANS(L53))</f>
        <v>-2.4567016209640488E-3</v>
      </c>
      <c r="T53" s="46"/>
      <c r="U53" s="46"/>
      <c r="V53" s="46"/>
      <c r="W53" s="46"/>
      <c r="Z53" s="45"/>
      <c r="AA53" s="45" t="str">
        <f t="shared" si="6"/>
        <v/>
      </c>
    </row>
    <row r="54" spans="1:27" x14ac:dyDescent="0.25">
      <c r="A54" s="38"/>
      <c r="B54" s="39"/>
      <c r="C54" s="39"/>
      <c r="E54" s="38" t="str">
        <f t="shared" si="0"/>
        <v/>
      </c>
      <c r="F54" s="38" t="str">
        <f t="shared" si="1"/>
        <v/>
      </c>
      <c r="G54" s="38" t="str">
        <f t="shared" si="2"/>
        <v/>
      </c>
      <c r="H54" s="38" t="str">
        <f t="shared" si="3"/>
        <v/>
      </c>
      <c r="I54" s="38" t="str">
        <f t="shared" si="4"/>
        <v/>
      </c>
      <c r="J54" s="38" t="str">
        <f t="shared" si="5"/>
        <v/>
      </c>
      <c r="L54" s="33">
        <v>245</v>
      </c>
      <c r="M54" s="34">
        <f>$B111+$B110*COS(RADIANS(L54))+$B109*SIN(RADIANS(L54))</f>
        <v>-7.7776089540121265E-4</v>
      </c>
      <c r="N54" s="34">
        <f>$B137+$B136*COS(RADIANS(L54))+$B135*SIN(RADIANS(L54))</f>
        <v>-2.5748690205996448E-3</v>
      </c>
      <c r="T54" s="46"/>
      <c r="U54" s="46"/>
      <c r="V54" s="46"/>
      <c r="W54" s="46"/>
      <c r="Z54" s="45"/>
      <c r="AA54" s="45" t="str">
        <f t="shared" si="6"/>
        <v/>
      </c>
    </row>
    <row r="55" spans="1:27" x14ac:dyDescent="0.25">
      <c r="A55" s="38"/>
      <c r="B55" s="39"/>
      <c r="C55" s="39"/>
      <c r="E55" s="38" t="str">
        <f t="shared" si="0"/>
        <v/>
      </c>
      <c r="F55" s="38" t="str">
        <f t="shared" si="1"/>
        <v/>
      </c>
      <c r="G55" s="38" t="str">
        <f t="shared" si="2"/>
        <v/>
      </c>
      <c r="H55" s="38" t="str">
        <f t="shared" si="3"/>
        <v/>
      </c>
      <c r="I55" s="38" t="str">
        <f t="shared" si="4"/>
        <v/>
      </c>
      <c r="J55" s="38" t="str">
        <f t="shared" si="5"/>
        <v/>
      </c>
      <c r="L55" s="33">
        <v>250</v>
      </c>
      <c r="M55" s="34">
        <f>$B111+$B110*COS(RADIANS(L55))+$B109*SIN(RADIANS(L55))</f>
        <v>-5.7868775763013358E-4</v>
      </c>
      <c r="N55" s="34">
        <f>$B137+$B136*COS(RADIANS(L55))+$B135*SIN(RADIANS(L55))</f>
        <v>-2.6741219377797477E-3</v>
      </c>
      <c r="T55" s="46"/>
      <c r="U55" s="46"/>
      <c r="V55" s="46"/>
      <c r="W55" s="46"/>
      <c r="Z55" s="45"/>
      <c r="AA55" s="45" t="str">
        <f t="shared" si="6"/>
        <v/>
      </c>
    </row>
    <row r="56" spans="1:27" x14ac:dyDescent="0.25">
      <c r="A56" s="38"/>
      <c r="B56" s="39"/>
      <c r="C56" s="39"/>
      <c r="E56" s="38" t="str">
        <f t="shared" si="0"/>
        <v/>
      </c>
      <c r="F56" s="38" t="str">
        <f t="shared" si="1"/>
        <v/>
      </c>
      <c r="G56" s="38" t="str">
        <f t="shared" si="2"/>
        <v/>
      </c>
      <c r="H56" s="38" t="str">
        <f t="shared" si="3"/>
        <v/>
      </c>
      <c r="I56" s="38" t="str">
        <f t="shared" si="4"/>
        <v/>
      </c>
      <c r="J56" s="38" t="str">
        <f t="shared" si="5"/>
        <v/>
      </c>
      <c r="L56" s="33">
        <v>255</v>
      </c>
      <c r="M56" s="34">
        <f>$B111+$B110*COS(RADIANS(L56))+$B109*SIN(RADIANS(L56))</f>
        <v>-3.7562689932985201E-4</v>
      </c>
      <c r="N56" s="34">
        <f>$B137+$B136*COS(RADIANS(L56))+$B135*SIN(RADIANS(L56))</f>
        <v>-2.7537049978740681E-3</v>
      </c>
      <c r="T56" s="46"/>
      <c r="U56" s="46"/>
      <c r="V56" s="46"/>
      <c r="W56" s="46"/>
      <c r="Z56" s="45"/>
      <c r="AA56" s="45" t="str">
        <f t="shared" si="6"/>
        <v/>
      </c>
    </row>
    <row r="57" spans="1:27" x14ac:dyDescent="0.25">
      <c r="A57" s="38"/>
      <c r="B57" s="39"/>
      <c r="C57" s="39"/>
      <c r="E57" s="38" t="str">
        <f t="shared" si="0"/>
        <v/>
      </c>
      <c r="F57" s="38" t="str">
        <f t="shared" si="1"/>
        <v/>
      </c>
      <c r="G57" s="38" t="str">
        <f t="shared" si="2"/>
        <v/>
      </c>
      <c r="H57" s="38" t="str">
        <f t="shared" si="3"/>
        <v/>
      </c>
      <c r="I57" s="38" t="str">
        <f t="shared" si="4"/>
        <v/>
      </c>
      <c r="J57" s="38" t="str">
        <f t="shared" si="5"/>
        <v/>
      </c>
      <c r="L57" s="33">
        <v>260</v>
      </c>
      <c r="M57" s="34">
        <f>$B111+$B110*COS(RADIANS(L57))+$B109*SIN(RADIANS(L57))</f>
        <v>-1.7012373624353201E-4</v>
      </c>
      <c r="N57" s="34">
        <f>$B137+$B136*COS(RADIANS(L57))+$B135*SIN(RADIANS(L57))</f>
        <v>-2.8130125257417237E-3</v>
      </c>
      <c r="T57" s="46"/>
      <c r="U57" s="46"/>
      <c r="V57" s="46"/>
      <c r="W57" s="46"/>
      <c r="Z57" s="45"/>
      <c r="AA57" s="45" t="str">
        <f t="shared" si="6"/>
        <v/>
      </c>
    </row>
    <row r="58" spans="1:27" x14ac:dyDescent="0.25">
      <c r="A58" s="38"/>
      <c r="B58" s="39"/>
      <c r="C58" s="39"/>
      <c r="E58" s="38" t="str">
        <f t="shared" si="0"/>
        <v/>
      </c>
      <c r="F58" s="38" t="str">
        <f t="shared" si="1"/>
        <v/>
      </c>
      <c r="G58" s="38" t="str">
        <f t="shared" si="2"/>
        <v/>
      </c>
      <c r="H58" s="38" t="str">
        <f t="shared" si="3"/>
        <v/>
      </c>
      <c r="I58" s="38" t="str">
        <f t="shared" si="4"/>
        <v/>
      </c>
      <c r="J58" s="38" t="str">
        <f t="shared" si="5"/>
        <v/>
      </c>
      <c r="L58" s="33">
        <v>265</v>
      </c>
      <c r="M58" s="34">
        <f>$B111+$B110*COS(RADIANS(L58))+$B109*SIN(RADIANS(L58))</f>
        <v>3.6257728471537313E-5</v>
      </c>
      <c r="N58" s="34">
        <f>$B137+$B136*COS(RADIANS(L58))+$B135*SIN(RADIANS(L58))</f>
        <v>-2.8515931552847758E-3</v>
      </c>
      <c r="T58" s="46"/>
      <c r="U58" s="46"/>
      <c r="V58" s="46"/>
      <c r="W58" s="46"/>
      <c r="Z58" s="45"/>
      <c r="AA58" s="45" t="str">
        <f t="shared" si="6"/>
        <v/>
      </c>
    </row>
    <row r="59" spans="1:27" x14ac:dyDescent="0.25">
      <c r="A59" s="38"/>
      <c r="B59" s="39"/>
      <c r="C59" s="39"/>
      <c r="E59" s="38" t="str">
        <f t="shared" si="0"/>
        <v/>
      </c>
      <c r="F59" s="38" t="str">
        <f t="shared" si="1"/>
        <v/>
      </c>
      <c r="G59" s="38" t="str">
        <f t="shared" si="2"/>
        <v/>
      </c>
      <c r="H59" s="38" t="str">
        <f t="shared" si="3"/>
        <v/>
      </c>
      <c r="I59" s="38" t="str">
        <f t="shared" si="4"/>
        <v/>
      </c>
      <c r="J59" s="38" t="str">
        <f t="shared" si="5"/>
        <v/>
      </c>
      <c r="L59" s="33">
        <v>270</v>
      </c>
      <c r="M59" s="34">
        <f>$B111+$B110*COS(RADIANS(L59))+$B109*SIN(RADIANS(L59))</f>
        <v>2.4194680725233856E-4</v>
      </c>
      <c r="N59" s="34">
        <f>$B137+$B136*COS(RADIANS(L59))+$B135*SIN(RADIANS(L59))</f>
        <v>-2.8691532646167818E-3</v>
      </c>
      <c r="T59" s="46"/>
      <c r="U59" s="46"/>
      <c r="V59" s="46"/>
      <c r="W59" s="46"/>
      <c r="Z59" s="45"/>
      <c r="AA59" s="45" t="str">
        <f t="shared" si="6"/>
        <v/>
      </c>
    </row>
    <row r="60" spans="1:27" x14ac:dyDescent="0.25">
      <c r="A60" s="38"/>
      <c r="B60" s="39"/>
      <c r="C60" s="39"/>
      <c r="E60" s="38" t="str">
        <f t="shared" si="0"/>
        <v/>
      </c>
      <c r="F60" s="38" t="str">
        <f t="shared" si="1"/>
        <v/>
      </c>
      <c r="G60" s="38" t="str">
        <f t="shared" si="2"/>
        <v/>
      </c>
      <c r="H60" s="38" t="str">
        <f t="shared" si="3"/>
        <v/>
      </c>
      <c r="I60" s="38" t="str">
        <f t="shared" si="4"/>
        <v/>
      </c>
      <c r="J60" s="38" t="str">
        <f t="shared" si="5"/>
        <v/>
      </c>
      <c r="L60" s="33">
        <v>275</v>
      </c>
      <c r="M60" s="34">
        <f>$B111+$B110*COS(RADIANS(L60))+$B109*SIN(RADIANS(L60))</f>
        <v>4.4537808201088839E-4</v>
      </c>
      <c r="N60" s="34">
        <f>$B137+$B136*COS(RADIANS(L60))+$B135*SIN(RADIANS(L60))</f>
        <v>-2.8655592107026404E-3</v>
      </c>
      <c r="T60" s="46"/>
      <c r="U60" s="46"/>
      <c r="V60" s="46"/>
      <c r="W60" s="46"/>
      <c r="Z60" s="45"/>
      <c r="AA60" s="45" t="str">
        <f t="shared" si="6"/>
        <v/>
      </c>
    </row>
    <row r="61" spans="1:27" x14ac:dyDescent="0.25">
      <c r="A61" s="38"/>
      <c r="B61" s="39"/>
      <c r="C61" s="39"/>
      <c r="E61" s="38" t="str">
        <f t="shared" si="0"/>
        <v/>
      </c>
      <c r="F61" s="38" t="str">
        <f t="shared" si="1"/>
        <v/>
      </c>
      <c r="G61" s="38" t="str">
        <f t="shared" si="2"/>
        <v/>
      </c>
      <c r="H61" s="38" t="str">
        <f t="shared" si="3"/>
        <v/>
      </c>
      <c r="I61" s="38" t="str">
        <f t="shared" si="4"/>
        <v/>
      </c>
      <c r="J61" s="38" t="str">
        <f t="shared" si="5"/>
        <v/>
      </c>
      <c r="L61" s="33">
        <v>280</v>
      </c>
      <c r="M61" s="34">
        <f>$B111+$B110*COS(RADIANS(L61))+$B109*SIN(RADIANS(L61))</f>
        <v>6.4500331791111226E-4</v>
      </c>
      <c r="N61" s="34">
        <f>$B137+$B136*COS(RADIANS(L61))+$B135*SIN(RADIANS(L61))</f>
        <v>-2.8408383464627886E-3</v>
      </c>
      <c r="T61" s="46"/>
      <c r="U61" s="46"/>
      <c r="V61" s="46"/>
      <c r="W61" s="46"/>
      <c r="Z61" s="45"/>
      <c r="AA61" s="45" t="str">
        <f t="shared" si="6"/>
        <v/>
      </c>
    </row>
    <row r="62" spans="1:27" x14ac:dyDescent="0.25">
      <c r="A62" s="38"/>
      <c r="B62" s="39"/>
      <c r="C62" s="39"/>
      <c r="E62" s="38" t="str">
        <f t="shared" si="0"/>
        <v/>
      </c>
      <c r="F62" s="38" t="str">
        <f t="shared" si="1"/>
        <v/>
      </c>
      <c r="G62" s="38" t="str">
        <f t="shared" si="2"/>
        <v/>
      </c>
      <c r="H62" s="38" t="str">
        <f t="shared" si="3"/>
        <v/>
      </c>
      <c r="I62" s="38" t="str">
        <f t="shared" si="4"/>
        <v/>
      </c>
      <c r="J62" s="38" t="str">
        <f t="shared" si="5"/>
        <v/>
      </c>
      <c r="L62" s="33">
        <v>285</v>
      </c>
      <c r="M62" s="34">
        <f>$B111+$B110*COS(RADIANS(L62))+$B109*SIN(RADIANS(L62))</f>
        <v>8.3930324637079617E-4</v>
      </c>
      <c r="N62" s="34">
        <f>$B137+$B136*COS(RADIANS(L62))+$B135*SIN(RADIANS(L62))</f>
        <v>-2.7951788126009563E-3</v>
      </c>
      <c r="T62" s="46"/>
      <c r="U62" s="46"/>
      <c r="V62" s="46"/>
      <c r="W62" s="46"/>
      <c r="Z62" s="45"/>
      <c r="AA62" s="45" t="str">
        <f t="shared" si="6"/>
        <v/>
      </c>
    </row>
    <row r="63" spans="1:27" x14ac:dyDescent="0.25">
      <c r="A63" s="38"/>
      <c r="B63" s="39"/>
      <c r="C63" s="39"/>
      <c r="E63" s="38" t="str">
        <f t="shared" si="0"/>
        <v/>
      </c>
      <c r="F63" s="38" t="str">
        <f t="shared" si="1"/>
        <v/>
      </c>
      <c r="G63" s="38" t="str">
        <f t="shared" si="2"/>
        <v/>
      </c>
      <c r="H63" s="38" t="str">
        <f t="shared" si="3"/>
        <v/>
      </c>
      <c r="I63" s="38" t="str">
        <f t="shared" si="4"/>
        <v/>
      </c>
      <c r="J63" s="38" t="str">
        <f t="shared" si="5"/>
        <v/>
      </c>
      <c r="L63" s="33">
        <v>290</v>
      </c>
      <c r="M63" s="34">
        <f>$B111+$B110*COS(RADIANS(L63))+$B109*SIN(RADIANS(L63))</f>
        <v>1.0267991276128596E-3</v>
      </c>
      <c r="N63" s="34">
        <f>$B137+$B136*COS(RADIANS(L63))+$B135*SIN(RADIANS(L63))</f>
        <v>-2.7289281057398121E-3</v>
      </c>
      <c r="T63" s="46"/>
      <c r="U63" s="46"/>
      <c r="V63" s="46"/>
      <c r="W63" s="46"/>
      <c r="Z63" s="45"/>
      <c r="AA63" s="45" t="str">
        <f t="shared" si="6"/>
        <v/>
      </c>
    </row>
    <row r="64" spans="1:27" x14ac:dyDescent="0.25">
      <c r="A64" s="38"/>
      <c r="B64" s="39"/>
      <c r="C64" s="39"/>
      <c r="E64" s="38" t="str">
        <f t="shared" si="0"/>
        <v/>
      </c>
      <c r="F64" s="38" t="str">
        <f t="shared" si="1"/>
        <v/>
      </c>
      <c r="G64" s="38" t="str">
        <f t="shared" si="2"/>
        <v/>
      </c>
      <c r="H64" s="38" t="str">
        <f t="shared" si="3"/>
        <v/>
      </c>
      <c r="I64" s="38" t="str">
        <f t="shared" si="4"/>
        <v/>
      </c>
      <c r="J64" s="38" t="str">
        <f t="shared" si="5"/>
        <v/>
      </c>
      <c r="L64" s="33">
        <v>295</v>
      </c>
      <c r="M64" s="34">
        <f>$B111+$B110*COS(RADIANS(L64))+$B109*SIN(RADIANS(L64))</f>
        <v>1.206064004767938E-3</v>
      </c>
      <c r="N64" s="34">
        <f>$B137+$B136*COS(RADIANS(L64))+$B135*SIN(RADIANS(L64))</f>
        <v>-2.6425904337618413E-3</v>
      </c>
      <c r="T64" s="46"/>
      <c r="U64" s="46"/>
      <c r="V64" s="46"/>
      <c r="W64" s="46"/>
      <c r="Z64" s="45"/>
      <c r="AA64" s="45" t="str">
        <f t="shared" si="6"/>
        <v/>
      </c>
    </row>
    <row r="65" spans="1:27" x14ac:dyDescent="0.25">
      <c r="A65" s="38"/>
      <c r="B65" s="39"/>
      <c r="C65" s="39"/>
      <c r="E65" s="38" t="str">
        <f t="shared" si="0"/>
        <v/>
      </c>
      <c r="F65" s="38" t="str">
        <f t="shared" si="1"/>
        <v/>
      </c>
      <c r="G65" s="38" t="str">
        <f t="shared" si="2"/>
        <v/>
      </c>
      <c r="H65" s="38" t="str">
        <f t="shared" si="3"/>
        <v/>
      </c>
      <c r="I65" s="38" t="str">
        <f t="shared" si="4"/>
        <v/>
      </c>
      <c r="J65" s="38" t="str">
        <f t="shared" si="5"/>
        <v/>
      </c>
      <c r="L65" s="33">
        <v>300</v>
      </c>
      <c r="M65" s="34">
        <f>$B111+$B110*COS(RADIANS(L65))+$B109*SIN(RADIANS(L65))</f>
        <v>1.3757335638777909E-3</v>
      </c>
      <c r="N65" s="34">
        <f>$B137+$B136*COS(RADIANS(L65))+$B135*SIN(RADIANS(L65))</f>
        <v>-2.5368228784829073E-3</v>
      </c>
      <c r="T65" s="46"/>
      <c r="U65" s="46"/>
      <c r="V65" s="46"/>
      <c r="W65" s="46"/>
      <c r="Z65" s="45"/>
      <c r="AA65" s="45" t="str">
        <f t="shared" si="6"/>
        <v/>
      </c>
    </row>
    <row r="66" spans="1:27" x14ac:dyDescent="0.25">
      <c r="A66" s="38"/>
      <c r="B66" s="39"/>
      <c r="C66" s="39"/>
      <c r="E66" s="38" t="str">
        <f t="shared" si="0"/>
        <v/>
      </c>
      <c r="F66" s="38" t="str">
        <f t="shared" si="1"/>
        <v/>
      </c>
      <c r="G66" s="38" t="str">
        <f t="shared" si="2"/>
        <v/>
      </c>
      <c r="H66" s="38" t="str">
        <f t="shared" si="3"/>
        <v/>
      </c>
      <c r="I66" s="38" t="str">
        <f t="shared" si="4"/>
        <v/>
      </c>
      <c r="J66" s="38" t="str">
        <f t="shared" si="5"/>
        <v/>
      </c>
      <c r="L66" s="33">
        <v>305</v>
      </c>
      <c r="M66" s="34">
        <f>$B111+$B110*COS(RADIANS(L66))+$B109*SIN(RADIANS(L66))</f>
        <v>1.5345165171483115E-3</v>
      </c>
      <c r="N66" s="34">
        <f>$B137+$B136*COS(RADIANS(L66))+$B135*SIN(RADIANS(L66))</f>
        <v>-2.4124303948628782E-3</v>
      </c>
      <c r="T66" s="46"/>
      <c r="U66" s="46"/>
      <c r="V66" s="46"/>
      <c r="W66" s="46"/>
      <c r="Z66" s="45"/>
      <c r="AA66" s="45" t="str">
        <f t="shared" si="6"/>
        <v/>
      </c>
    </row>
    <row r="67" spans="1:27" x14ac:dyDescent="0.25">
      <c r="A67" s="38"/>
      <c r="B67" s="39"/>
      <c r="C67" s="39"/>
      <c r="E67" s="38" t="str">
        <f t="shared" si="0"/>
        <v/>
      </c>
      <c r="F67" s="38" t="str">
        <f t="shared" si="1"/>
        <v/>
      </c>
      <c r="G67" s="38" t="str">
        <f t="shared" si="2"/>
        <v/>
      </c>
      <c r="H67" s="38" t="str">
        <f t="shared" si="3"/>
        <v/>
      </c>
      <c r="I67" s="38" t="str">
        <f t="shared" si="4"/>
        <v/>
      </c>
      <c r="J67" s="38" t="str">
        <f t="shared" si="5"/>
        <v/>
      </c>
      <c r="L67" s="33">
        <v>310</v>
      </c>
      <c r="M67" s="34">
        <f>$B111+$B110*COS(RADIANS(L67))+$B109*SIN(RADIANS(L67))</f>
        <v>1.6812044304293427E-3</v>
      </c>
      <c r="N67" s="34">
        <f>$B137+$B136*COS(RADIANS(L67))+$B135*SIN(RADIANS(L67))</f>
        <v>-2.2703596848123388E-3</v>
      </c>
      <c r="T67" s="46"/>
      <c r="U67" s="46"/>
      <c r="V67" s="46"/>
      <c r="W67" s="46"/>
      <c r="Z67" s="45"/>
      <c r="AA67" s="45" t="str">
        <f t="shared" si="6"/>
        <v/>
      </c>
    </row>
    <row r="68" spans="1:27" x14ac:dyDescent="0.25">
      <c r="A68" s="38"/>
      <c r="B68" s="39"/>
      <c r="C68" s="39"/>
      <c r="E68" s="38" t="str">
        <f t="shared" si="0"/>
        <v/>
      </c>
      <c r="F68" s="38" t="str">
        <f t="shared" si="1"/>
        <v/>
      </c>
      <c r="G68" s="38" t="str">
        <f t="shared" si="2"/>
        <v/>
      </c>
      <c r="H68" s="38" t="str">
        <f t="shared" si="3"/>
        <v/>
      </c>
      <c r="I68" s="38" t="str">
        <f t="shared" si="4"/>
        <v/>
      </c>
      <c r="J68" s="38" t="str">
        <f t="shared" si="5"/>
        <v/>
      </c>
      <c r="L68" s="33">
        <v>315</v>
      </c>
      <c r="M68" s="34">
        <f>$B111+$B110*COS(RADIANS(L68))+$B109*SIN(RADIANS(L68))</f>
        <v>1.8146809201282316E-3</v>
      </c>
      <c r="N68" s="34">
        <f>$B137+$B136*COS(RADIANS(L68))+$B135*SIN(RADIANS(L68))</f>
        <v>-2.1116919922194127E-3</v>
      </c>
      <c r="T68" s="46"/>
      <c r="U68" s="46"/>
      <c r="V68" s="46"/>
      <c r="W68" s="46"/>
      <c r="Z68" s="45"/>
      <c r="AA68" s="45" t="str">
        <f t="shared" si="6"/>
        <v/>
      </c>
    </row>
    <row r="69" spans="1:27" x14ac:dyDescent="0.25">
      <c r="A69" s="38"/>
      <c r="B69" s="39"/>
      <c r="C69" s="39"/>
      <c r="E69" s="38" t="str">
        <f t="shared" ref="E69:E104" si="7">IF(A69="","",A69)</f>
        <v/>
      </c>
      <c r="F69" s="38" t="str">
        <f t="shared" ref="F69:F104" si="8">IF(E69="","",RADIANS(E69))</f>
        <v/>
      </c>
      <c r="G69" s="38" t="str">
        <f t="shared" ref="G69:G104" si="9">IF(E69="","",COS(F69))</f>
        <v/>
      </c>
      <c r="H69" s="38" t="str">
        <f t="shared" ref="H69:H104" si="10">IF(E69="","",SIN(F69))</f>
        <v/>
      </c>
      <c r="I69" s="38" t="str">
        <f t="shared" ref="I69:I104" si="11">IF(E69="","",COS(2*F69))</f>
        <v/>
      </c>
      <c r="J69" s="38" t="str">
        <f t="shared" ref="J69:J104" si="12">IF(E69="","",SIN(2*F69))</f>
        <v/>
      </c>
      <c r="L69" s="33">
        <v>320</v>
      </c>
      <c r="M69" s="34">
        <f>$B111+$B110*COS(RADIANS(L69))+$B109*SIN(RADIANS(L69))</f>
        <v>1.9339301495630624E-3</v>
      </c>
      <c r="N69" s="34">
        <f>$B137+$B136*COS(RADIANS(L69))+$B135*SIN(RADIANS(L69))</f>
        <v>-1.9376348740309051E-3</v>
      </c>
      <c r="T69" s="46"/>
      <c r="U69" s="46"/>
      <c r="V69" s="46"/>
      <c r="W69" s="46"/>
      <c r="Z69" s="45"/>
      <c r="AA69" s="45" t="str">
        <f t="shared" si="6"/>
        <v/>
      </c>
    </row>
    <row r="70" spans="1:27" x14ac:dyDescent="0.25">
      <c r="A70" s="38"/>
      <c r="B70" s="39"/>
      <c r="C70" s="39"/>
      <c r="E70" s="38" t="str">
        <f t="shared" si="7"/>
        <v/>
      </c>
      <c r="F70" s="38" t="str">
        <f t="shared" si="8"/>
        <v/>
      </c>
      <c r="G70" s="38" t="str">
        <f t="shared" si="9"/>
        <v/>
      </c>
      <c r="H70" s="38" t="str">
        <f t="shared" si="10"/>
        <v/>
      </c>
      <c r="I70" s="38" t="str">
        <f t="shared" si="11"/>
        <v/>
      </c>
      <c r="J70" s="38" t="str">
        <f t="shared" si="12"/>
        <v/>
      </c>
      <c r="L70" s="33">
        <v>325</v>
      </c>
      <c r="M70" s="34">
        <f>$B111+$B110*COS(RADIANS(L70))+$B109*SIN(RADIANS(L70))</f>
        <v>2.0380445600931825E-3</v>
      </c>
      <c r="N70" s="34">
        <f>$B137+$B136*COS(RADIANS(L70))+$B135*SIN(RADIANS(L70))</f>
        <v>-1.7495130100147916E-3</v>
      </c>
      <c r="T70" s="46"/>
      <c r="U70" s="46"/>
      <c r="V70" s="46"/>
      <c r="W70" s="46"/>
      <c r="Z70" s="45"/>
      <c r="AA70" s="45" t="str">
        <f t="shared" si="6"/>
        <v/>
      </c>
    </row>
    <row r="71" spans="1:27" x14ac:dyDescent="0.25">
      <c r="A71" s="38"/>
      <c r="B71" s="39"/>
      <c r="C71" s="39"/>
      <c r="E71" s="38" t="str">
        <f t="shared" si="7"/>
        <v/>
      </c>
      <c r="F71" s="38" t="str">
        <f t="shared" si="8"/>
        <v/>
      </c>
      <c r="G71" s="38" t="str">
        <f t="shared" si="9"/>
        <v/>
      </c>
      <c r="H71" s="38" t="str">
        <f t="shared" si="10"/>
        <v/>
      </c>
      <c r="I71" s="38" t="str">
        <f t="shared" si="11"/>
        <v/>
      </c>
      <c r="J71" s="38" t="str">
        <f t="shared" si="12"/>
        <v/>
      </c>
      <c r="L71" s="33">
        <v>330</v>
      </c>
      <c r="M71" s="34">
        <f>$B111+$B110*COS(RADIANS(L71))+$B109*SIN(RADIANS(L71))</f>
        <v>2.1262317781884574E-3</v>
      </c>
      <c r="N71" s="34">
        <f>$B137+$B136*COS(RADIANS(L71))+$B135*SIN(RADIANS(L71))</f>
        <v>-1.5487581211473221E-3</v>
      </c>
      <c r="T71" s="46"/>
      <c r="U71" s="46"/>
      <c r="V71" s="46"/>
      <c r="W71" s="46"/>
      <c r="Z71" s="45"/>
      <c r="AA71" s="45" t="str">
        <f t="shared" si="6"/>
        <v/>
      </c>
    </row>
    <row r="72" spans="1:27" x14ac:dyDescent="0.25">
      <c r="A72" s="38"/>
      <c r="B72" s="39"/>
      <c r="C72" s="39"/>
      <c r="E72" s="38" t="str">
        <f t="shared" si="7"/>
        <v/>
      </c>
      <c r="F72" s="38" t="str">
        <f t="shared" si="8"/>
        <v/>
      </c>
      <c r="G72" s="38" t="str">
        <f t="shared" si="9"/>
        <v/>
      </c>
      <c r="H72" s="38" t="str">
        <f t="shared" si="10"/>
        <v/>
      </c>
      <c r="I72" s="38" t="str">
        <f t="shared" si="11"/>
        <v/>
      </c>
      <c r="J72" s="38" t="str">
        <f t="shared" si="12"/>
        <v/>
      </c>
      <c r="L72" s="33">
        <v>335</v>
      </c>
      <c r="M72" s="34">
        <f>$B111+$B110*COS(RADIANS(L72))+$B109*SIN(RADIANS(L72))</f>
        <v>2.1978206458702844E-3</v>
      </c>
      <c r="N72" s="34">
        <f>$B137+$B136*COS(RADIANS(L72))+$B135*SIN(RADIANS(L72))</f>
        <v>-1.336898073351892E-3</v>
      </c>
      <c r="T72" s="46"/>
      <c r="U72" s="46"/>
      <c r="V72" s="46"/>
      <c r="W72" s="46"/>
      <c r="Z72" s="45"/>
      <c r="AA72" s="45" t="str">
        <f t="shared" si="6"/>
        <v/>
      </c>
    </row>
    <row r="73" spans="1:27" x14ac:dyDescent="0.25">
      <c r="A73" s="38"/>
      <c r="B73" s="39"/>
      <c r="C73" s="39"/>
      <c r="E73" s="38" t="str">
        <f t="shared" si="7"/>
        <v/>
      </c>
      <c r="F73" s="38" t="str">
        <f t="shared" si="8"/>
        <v/>
      </c>
      <c r="G73" s="38" t="str">
        <f t="shared" si="9"/>
        <v/>
      </c>
      <c r="H73" s="38" t="str">
        <f t="shared" si="10"/>
        <v/>
      </c>
      <c r="I73" s="38" t="str">
        <f t="shared" si="11"/>
        <v/>
      </c>
      <c r="J73" s="38" t="str">
        <f t="shared" si="12"/>
        <v/>
      </c>
      <c r="L73" s="33">
        <v>340</v>
      </c>
      <c r="M73" s="34">
        <f>$B111+$B110*COS(RADIANS(L73))+$B109*SIN(RADIANS(L73))</f>
        <v>2.2522663286290642E-3</v>
      </c>
      <c r="N73" s="34">
        <f>$B137+$B136*COS(RADIANS(L73))+$B135*SIN(RADIANS(L73))</f>
        <v>-1.1155452495168231E-3</v>
      </c>
      <c r="T73" s="46"/>
      <c r="U73" s="46"/>
      <c r="V73" s="46"/>
      <c r="W73" s="46"/>
      <c r="Z73" s="45"/>
      <c r="AA73" s="45" t="str">
        <f t="shared" si="6"/>
        <v/>
      </c>
    </row>
    <row r="74" spans="1:27" x14ac:dyDescent="0.25">
      <c r="A74" s="38"/>
      <c r="B74" s="39"/>
      <c r="C74" s="39"/>
      <c r="E74" s="38" t="str">
        <f t="shared" si="7"/>
        <v/>
      </c>
      <c r="F74" s="38" t="str">
        <f t="shared" si="8"/>
        <v/>
      </c>
      <c r="G74" s="38" t="str">
        <f t="shared" si="9"/>
        <v/>
      </c>
      <c r="H74" s="38" t="str">
        <f t="shared" si="10"/>
        <v/>
      </c>
      <c r="I74" s="38" t="str">
        <f t="shared" si="11"/>
        <v/>
      </c>
      <c r="J74" s="38" t="str">
        <f t="shared" si="12"/>
        <v/>
      </c>
      <c r="L74" s="33">
        <v>345</v>
      </c>
      <c r="M74" s="34">
        <f>$B111+$B110*COS(RADIANS(L74))+$B109*SIN(RADIANS(L74))</f>
        <v>2.2891544619438003E-3</v>
      </c>
      <c r="N74" s="34">
        <f>$B137+$B136*COS(RADIANS(L74))+$B135*SIN(RADIANS(L74))</f>
        <v>-8.8638427828798753E-4</v>
      </c>
      <c r="T74" s="46"/>
      <c r="U74" s="46"/>
      <c r="V74" s="46"/>
      <c r="W74" s="46"/>
      <c r="Z74" s="45"/>
      <c r="AA74" s="45" t="str">
        <f t="shared" si="6"/>
        <v/>
      </c>
    </row>
    <row r="75" spans="1:27" x14ac:dyDescent="0.25">
      <c r="A75" s="38"/>
      <c r="B75" s="39"/>
      <c r="C75" s="39"/>
      <c r="E75" s="38" t="str">
        <f t="shared" si="7"/>
        <v/>
      </c>
      <c r="F75" s="38" t="str">
        <f t="shared" si="8"/>
        <v/>
      </c>
      <c r="G75" s="38" t="str">
        <f t="shared" si="9"/>
        <v/>
      </c>
      <c r="H75" s="38" t="str">
        <f t="shared" si="10"/>
        <v/>
      </c>
      <c r="I75" s="38" t="str">
        <f t="shared" si="11"/>
        <v/>
      </c>
      <c r="J75" s="38" t="str">
        <f t="shared" si="12"/>
        <v/>
      </c>
      <c r="L75" s="33">
        <v>350</v>
      </c>
      <c r="M75" s="34">
        <f>$B111+$B110*COS(RADIANS(L75))+$B109*SIN(RADIANS(L75))</f>
        <v>2.3082043048463035E-3</v>
      </c>
      <c r="N75" s="34">
        <f>$B137+$B136*COS(RADIANS(L75))+$B135*SIN(RADIANS(L75))</f>
        <v>-6.5115921302761476E-4</v>
      </c>
      <c r="T75" s="46"/>
      <c r="U75" s="46"/>
      <c r="V75" s="46"/>
      <c r="W75" s="46"/>
      <c r="Z75" s="45"/>
      <c r="AA75" s="45" t="str">
        <f t="shared" si="6"/>
        <v/>
      </c>
    </row>
    <row r="76" spans="1:27" x14ac:dyDescent="0.25">
      <c r="A76" s="38"/>
      <c r="B76" s="39"/>
      <c r="C76" s="39"/>
      <c r="E76" s="38" t="str">
        <f t="shared" si="7"/>
        <v/>
      </c>
      <c r="F76" s="38" t="str">
        <f t="shared" si="8"/>
        <v/>
      </c>
      <c r="G76" s="38" t="str">
        <f t="shared" si="9"/>
        <v/>
      </c>
      <c r="H76" s="38" t="str">
        <f t="shared" si="10"/>
        <v/>
      </c>
      <c r="I76" s="38" t="str">
        <f t="shared" si="11"/>
        <v/>
      </c>
      <c r="J76" s="38" t="str">
        <f t="shared" si="12"/>
        <v/>
      </c>
      <c r="L76" s="33">
        <v>355</v>
      </c>
      <c r="M76" s="34">
        <f>$B111+$B110*COS(RADIANS(L76))+$B109*SIN(RADIANS(L76))</f>
        <v>2.309270876529477E-3</v>
      </c>
      <c r="N76" s="34">
        <f>$B137+$B136*COS(RADIANS(L76))+$B135*SIN(RADIANS(L76))</f>
        <v>-4.1166025851511356E-4</v>
      </c>
      <c r="T76" s="46"/>
      <c r="U76" s="46"/>
      <c r="V76" s="46"/>
      <c r="W76" s="46"/>
      <c r="Z76" s="45"/>
      <c r="AA76" s="45" t="str">
        <f t="shared" si="6"/>
        <v/>
      </c>
    </row>
    <row r="77" spans="1:27" x14ac:dyDescent="0.25">
      <c r="A77" s="38"/>
      <c r="B77" s="39"/>
      <c r="C77" s="39"/>
      <c r="E77" s="38" t="str">
        <f t="shared" si="7"/>
        <v/>
      </c>
      <c r="F77" s="38" t="str">
        <f t="shared" si="8"/>
        <v/>
      </c>
      <c r="G77" s="38" t="str">
        <f t="shared" si="9"/>
        <v/>
      </c>
      <c r="H77" s="38" t="str">
        <f t="shared" si="10"/>
        <v/>
      </c>
      <c r="I77" s="38" t="str">
        <f t="shared" si="11"/>
        <v/>
      </c>
      <c r="J77" s="38" t="str">
        <f t="shared" si="12"/>
        <v/>
      </c>
      <c r="L77" s="33">
        <v>360</v>
      </c>
      <c r="M77" s="34">
        <f>$B111+$B110*COS(RADIANS(L77))+$B109*SIN(RADIANS(L77))</f>
        <v>2.2923460597387975E-3</v>
      </c>
      <c r="N77" s="34">
        <f>$B137+$B136*COS(RADIANS(L77))+$B135*SIN(RADIANS(L77))</f>
        <v>-1.6971014640774674E-4</v>
      </c>
      <c r="T77" s="46"/>
      <c r="U77" s="46"/>
      <c r="V77" s="46"/>
      <c r="W77" s="46"/>
      <c r="Z77" s="45"/>
      <c r="AA77" s="45" t="str">
        <f t="shared" si="6"/>
        <v/>
      </c>
    </row>
    <row r="78" spans="1:27" x14ac:dyDescent="0.25">
      <c r="A78" s="38"/>
      <c r="B78" s="39"/>
      <c r="C78" s="39"/>
      <c r="E78" s="38" t="str">
        <f t="shared" si="7"/>
        <v/>
      </c>
      <c r="F78" s="38" t="str">
        <f t="shared" si="8"/>
        <v/>
      </c>
      <c r="G78" s="38" t="str">
        <f t="shared" si="9"/>
        <v/>
      </c>
      <c r="H78" s="38" t="str">
        <f t="shared" si="10"/>
        <v/>
      </c>
      <c r="I78" s="38" t="str">
        <f t="shared" si="11"/>
        <v/>
      </c>
      <c r="J78" s="38" t="str">
        <f t="shared" si="12"/>
        <v/>
      </c>
      <c r="T78" s="46"/>
      <c r="U78" s="46"/>
      <c r="V78" s="46"/>
      <c r="W78" s="46"/>
      <c r="Z78" s="45"/>
      <c r="AA78" s="45" t="str">
        <f t="shared" si="6"/>
        <v/>
      </c>
    </row>
    <row r="79" spans="1:27" x14ac:dyDescent="0.25">
      <c r="A79" s="38"/>
      <c r="B79" s="39"/>
      <c r="C79" s="39"/>
      <c r="E79" s="38" t="str">
        <f t="shared" si="7"/>
        <v/>
      </c>
      <c r="F79" s="38" t="str">
        <f t="shared" si="8"/>
        <v/>
      </c>
      <c r="G79" s="38" t="str">
        <f t="shared" si="9"/>
        <v/>
      </c>
      <c r="H79" s="38" t="str">
        <f t="shared" si="10"/>
        <v/>
      </c>
      <c r="I79" s="38" t="str">
        <f t="shared" si="11"/>
        <v/>
      </c>
      <c r="J79" s="38" t="str">
        <f t="shared" si="12"/>
        <v/>
      </c>
      <c r="T79" s="46"/>
      <c r="U79" s="46"/>
      <c r="V79" s="46"/>
      <c r="W79" s="46"/>
      <c r="Z79" s="45"/>
      <c r="AA79" s="45" t="str">
        <f t="shared" si="6"/>
        <v/>
      </c>
    </row>
    <row r="80" spans="1:27" x14ac:dyDescent="0.25">
      <c r="A80" s="38"/>
      <c r="B80" s="39"/>
      <c r="C80" s="39"/>
      <c r="E80" s="38" t="str">
        <f t="shared" si="7"/>
        <v/>
      </c>
      <c r="F80" s="38" t="str">
        <f t="shared" si="8"/>
        <v/>
      </c>
      <c r="G80" s="38" t="str">
        <f t="shared" si="9"/>
        <v/>
      </c>
      <c r="H80" s="38" t="str">
        <f t="shared" si="10"/>
        <v/>
      </c>
      <c r="I80" s="38" t="str">
        <f t="shared" si="11"/>
        <v/>
      </c>
      <c r="J80" s="38" t="str">
        <f t="shared" si="12"/>
        <v/>
      </c>
      <c r="T80" s="46"/>
      <c r="U80" s="46"/>
      <c r="V80" s="46"/>
      <c r="W80" s="46"/>
      <c r="Z80" s="45"/>
      <c r="AA80" s="45" t="str">
        <f t="shared" si="6"/>
        <v/>
      </c>
    </row>
    <row r="81" spans="1:27" x14ac:dyDescent="0.25">
      <c r="A81" s="38"/>
      <c r="B81" s="39"/>
      <c r="C81" s="39"/>
      <c r="E81" s="38" t="str">
        <f t="shared" si="7"/>
        <v/>
      </c>
      <c r="F81" s="38" t="str">
        <f t="shared" si="8"/>
        <v/>
      </c>
      <c r="G81" s="38" t="str">
        <f t="shared" si="9"/>
        <v/>
      </c>
      <c r="H81" s="38" t="str">
        <f t="shared" si="10"/>
        <v/>
      </c>
      <c r="I81" s="38" t="str">
        <f t="shared" si="11"/>
        <v/>
      </c>
      <c r="J81" s="38" t="str">
        <f t="shared" si="12"/>
        <v/>
      </c>
      <c r="T81" s="46"/>
      <c r="U81" s="46"/>
      <c r="V81" s="46"/>
      <c r="W81" s="46"/>
      <c r="Z81" s="45"/>
      <c r="AA81" s="45" t="str">
        <f t="shared" ref="AA81:AA104" si="13">IF(Q81="","",Q81-S81)</f>
        <v/>
      </c>
    </row>
    <row r="82" spans="1:27" x14ac:dyDescent="0.25">
      <c r="A82" s="38"/>
      <c r="B82" s="39"/>
      <c r="C82" s="39"/>
      <c r="E82" s="38" t="str">
        <f t="shared" si="7"/>
        <v/>
      </c>
      <c r="F82" s="38" t="str">
        <f t="shared" si="8"/>
        <v/>
      </c>
      <c r="G82" s="38" t="str">
        <f t="shared" si="9"/>
        <v/>
      </c>
      <c r="H82" s="38" t="str">
        <f t="shared" si="10"/>
        <v/>
      </c>
      <c r="I82" s="38" t="str">
        <f t="shared" si="11"/>
        <v/>
      </c>
      <c r="J82" s="38" t="str">
        <f t="shared" si="12"/>
        <v/>
      </c>
      <c r="T82" s="46"/>
      <c r="U82" s="46"/>
      <c r="V82" s="46"/>
      <c r="W82" s="46"/>
      <c r="Z82" s="45"/>
      <c r="AA82" s="45" t="str">
        <f t="shared" si="13"/>
        <v/>
      </c>
    </row>
    <row r="83" spans="1:27" x14ac:dyDescent="0.25">
      <c r="A83" s="38"/>
      <c r="B83" s="39"/>
      <c r="C83" s="39"/>
      <c r="E83" s="38" t="str">
        <f t="shared" si="7"/>
        <v/>
      </c>
      <c r="F83" s="38" t="str">
        <f t="shared" si="8"/>
        <v/>
      </c>
      <c r="G83" s="38" t="str">
        <f t="shared" si="9"/>
        <v/>
      </c>
      <c r="H83" s="38" t="str">
        <f t="shared" si="10"/>
        <v/>
      </c>
      <c r="I83" s="38" t="str">
        <f t="shared" si="11"/>
        <v/>
      </c>
      <c r="J83" s="38" t="str">
        <f t="shared" si="12"/>
        <v/>
      </c>
      <c r="T83" s="46"/>
      <c r="U83" s="46"/>
      <c r="V83" s="46"/>
      <c r="W83" s="46"/>
      <c r="Z83" s="45"/>
      <c r="AA83" s="45" t="str">
        <f t="shared" si="13"/>
        <v/>
      </c>
    </row>
    <row r="84" spans="1:27" x14ac:dyDescent="0.25">
      <c r="A84" s="38"/>
      <c r="B84" s="39"/>
      <c r="C84" s="39"/>
      <c r="E84" s="38" t="str">
        <f t="shared" si="7"/>
        <v/>
      </c>
      <c r="F84" s="38" t="str">
        <f t="shared" si="8"/>
        <v/>
      </c>
      <c r="G84" s="38" t="str">
        <f t="shared" si="9"/>
        <v/>
      </c>
      <c r="H84" s="38" t="str">
        <f t="shared" si="10"/>
        <v/>
      </c>
      <c r="I84" s="38" t="str">
        <f t="shared" si="11"/>
        <v/>
      </c>
      <c r="J84" s="38" t="str">
        <f t="shared" si="12"/>
        <v/>
      </c>
      <c r="T84" s="46"/>
      <c r="U84" s="46"/>
      <c r="V84" s="46"/>
      <c r="W84" s="46"/>
      <c r="Z84" s="45"/>
      <c r="AA84" s="45" t="str">
        <f t="shared" si="13"/>
        <v/>
      </c>
    </row>
    <row r="85" spans="1:27" x14ac:dyDescent="0.25">
      <c r="A85" s="38"/>
      <c r="B85" s="39"/>
      <c r="C85" s="39"/>
      <c r="E85" s="38" t="str">
        <f t="shared" si="7"/>
        <v/>
      </c>
      <c r="F85" s="38" t="str">
        <f t="shared" si="8"/>
        <v/>
      </c>
      <c r="G85" s="38" t="str">
        <f t="shared" si="9"/>
        <v/>
      </c>
      <c r="H85" s="38" t="str">
        <f t="shared" si="10"/>
        <v/>
      </c>
      <c r="I85" s="38" t="str">
        <f t="shared" si="11"/>
        <v/>
      </c>
      <c r="J85" s="38" t="str">
        <f t="shared" si="12"/>
        <v/>
      </c>
      <c r="T85" s="46"/>
      <c r="U85" s="46"/>
      <c r="V85" s="46"/>
      <c r="W85" s="46"/>
      <c r="Z85" s="45"/>
      <c r="AA85" s="45" t="str">
        <f t="shared" si="13"/>
        <v/>
      </c>
    </row>
    <row r="86" spans="1:27" x14ac:dyDescent="0.25">
      <c r="A86" s="38"/>
      <c r="B86" s="39"/>
      <c r="C86" s="39"/>
      <c r="E86" s="38" t="str">
        <f t="shared" si="7"/>
        <v/>
      </c>
      <c r="F86" s="38" t="str">
        <f t="shared" si="8"/>
        <v/>
      </c>
      <c r="G86" s="38" t="str">
        <f t="shared" si="9"/>
        <v/>
      </c>
      <c r="H86" s="38" t="str">
        <f t="shared" si="10"/>
        <v/>
      </c>
      <c r="I86" s="38" t="str">
        <f t="shared" si="11"/>
        <v/>
      </c>
      <c r="J86" s="38" t="str">
        <f t="shared" si="12"/>
        <v/>
      </c>
      <c r="T86" s="46"/>
      <c r="U86" s="46"/>
      <c r="V86" s="46"/>
      <c r="W86" s="46"/>
      <c r="Z86" s="45"/>
      <c r="AA86" s="45" t="str">
        <f t="shared" si="13"/>
        <v/>
      </c>
    </row>
    <row r="87" spans="1:27" x14ac:dyDescent="0.25">
      <c r="A87" s="38"/>
      <c r="B87" s="39"/>
      <c r="C87" s="39"/>
      <c r="E87" s="38" t="str">
        <f t="shared" si="7"/>
        <v/>
      </c>
      <c r="F87" s="38" t="str">
        <f t="shared" si="8"/>
        <v/>
      </c>
      <c r="G87" s="38" t="str">
        <f t="shared" si="9"/>
        <v/>
      </c>
      <c r="H87" s="38" t="str">
        <f t="shared" si="10"/>
        <v/>
      </c>
      <c r="I87" s="38" t="str">
        <f t="shared" si="11"/>
        <v/>
      </c>
      <c r="J87" s="38" t="str">
        <f t="shared" si="12"/>
        <v/>
      </c>
      <c r="T87" s="46"/>
      <c r="U87" s="46"/>
      <c r="V87" s="46"/>
      <c r="W87" s="46"/>
      <c r="Z87" s="45"/>
      <c r="AA87" s="45" t="str">
        <f t="shared" si="13"/>
        <v/>
      </c>
    </row>
    <row r="88" spans="1:27" x14ac:dyDescent="0.25">
      <c r="A88" s="38"/>
      <c r="B88" s="39"/>
      <c r="C88" s="39"/>
      <c r="E88" s="38" t="str">
        <f t="shared" si="7"/>
        <v/>
      </c>
      <c r="F88" s="38" t="str">
        <f t="shared" si="8"/>
        <v/>
      </c>
      <c r="G88" s="38" t="str">
        <f t="shared" si="9"/>
        <v/>
      </c>
      <c r="H88" s="38" t="str">
        <f t="shared" si="10"/>
        <v/>
      </c>
      <c r="I88" s="38" t="str">
        <f t="shared" si="11"/>
        <v/>
      </c>
      <c r="J88" s="38" t="str">
        <f t="shared" si="12"/>
        <v/>
      </c>
      <c r="T88" s="46"/>
      <c r="U88" s="46"/>
      <c r="V88" s="46"/>
      <c r="W88" s="46"/>
      <c r="Z88" s="45"/>
      <c r="AA88" s="45" t="str">
        <f t="shared" si="13"/>
        <v/>
      </c>
    </row>
    <row r="89" spans="1:27" x14ac:dyDescent="0.25">
      <c r="A89" s="38"/>
      <c r="B89" s="39"/>
      <c r="C89" s="39"/>
      <c r="E89" s="38" t="str">
        <f t="shared" si="7"/>
        <v/>
      </c>
      <c r="F89" s="38" t="str">
        <f t="shared" si="8"/>
        <v/>
      </c>
      <c r="G89" s="38" t="str">
        <f t="shared" si="9"/>
        <v/>
      </c>
      <c r="H89" s="38" t="str">
        <f t="shared" si="10"/>
        <v/>
      </c>
      <c r="I89" s="38" t="str">
        <f t="shared" si="11"/>
        <v/>
      </c>
      <c r="J89" s="38" t="str">
        <f t="shared" si="12"/>
        <v/>
      </c>
      <c r="T89" s="46"/>
      <c r="U89" s="46"/>
      <c r="V89" s="46"/>
      <c r="W89" s="46"/>
      <c r="Z89" s="45"/>
      <c r="AA89" s="45" t="str">
        <f t="shared" si="13"/>
        <v/>
      </c>
    </row>
    <row r="90" spans="1:27" x14ac:dyDescent="0.25">
      <c r="A90" s="38"/>
      <c r="B90" s="39"/>
      <c r="C90" s="39"/>
      <c r="E90" s="38" t="str">
        <f t="shared" si="7"/>
        <v/>
      </c>
      <c r="F90" s="38" t="str">
        <f t="shared" si="8"/>
        <v/>
      </c>
      <c r="G90" s="38" t="str">
        <f t="shared" si="9"/>
        <v/>
      </c>
      <c r="H90" s="38" t="str">
        <f t="shared" si="10"/>
        <v/>
      </c>
      <c r="I90" s="38" t="str">
        <f t="shared" si="11"/>
        <v/>
      </c>
      <c r="J90" s="38" t="str">
        <f t="shared" si="12"/>
        <v/>
      </c>
      <c r="T90" s="46"/>
      <c r="U90" s="46"/>
      <c r="V90" s="46"/>
      <c r="W90" s="46"/>
      <c r="Z90" s="45"/>
      <c r="AA90" s="45" t="str">
        <f t="shared" si="13"/>
        <v/>
      </c>
    </row>
    <row r="91" spans="1:27" x14ac:dyDescent="0.25">
      <c r="A91" s="38"/>
      <c r="B91" s="39"/>
      <c r="C91" s="39"/>
      <c r="E91" s="38" t="str">
        <f t="shared" si="7"/>
        <v/>
      </c>
      <c r="F91" s="38" t="str">
        <f t="shared" si="8"/>
        <v/>
      </c>
      <c r="G91" s="38" t="str">
        <f t="shared" si="9"/>
        <v/>
      </c>
      <c r="H91" s="38" t="str">
        <f t="shared" si="10"/>
        <v/>
      </c>
      <c r="I91" s="38" t="str">
        <f t="shared" si="11"/>
        <v/>
      </c>
      <c r="J91" s="38" t="str">
        <f t="shared" si="12"/>
        <v/>
      </c>
      <c r="T91" s="46"/>
      <c r="U91" s="46"/>
      <c r="V91" s="46"/>
      <c r="W91" s="46"/>
      <c r="Z91" s="45"/>
      <c r="AA91" s="45" t="str">
        <f t="shared" si="13"/>
        <v/>
      </c>
    </row>
    <row r="92" spans="1:27" x14ac:dyDescent="0.25">
      <c r="A92" s="38"/>
      <c r="B92" s="39"/>
      <c r="C92" s="39"/>
      <c r="E92" s="38" t="str">
        <f t="shared" si="7"/>
        <v/>
      </c>
      <c r="F92" s="38" t="str">
        <f t="shared" si="8"/>
        <v/>
      </c>
      <c r="G92" s="38" t="str">
        <f t="shared" si="9"/>
        <v/>
      </c>
      <c r="H92" s="38" t="str">
        <f t="shared" si="10"/>
        <v/>
      </c>
      <c r="I92" s="38" t="str">
        <f t="shared" si="11"/>
        <v/>
      </c>
      <c r="J92" s="38" t="str">
        <f t="shared" si="12"/>
        <v/>
      </c>
      <c r="T92" s="46"/>
      <c r="U92" s="46"/>
      <c r="V92" s="46"/>
      <c r="W92" s="46"/>
      <c r="Z92" s="45"/>
      <c r="AA92" s="45" t="str">
        <f t="shared" si="13"/>
        <v/>
      </c>
    </row>
    <row r="93" spans="1:27" x14ac:dyDescent="0.25">
      <c r="A93" s="38"/>
      <c r="B93" s="39"/>
      <c r="C93" s="39"/>
      <c r="E93" s="38" t="str">
        <f t="shared" si="7"/>
        <v/>
      </c>
      <c r="F93" s="38" t="str">
        <f t="shared" si="8"/>
        <v/>
      </c>
      <c r="G93" s="38" t="str">
        <f t="shared" si="9"/>
        <v/>
      </c>
      <c r="H93" s="38" t="str">
        <f t="shared" si="10"/>
        <v/>
      </c>
      <c r="I93" s="38" t="str">
        <f t="shared" si="11"/>
        <v/>
      </c>
      <c r="J93" s="38" t="str">
        <f t="shared" si="12"/>
        <v/>
      </c>
      <c r="T93" s="46"/>
      <c r="U93" s="46"/>
      <c r="V93" s="46"/>
      <c r="W93" s="46"/>
      <c r="Z93" s="45"/>
      <c r="AA93" s="45" t="str">
        <f t="shared" si="13"/>
        <v/>
      </c>
    </row>
    <row r="94" spans="1:27" x14ac:dyDescent="0.25">
      <c r="A94" s="38"/>
      <c r="B94" s="39"/>
      <c r="C94" s="39"/>
      <c r="E94" s="38" t="str">
        <f t="shared" si="7"/>
        <v/>
      </c>
      <c r="F94" s="38" t="str">
        <f t="shared" si="8"/>
        <v/>
      </c>
      <c r="G94" s="38" t="str">
        <f t="shared" si="9"/>
        <v/>
      </c>
      <c r="H94" s="38" t="str">
        <f t="shared" si="10"/>
        <v/>
      </c>
      <c r="I94" s="38" t="str">
        <f t="shared" si="11"/>
        <v/>
      </c>
      <c r="J94" s="38" t="str">
        <f t="shared" si="12"/>
        <v/>
      </c>
      <c r="T94" s="46"/>
      <c r="U94" s="46"/>
      <c r="V94" s="46"/>
      <c r="W94" s="46"/>
      <c r="Z94" s="45"/>
      <c r="AA94" s="45" t="str">
        <f t="shared" si="13"/>
        <v/>
      </c>
    </row>
    <row r="95" spans="1:27" x14ac:dyDescent="0.25">
      <c r="A95" s="38"/>
      <c r="B95" s="39"/>
      <c r="C95" s="39"/>
      <c r="E95" s="38" t="str">
        <f t="shared" si="7"/>
        <v/>
      </c>
      <c r="F95" s="38" t="str">
        <f t="shared" si="8"/>
        <v/>
      </c>
      <c r="G95" s="38" t="str">
        <f t="shared" si="9"/>
        <v/>
      </c>
      <c r="H95" s="38" t="str">
        <f t="shared" si="10"/>
        <v/>
      </c>
      <c r="I95" s="38" t="str">
        <f t="shared" si="11"/>
        <v/>
      </c>
      <c r="J95" s="38" t="str">
        <f t="shared" si="12"/>
        <v/>
      </c>
      <c r="T95" s="46"/>
      <c r="U95" s="46"/>
      <c r="V95" s="46"/>
      <c r="W95" s="46"/>
      <c r="Z95" s="45"/>
      <c r="AA95" s="45" t="str">
        <f t="shared" si="13"/>
        <v/>
      </c>
    </row>
    <row r="96" spans="1:27" x14ac:dyDescent="0.25">
      <c r="A96" s="38"/>
      <c r="B96" s="39"/>
      <c r="C96" s="39"/>
      <c r="E96" s="38" t="str">
        <f t="shared" si="7"/>
        <v/>
      </c>
      <c r="F96" s="38" t="str">
        <f t="shared" si="8"/>
        <v/>
      </c>
      <c r="G96" s="38" t="str">
        <f t="shared" si="9"/>
        <v/>
      </c>
      <c r="H96" s="38" t="str">
        <f t="shared" si="10"/>
        <v/>
      </c>
      <c r="I96" s="38" t="str">
        <f t="shared" si="11"/>
        <v/>
      </c>
      <c r="J96" s="38" t="str">
        <f t="shared" si="12"/>
        <v/>
      </c>
      <c r="T96" s="46"/>
      <c r="U96" s="46"/>
      <c r="V96" s="46"/>
      <c r="W96" s="46"/>
      <c r="Z96" s="45"/>
      <c r="AA96" s="45" t="str">
        <f t="shared" si="13"/>
        <v/>
      </c>
    </row>
    <row r="97" spans="1:27" x14ac:dyDescent="0.25">
      <c r="A97" s="38"/>
      <c r="B97" s="39"/>
      <c r="C97" s="39"/>
      <c r="E97" s="38" t="str">
        <f t="shared" si="7"/>
        <v/>
      </c>
      <c r="F97" s="38" t="str">
        <f t="shared" si="8"/>
        <v/>
      </c>
      <c r="G97" s="38" t="str">
        <f t="shared" si="9"/>
        <v/>
      </c>
      <c r="H97" s="38" t="str">
        <f t="shared" si="10"/>
        <v/>
      </c>
      <c r="I97" s="38" t="str">
        <f t="shared" si="11"/>
        <v/>
      </c>
      <c r="J97" s="38" t="str">
        <f t="shared" si="12"/>
        <v/>
      </c>
      <c r="T97" s="46"/>
      <c r="U97" s="46"/>
      <c r="V97" s="46"/>
      <c r="W97" s="46"/>
      <c r="Z97" s="45"/>
      <c r="AA97" s="45" t="str">
        <f t="shared" si="13"/>
        <v/>
      </c>
    </row>
    <row r="98" spans="1:27" x14ac:dyDescent="0.25">
      <c r="A98" s="38"/>
      <c r="B98" s="39"/>
      <c r="C98" s="39"/>
      <c r="E98" s="38" t="str">
        <f t="shared" si="7"/>
        <v/>
      </c>
      <c r="F98" s="38" t="str">
        <f t="shared" si="8"/>
        <v/>
      </c>
      <c r="G98" s="38" t="str">
        <f t="shared" si="9"/>
        <v/>
      </c>
      <c r="H98" s="38" t="str">
        <f t="shared" si="10"/>
        <v/>
      </c>
      <c r="I98" s="38" t="str">
        <f t="shared" si="11"/>
        <v/>
      </c>
      <c r="J98" s="38" t="str">
        <f t="shared" si="12"/>
        <v/>
      </c>
      <c r="T98" s="46"/>
      <c r="U98" s="46"/>
      <c r="V98" s="46"/>
      <c r="W98" s="46"/>
      <c r="Z98" s="45"/>
      <c r="AA98" s="45" t="str">
        <f t="shared" si="13"/>
        <v/>
      </c>
    </row>
    <row r="99" spans="1:27" x14ac:dyDescent="0.25">
      <c r="A99" s="38"/>
      <c r="B99" s="39"/>
      <c r="C99" s="39"/>
      <c r="E99" s="38" t="str">
        <f t="shared" si="7"/>
        <v/>
      </c>
      <c r="F99" s="38" t="str">
        <f t="shared" si="8"/>
        <v/>
      </c>
      <c r="G99" s="38" t="str">
        <f t="shared" si="9"/>
        <v/>
      </c>
      <c r="H99" s="38" t="str">
        <f t="shared" si="10"/>
        <v/>
      </c>
      <c r="I99" s="38" t="str">
        <f t="shared" si="11"/>
        <v/>
      </c>
      <c r="J99" s="38" t="str">
        <f t="shared" si="12"/>
        <v/>
      </c>
      <c r="T99" s="46"/>
      <c r="U99" s="46"/>
      <c r="V99" s="46"/>
      <c r="W99" s="46"/>
      <c r="Z99" s="45"/>
      <c r="AA99" s="45" t="str">
        <f t="shared" si="13"/>
        <v/>
      </c>
    </row>
    <row r="100" spans="1:27" x14ac:dyDescent="0.25">
      <c r="A100" s="38"/>
      <c r="B100" s="39"/>
      <c r="C100" s="39"/>
      <c r="E100" s="38" t="str">
        <f t="shared" si="7"/>
        <v/>
      </c>
      <c r="F100" s="38" t="str">
        <f t="shared" si="8"/>
        <v/>
      </c>
      <c r="G100" s="38" t="str">
        <f t="shared" si="9"/>
        <v/>
      </c>
      <c r="H100" s="38" t="str">
        <f t="shared" si="10"/>
        <v/>
      </c>
      <c r="I100" s="38" t="str">
        <f t="shared" si="11"/>
        <v/>
      </c>
      <c r="J100" s="38" t="str">
        <f t="shared" si="12"/>
        <v/>
      </c>
      <c r="T100" s="46"/>
      <c r="U100" s="46"/>
      <c r="V100" s="46"/>
      <c r="W100" s="46"/>
      <c r="Z100" s="45"/>
      <c r="AA100" s="45" t="str">
        <f t="shared" si="13"/>
        <v/>
      </c>
    </row>
    <row r="101" spans="1:27" x14ac:dyDescent="0.25">
      <c r="A101" s="38"/>
      <c r="B101" s="39"/>
      <c r="C101" s="39"/>
      <c r="E101" s="38" t="str">
        <f t="shared" si="7"/>
        <v/>
      </c>
      <c r="F101" s="38" t="str">
        <f t="shared" si="8"/>
        <v/>
      </c>
      <c r="G101" s="38" t="str">
        <f t="shared" si="9"/>
        <v/>
      </c>
      <c r="H101" s="38" t="str">
        <f t="shared" si="10"/>
        <v/>
      </c>
      <c r="I101" s="38" t="str">
        <f t="shared" si="11"/>
        <v/>
      </c>
      <c r="J101" s="38" t="str">
        <f t="shared" si="12"/>
        <v/>
      </c>
      <c r="T101" s="46"/>
      <c r="U101" s="46"/>
      <c r="V101" s="46"/>
      <c r="W101" s="46"/>
      <c r="Z101" s="45"/>
      <c r="AA101" s="45" t="str">
        <f t="shared" si="13"/>
        <v/>
      </c>
    </row>
    <row r="102" spans="1:27" x14ac:dyDescent="0.25">
      <c r="A102" s="38"/>
      <c r="B102" s="39"/>
      <c r="C102" s="39"/>
      <c r="E102" s="38" t="str">
        <f t="shared" si="7"/>
        <v/>
      </c>
      <c r="F102" s="38" t="str">
        <f t="shared" si="8"/>
        <v/>
      </c>
      <c r="G102" s="38" t="str">
        <f t="shared" si="9"/>
        <v/>
      </c>
      <c r="H102" s="38" t="str">
        <f t="shared" si="10"/>
        <v/>
      </c>
      <c r="I102" s="38" t="str">
        <f t="shared" si="11"/>
        <v/>
      </c>
      <c r="J102" s="38" t="str">
        <f t="shared" si="12"/>
        <v/>
      </c>
      <c r="T102" s="46"/>
      <c r="U102" s="46"/>
      <c r="V102" s="46"/>
      <c r="W102" s="46"/>
      <c r="Z102" s="45"/>
      <c r="AA102" s="45" t="str">
        <f t="shared" si="13"/>
        <v/>
      </c>
    </row>
    <row r="103" spans="1:27" x14ac:dyDescent="0.25">
      <c r="A103" s="38"/>
      <c r="B103" s="39"/>
      <c r="C103" s="39"/>
      <c r="E103" s="38" t="str">
        <f t="shared" si="7"/>
        <v/>
      </c>
      <c r="F103" s="38" t="str">
        <f t="shared" si="8"/>
        <v/>
      </c>
      <c r="G103" s="38" t="str">
        <f t="shared" si="9"/>
        <v/>
      </c>
      <c r="H103" s="38" t="str">
        <f t="shared" si="10"/>
        <v/>
      </c>
      <c r="I103" s="38" t="str">
        <f t="shared" si="11"/>
        <v/>
      </c>
      <c r="J103" s="38" t="str">
        <f t="shared" si="12"/>
        <v/>
      </c>
      <c r="T103" s="46"/>
      <c r="U103" s="46"/>
      <c r="V103" s="46"/>
      <c r="W103" s="46"/>
      <c r="Z103" s="45"/>
      <c r="AA103" s="45" t="str">
        <f t="shared" si="13"/>
        <v/>
      </c>
    </row>
    <row r="104" spans="1:27" x14ac:dyDescent="0.25">
      <c r="A104" s="38"/>
      <c r="B104" s="39"/>
      <c r="C104" s="39"/>
      <c r="E104" s="38" t="str">
        <f t="shared" si="7"/>
        <v/>
      </c>
      <c r="F104" s="38" t="str">
        <f t="shared" si="8"/>
        <v/>
      </c>
      <c r="G104" s="38" t="str">
        <f t="shared" si="9"/>
        <v/>
      </c>
      <c r="H104" s="38" t="str">
        <f t="shared" si="10"/>
        <v/>
      </c>
      <c r="I104" s="38" t="str">
        <f t="shared" si="11"/>
        <v/>
      </c>
      <c r="J104" s="38" t="str">
        <f t="shared" si="12"/>
        <v/>
      </c>
      <c r="T104" s="46"/>
      <c r="U104" s="46"/>
      <c r="V104" s="46"/>
      <c r="W104" s="46"/>
      <c r="Z104" s="45"/>
      <c r="AA104" s="45" t="str">
        <f t="shared" si="13"/>
        <v/>
      </c>
    </row>
    <row r="106" spans="1:27" x14ac:dyDescent="0.25">
      <c r="P106" s="32"/>
      <c r="Q106" s="32"/>
      <c r="R106" s="32"/>
      <c r="S106" s="32"/>
      <c r="T106" s="32"/>
      <c r="U106" s="32"/>
      <c r="V106" s="32"/>
      <c r="W106" s="32"/>
    </row>
    <row r="107" spans="1:27" x14ac:dyDescent="0.25">
      <c r="A107" s="24" t="s">
        <v>78</v>
      </c>
      <c r="P107" s="32"/>
      <c r="Q107" s="32"/>
      <c r="R107" s="32"/>
      <c r="S107" s="32"/>
      <c r="T107" s="32"/>
      <c r="U107" s="32"/>
      <c r="V107" s="32"/>
      <c r="W107" s="32"/>
    </row>
    <row r="108" spans="1:27" x14ac:dyDescent="0.25">
      <c r="A108" s="25" t="s">
        <v>79</v>
      </c>
      <c r="B108" s="25" t="s">
        <v>80</v>
      </c>
      <c r="P108" s="32"/>
      <c r="Q108" s="32"/>
      <c r="R108" s="32"/>
      <c r="S108" s="32"/>
      <c r="T108" s="32"/>
      <c r="U108" s="32"/>
      <c r="V108" s="32"/>
      <c r="W108" s="32"/>
    </row>
    <row r="109" spans="1:27" x14ac:dyDescent="0.25">
      <c r="A109" s="35" t="s">
        <v>81</v>
      </c>
      <c r="B109" s="36">
        <f>INDEX(LINEST($B$5:INDEX($B$5:$B$104,$O$1),$G$5:INDEX($G$5:$H$104,$O$1,2),TRUE(),TRUE()),1,1)</f>
        <v>-2.9666555725233764E-4</v>
      </c>
    </row>
    <row r="110" spans="1:27" x14ac:dyDescent="0.25">
      <c r="A110" s="35" t="s">
        <v>82</v>
      </c>
      <c r="B110" s="36">
        <f>INDEX(LINEST($B$5:INDEX($B$5:$B$104,$O$1),$G$5:INDEX($G$5:$H$104,$O$1,2),TRUE(),TRUE()),1,2)</f>
        <v>2.3470648097387962E-3</v>
      </c>
    </row>
    <row r="111" spans="1:27" x14ac:dyDescent="0.25">
      <c r="A111" s="35" t="s">
        <v>83</v>
      </c>
      <c r="B111" s="36">
        <f>INDEX(LINEST($B$5:INDEX($B$5:$B$104,$O$1),$G$5:INDEX($G$5:$H$104,$O$1,2),TRUE(),TRUE()),1,3)</f>
        <v>-5.471874999999865E-5</v>
      </c>
    </row>
    <row r="113" spans="1:2" x14ac:dyDescent="0.25">
      <c r="A113" s="35" t="s">
        <v>84</v>
      </c>
      <c r="B113" s="37">
        <f>INDEX(LINEST($B$5:INDEX($B$5:$B$104,$O$1),$G$5:INDEX($G$5:$H$104,$O$1,2),TRUE(),TRUE()),3,1)</f>
        <v>0.7802506265304251</v>
      </c>
    </row>
    <row r="114" spans="1:2" x14ac:dyDescent="0.25">
      <c r="A114" s="35" t="s">
        <v>85</v>
      </c>
      <c r="B114" s="36">
        <f>INDEX(LINEST($B$5:INDEX($B$5:$B$104,$O$1),$G$5:INDEX($G$5:$H$104,$O$1,2),TRUE(),TRUE()),3,2)</f>
        <v>9.2724174346979688E-4</v>
      </c>
    </row>
    <row r="116" spans="1:2" x14ac:dyDescent="0.25">
      <c r="A116" s="26" t="s">
        <v>86</v>
      </c>
      <c r="B116" s="27">
        <f>SQRT(B110^2+B109^2)</f>
        <v>2.3657395617383693E-3</v>
      </c>
    </row>
    <row r="117" spans="1:2" x14ac:dyDescent="0.25">
      <c r="A117" s="26" t="s">
        <v>87</v>
      </c>
      <c r="B117" s="28">
        <f>MOD(DEGREES(ATAN2(B110,B109)),360)</f>
        <v>352.79609980745096</v>
      </c>
    </row>
    <row r="119" spans="1:2" x14ac:dyDescent="0.25">
      <c r="A119" s="24"/>
    </row>
    <row r="120" spans="1:2" x14ac:dyDescent="0.25">
      <c r="A120" s="24"/>
      <c r="B120" s="24"/>
    </row>
    <row r="121" spans="1:2" x14ac:dyDescent="0.25">
      <c r="B121" s="47"/>
    </row>
    <row r="122" spans="1:2" x14ac:dyDescent="0.25">
      <c r="B122" s="47"/>
    </row>
    <row r="123" spans="1:2" x14ac:dyDescent="0.25">
      <c r="B123" s="47"/>
    </row>
    <row r="124" spans="1:2" x14ac:dyDescent="0.25">
      <c r="B124" s="47"/>
    </row>
    <row r="125" spans="1:2" x14ac:dyDescent="0.25">
      <c r="B125" s="47"/>
    </row>
    <row r="127" spans="1:2" x14ac:dyDescent="0.25">
      <c r="B127" s="48"/>
    </row>
    <row r="128" spans="1:2" x14ac:dyDescent="0.25">
      <c r="B128" s="47"/>
    </row>
    <row r="130" spans="1:17" x14ac:dyDescent="0.25">
      <c r="A130" s="24"/>
      <c r="B130" s="49"/>
      <c r="P130" s="24"/>
    </row>
    <row r="131" spans="1:17" x14ac:dyDescent="0.25">
      <c r="A131" s="24"/>
      <c r="B131" s="50"/>
      <c r="P131" s="24"/>
      <c r="Q131" s="24"/>
    </row>
    <row r="132" spans="1:17" x14ac:dyDescent="0.25">
      <c r="Q132" s="47"/>
    </row>
    <row r="133" spans="1:17" x14ac:dyDescent="0.25">
      <c r="A133" s="24" t="s">
        <v>88</v>
      </c>
      <c r="Q133" s="47"/>
    </row>
    <row r="134" spans="1:17" x14ac:dyDescent="0.25">
      <c r="A134" s="25" t="s">
        <v>79</v>
      </c>
      <c r="B134" s="25" t="s">
        <v>80</v>
      </c>
      <c r="Q134" s="47"/>
    </row>
    <row r="135" spans="1:17" x14ac:dyDescent="0.25">
      <c r="A135" s="35" t="s">
        <v>81</v>
      </c>
      <c r="B135" s="36">
        <f>INDEX(LINEST($C$5:INDEX($C$5:$C$104,$O$1),$G$5:INDEX($G$5:$H$104,$O$1,2),TRUE(),TRUE()),1,1)</f>
        <v>2.7795643757278932E-3</v>
      </c>
    </row>
    <row r="136" spans="1:17" x14ac:dyDescent="0.25">
      <c r="A136" s="35" t="s">
        <v>82</v>
      </c>
      <c r="B136" s="36">
        <f>INDEX(LINEST($C$5:INDEX($C$5:$C$104,$O$1),$G$5:INDEX($G$5:$H$104,$O$1,2),TRUE(),TRUE()),1,2)</f>
        <v>-8.0121257518857503E-5</v>
      </c>
      <c r="Q136" s="48"/>
    </row>
    <row r="137" spans="1:17" x14ac:dyDescent="0.25">
      <c r="A137" s="35" t="s">
        <v>83</v>
      </c>
      <c r="B137" s="36">
        <f>INDEX(LINEST($C$5:INDEX($C$5:$C$104,$O$1),$G$5:INDEX($G$5:$H$104,$O$1,2),TRUE(),TRUE()),1,3)</f>
        <v>-8.9588888888888571E-5</v>
      </c>
      <c r="Q137" s="47"/>
    </row>
    <row r="139" spans="1:17" x14ac:dyDescent="0.25">
      <c r="A139" s="35" t="s">
        <v>84</v>
      </c>
      <c r="B139" s="37">
        <f>INDEX(LINEST($C$5:INDEX($C$5:$C$104,$O$1),$G$5:INDEX($G$5:$H$104,$O$1,2),TRUE(),TRUE()),3,1)</f>
        <v>0.65150149508395405</v>
      </c>
      <c r="P139" s="24"/>
      <c r="Q139" s="49"/>
    </row>
    <row r="140" spans="1:17" x14ac:dyDescent="0.25">
      <c r="A140" s="35" t="s">
        <v>85</v>
      </c>
      <c r="B140" s="36">
        <f>INDEX(LINEST($C$5:INDEX($C$5:$C$104,$O$1),$G$5:INDEX($G$5:$H$104,$O$1,2),TRUE(),TRUE()),3,2)</f>
        <v>1.50203177719491E-3</v>
      </c>
      <c r="P140" s="24"/>
      <c r="Q140" s="50"/>
    </row>
    <row r="142" spans="1:17" x14ac:dyDescent="0.25">
      <c r="A142" s="26" t="s">
        <v>86</v>
      </c>
      <c r="B142" s="27">
        <f>SQRT(B136^2+B135^2)</f>
        <v>2.7807188881154451E-3</v>
      </c>
      <c r="P142" s="24"/>
    </row>
    <row r="143" spans="1:17" x14ac:dyDescent="0.25">
      <c r="A143" s="26" t="s">
        <v>87</v>
      </c>
      <c r="B143" s="28">
        <f>MOD(DEGREES(ATAN2(B136,B135)),360)</f>
        <v>91.651100133677247</v>
      </c>
      <c r="P143" s="24"/>
      <c r="Q143" s="24"/>
    </row>
    <row r="144" spans="1:17" x14ac:dyDescent="0.25">
      <c r="Q144" s="47"/>
    </row>
    <row r="145" spans="1:23" x14ac:dyDescent="0.25">
      <c r="A145" s="24"/>
      <c r="Q145" s="47"/>
    </row>
    <row r="146" spans="1:23" x14ac:dyDescent="0.25">
      <c r="A146" s="24"/>
      <c r="B146" s="24"/>
      <c r="Q146" s="47"/>
    </row>
    <row r="147" spans="1:23" x14ac:dyDescent="0.25">
      <c r="B147" s="47"/>
    </row>
    <row r="148" spans="1:23" x14ac:dyDescent="0.25">
      <c r="B148" s="47"/>
      <c r="Q148" s="48"/>
    </row>
    <row r="149" spans="1:23" x14ac:dyDescent="0.25">
      <c r="B149" s="47"/>
      <c r="Q149" s="47"/>
    </row>
    <row r="150" spans="1:23" x14ac:dyDescent="0.25">
      <c r="B150" s="47"/>
    </row>
    <row r="151" spans="1:23" x14ac:dyDescent="0.25">
      <c r="B151" s="47"/>
      <c r="P151" s="24"/>
      <c r="Q151" s="49"/>
    </row>
    <row r="152" spans="1:23" x14ac:dyDescent="0.25">
      <c r="P152" s="24"/>
      <c r="Q152" s="50"/>
    </row>
    <row r="153" spans="1:23" x14ac:dyDescent="0.25">
      <c r="B153" s="48"/>
    </row>
    <row r="154" spans="1:23" x14ac:dyDescent="0.25">
      <c r="B154" s="47"/>
      <c r="P154" s="116"/>
      <c r="Q154" s="116"/>
      <c r="R154" s="116"/>
      <c r="S154" s="116"/>
      <c r="T154" s="116"/>
      <c r="U154" s="116"/>
      <c r="V154" s="116"/>
      <c r="W154" s="116"/>
    </row>
    <row r="155" spans="1:23" x14ac:dyDescent="0.25">
      <c r="P155" s="44"/>
      <c r="Q155" s="44"/>
      <c r="R155" s="44"/>
      <c r="S155" s="44"/>
      <c r="T155" s="44"/>
    </row>
    <row r="156" spans="1:23" x14ac:dyDescent="0.25">
      <c r="A156" s="29"/>
      <c r="B156" s="30"/>
      <c r="P156" s="40"/>
      <c r="Q156" s="46"/>
      <c r="R156" s="46"/>
      <c r="S156" s="51"/>
      <c r="T156" s="52"/>
    </row>
    <row r="157" spans="1:23" x14ac:dyDescent="0.25">
      <c r="A157" s="26"/>
      <c r="B157" s="28"/>
      <c r="P157" s="40"/>
      <c r="Q157" s="46"/>
      <c r="R157" s="46"/>
      <c r="S157" s="51"/>
      <c r="T157" s="52"/>
    </row>
    <row r="159" spans="1:23" x14ac:dyDescent="0.25">
      <c r="P159" s="117"/>
      <c r="Q159" s="117"/>
      <c r="R159" s="117"/>
      <c r="S159" s="117"/>
      <c r="T159" s="117"/>
      <c r="U159" s="117"/>
      <c r="V159" s="117"/>
      <c r="W159" s="117"/>
    </row>
    <row r="160" spans="1:23" x14ac:dyDescent="0.25">
      <c r="P160" s="117"/>
      <c r="Q160" s="117"/>
      <c r="R160" s="117"/>
      <c r="S160" s="117"/>
      <c r="T160" s="117"/>
      <c r="U160" s="117"/>
      <c r="V160" s="117"/>
      <c r="W160" s="117"/>
    </row>
    <row r="161" spans="16:23" x14ac:dyDescent="0.25">
      <c r="P161" s="117"/>
      <c r="Q161" s="117"/>
      <c r="R161" s="117"/>
      <c r="S161" s="117"/>
      <c r="T161" s="117"/>
      <c r="U161" s="117"/>
      <c r="V161" s="117"/>
      <c r="W161" s="117"/>
    </row>
    <row r="162" spans="16:23" x14ac:dyDescent="0.25">
      <c r="P162" s="117"/>
      <c r="Q162" s="117"/>
      <c r="R162" s="117"/>
      <c r="S162" s="117"/>
      <c r="T162" s="117"/>
      <c r="U162" s="117"/>
      <c r="V162" s="117"/>
      <c r="W162" s="117"/>
    </row>
    <row r="163" spans="16:23" x14ac:dyDescent="0.25">
      <c r="P163" s="117"/>
      <c r="Q163" s="117"/>
      <c r="R163" s="117"/>
      <c r="S163" s="117"/>
      <c r="T163" s="117"/>
      <c r="U163" s="117"/>
      <c r="V163" s="117"/>
      <c r="W163" s="117"/>
    </row>
    <row r="164" spans="16:23" x14ac:dyDescent="0.25">
      <c r="P164" s="117"/>
      <c r="Q164" s="117"/>
      <c r="R164" s="117"/>
      <c r="S164" s="117"/>
      <c r="T164" s="117"/>
      <c r="U164" s="117"/>
      <c r="V164" s="117"/>
      <c r="W164" s="117"/>
    </row>
  </sheetData>
  <mergeCells count="5">
    <mergeCell ref="A1:C1"/>
    <mergeCell ref="A2:M2"/>
    <mergeCell ref="A3:M3"/>
    <mergeCell ref="P154:W154"/>
    <mergeCell ref="P159:W164"/>
  </mergeCells>
  <pageMargins left="0.7" right="0.7" top="0.75" bottom="0.75" header="0.3" footer="0.3"/>
  <pageSetup paperSize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T19-6</vt:lpstr>
      <vt:lpstr>Regrese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Jaroslav Polame</dc:creator>
  <cp:lastModifiedBy>Jaroslav Polame</cp:lastModifiedBy>
  <dcterms:created xsi:type="dcterms:W3CDTF">2026-07-11T08:35:59Z</dcterms:created>
  <dcterms:modified xsi:type="dcterms:W3CDTF">2026-08-04T07:06:26Z</dcterms:modified>
</cp:coreProperties>
</file>