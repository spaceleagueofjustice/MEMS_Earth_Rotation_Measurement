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ros\Desktop\Rotace země pokus 1\Finální report 1\T13\"/>
    </mc:Choice>
  </mc:AlternateContent>
  <xr:revisionPtr revIDLastSave="0" documentId="13_ncr:1_{8108D3F0-37D3-4343-A627-279B93AD1ED5}" xr6:coauthVersionLast="47" xr6:coauthVersionMax="47" xr10:uidLastSave="{00000000-0000-0000-0000-000000000000}"/>
  <bookViews>
    <workbookView xWindow="3750" yWindow="3870" windowWidth="28800" windowHeight="15345" xr2:uid="{0C4992B2-34A0-4179-B002-07A58BC14391}"/>
  </bookViews>
  <sheets>
    <sheet name="Main" sheetId="2" r:id="rId1"/>
    <sheet name="T13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" i="2" l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M10" i="1"/>
  <c r="L10" i="1"/>
  <c r="M9" i="1"/>
  <c r="L9" i="1"/>
  <c r="M8" i="1"/>
  <c r="L8" i="1"/>
  <c r="M7" i="1"/>
  <c r="L7" i="1"/>
  <c r="M6" i="1"/>
  <c r="L6" i="1"/>
  <c r="M5" i="1"/>
  <c r="L5" i="1"/>
  <c r="M4" i="1"/>
  <c r="L4" i="1"/>
  <c r="M3" i="1"/>
  <c r="L3" i="1"/>
  <c r="G17" i="2" l="1"/>
  <c r="G11" i="2"/>
  <c r="G9" i="2"/>
  <c r="R8" i="2" l="1"/>
  <c r="V8" i="2"/>
  <c r="T8" i="2"/>
  <c r="X8" i="2"/>
</calcChain>
</file>

<file path=xl/sharedStrings.xml><?xml version="1.0" encoding="utf-8"?>
<sst xmlns="http://schemas.openxmlformats.org/spreadsheetml/2006/main" count="47" uniqueCount="35">
  <si>
    <t>azimut</t>
  </si>
  <si>
    <t>(xA-xC)/2</t>
  </si>
  <si>
    <t>(yA-yC)/2</t>
  </si>
  <si>
    <t>Theoretical earth rotation rate</t>
  </si>
  <si>
    <t>°/s</t>
  </si>
  <si>
    <t>Latitude</t>
  </si>
  <si>
    <t>°</t>
  </si>
  <si>
    <t>Theoretical earth rotation rate at latitude cos(lat)</t>
  </si>
  <si>
    <t>Description:</t>
  </si>
  <si>
    <t>Rotation direction</t>
  </si>
  <si>
    <t>CW</t>
  </si>
  <si>
    <t>Cycles</t>
  </si>
  <si>
    <t>Samples per position</t>
  </si>
  <si>
    <t>Trim</t>
  </si>
  <si>
    <t>°/°</t>
  </si>
  <si>
    <t>min X</t>
  </si>
  <si>
    <t>min Y</t>
  </si>
  <si>
    <t>max X</t>
  </si>
  <si>
    <t>max Y</t>
  </si>
  <si>
    <t>Test ID</t>
  </si>
  <si>
    <t>Azimuth-Dependence Test (Randomized Step Scan, Off-North Start, Tilted Mount)</t>
  </si>
  <si>
    <t>Mount azimuth</t>
  </si>
  <si>
    <t>Arm start azimuth</t>
  </si>
  <si>
    <t>Measuring plane deviation/slope azimuth</t>
  </si>
  <si>
    <t>Azimuth step</t>
  </si>
  <si>
    <t>Azimuth step count</t>
  </si>
  <si>
    <t>Total samples</t>
  </si>
  <si>
    <t>Cable protection</t>
  </si>
  <si>
    <t>T13-3</t>
  </si>
  <si>
    <t xml:space="preserve">- 16*22,5° random position, full 360°
- mount azimuth to 180°
- start azimuth 0° (north)
- measuring plane level
- rotation CW
</t>
  </si>
  <si>
    <t>T13-1</t>
  </si>
  <si>
    <t>T13-2</t>
  </si>
  <si>
    <t>T13-4</t>
  </si>
  <si>
    <t>AVG x</t>
  </si>
  <si>
    <t>AVG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</si>
</sst>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6" x14ac:knownFonts="1">
    <font>
      <sz val="11"/>
      <color theme="1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b/>
      <sz val="22"/>
      <color theme="1"/>
      <name val="Calibri"/>
      <family val="2"/>
      <charset val="238"/>
      <scheme val="minor"/>
    </font>
    <font>
      <b/>
      <sz val="18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164" fontId="0" fillId="0" borderId="0" xfId="0" applyNumberFormat="1"/>
    <xf numFmtId="0" fontId="1" fillId="0" borderId="0" xfId="0" applyFont="1"/>
    <xf numFmtId="0" fontId="1" fillId="0" borderId="1" xfId="0" applyFont="1" applyBorder="1" applyAlignment="1">
      <alignment vertical="center"/>
    </xf>
    <xf numFmtId="0" fontId="1" fillId="0" borderId="7" xfId="0" applyFont="1" applyBorder="1" applyAlignment="1">
      <alignment horizontal="left" vertical="center"/>
    </xf>
    <xf numFmtId="0" fontId="1" fillId="0" borderId="1" xfId="0" applyFont="1" applyBorder="1"/>
    <xf numFmtId="0" fontId="5" fillId="0" borderId="0" xfId="0" applyFont="1"/>
    <xf numFmtId="0" fontId="5" fillId="0" borderId="0" xfId="0" applyFont="1" applyAlignment="1">
      <alignment horizontal="center"/>
    </xf>
    <xf numFmtId="164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49" fontId="1" fillId="0" borderId="5" xfId="0" applyNumberFormat="1" applyFont="1" applyBorder="1" applyAlignment="1">
      <alignment horizontal="left" vertical="top" wrapText="1"/>
    </xf>
    <xf numFmtId="49" fontId="1" fillId="0" borderId="2" xfId="0" applyNumberFormat="1" applyFont="1" applyBorder="1" applyAlignment="1">
      <alignment horizontal="left" vertical="top" wrapText="1"/>
    </xf>
    <xf numFmtId="49" fontId="1" fillId="0" borderId="6" xfId="0" applyNumberFormat="1" applyFont="1" applyBorder="1" applyAlignment="1">
      <alignment horizontal="left" vertical="top" wrapText="1"/>
    </xf>
    <xf numFmtId="49" fontId="1" fillId="0" borderId="9" xfId="0" applyNumberFormat="1" applyFont="1" applyBorder="1" applyAlignment="1">
      <alignment horizontal="left" vertical="top" wrapText="1"/>
    </xf>
    <xf numFmtId="49" fontId="1" fillId="0" borderId="0" xfId="0" applyNumberFormat="1" applyFont="1" applyAlignment="1">
      <alignment horizontal="left" vertical="top" wrapText="1"/>
    </xf>
    <xf numFmtId="49" fontId="1" fillId="0" borderId="10" xfId="0" applyNumberFormat="1" applyFont="1" applyBorder="1" applyAlignment="1">
      <alignment horizontal="left" vertical="top" wrapText="1"/>
    </xf>
    <xf numFmtId="49" fontId="1" fillId="0" borderId="11" xfId="0" applyNumberFormat="1" applyFont="1" applyBorder="1" applyAlignment="1">
      <alignment horizontal="left" vertical="top" wrapText="1"/>
    </xf>
    <xf numFmtId="49" fontId="1" fillId="0" borderId="12" xfId="0" applyNumberFormat="1" applyFont="1" applyBorder="1" applyAlignment="1">
      <alignment horizontal="left" vertical="top" wrapText="1"/>
    </xf>
    <xf numFmtId="49" fontId="1" fillId="0" borderId="13" xfId="0" applyNumberFormat="1" applyFont="1" applyBorder="1" applyAlignment="1">
      <alignment horizontal="left" vertical="top" wrapText="1"/>
    </xf>
    <xf numFmtId="0" fontId="1" fillId="0" borderId="3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3" fontId="2" fillId="0" borderId="3" xfId="0" applyNumberFormat="1" applyFont="1" applyBorder="1" applyAlignment="1">
      <alignment horizontal="left"/>
    </xf>
    <xf numFmtId="3" fontId="2" fillId="0" borderId="4" xfId="0" applyNumberFormat="1" applyFont="1" applyBorder="1" applyAlignment="1">
      <alignment horizontal="left"/>
    </xf>
    <xf numFmtId="0" fontId="1" fillId="0" borderId="5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left" vertical="center"/>
    </xf>
    <xf numFmtId="164" fontId="2" fillId="0" borderId="6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center"/>
    </xf>
    <xf numFmtId="164" fontId="4" fillId="0" borderId="1" xfId="0" applyNumberFormat="1" applyFont="1" applyBorder="1" applyAlignment="1">
      <alignment horizontal="center" vertical="center"/>
    </xf>
    <xf numFmtId="16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b="1"/>
              <a:t>Earth rotation rate gyroscope raw data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'T13'!$R$2</c:f>
              <c:strCache>
                <c:ptCount val="1"/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25400">
                <a:solidFill>
                  <a:srgbClr val="FF0000"/>
                </a:solidFill>
              </a:ln>
              <a:effectLst/>
            </c:spPr>
          </c:marker>
          <c:cat>
            <c:strRef>
              <c:f>'T13'!$B$2:$B$17</c:f>
              <c:strCache>
                <c:ptCount val="16"/>
                <c:pt idx="0">
                  <c:v>azimut</c:v>
                </c:pt>
                <c:pt idx="1">
                  <c:v>0</c:v>
                </c:pt>
                <c:pt idx="2">
                  <c:v>22,5</c:v>
                </c:pt>
                <c:pt idx="3">
                  <c:v>45</c:v>
                </c:pt>
                <c:pt idx="4">
                  <c:v>67,5</c:v>
                </c:pt>
                <c:pt idx="5">
                  <c:v>90</c:v>
                </c:pt>
                <c:pt idx="6">
                  <c:v>112,5</c:v>
                </c:pt>
                <c:pt idx="7">
                  <c:v>135</c:v>
                </c:pt>
                <c:pt idx="8">
                  <c:v>157,5</c:v>
                </c:pt>
                <c:pt idx="9">
                  <c:v>180</c:v>
                </c:pt>
                <c:pt idx="10">
                  <c:v>202,5</c:v>
                </c:pt>
                <c:pt idx="11">
                  <c:v>225</c:v>
                </c:pt>
                <c:pt idx="12">
                  <c:v>247,5</c:v>
                </c:pt>
                <c:pt idx="13">
                  <c:v>270</c:v>
                </c:pt>
                <c:pt idx="14">
                  <c:v>292,5</c:v>
                </c:pt>
                <c:pt idx="15">
                  <c:v>315</c:v>
                </c:pt>
              </c:strCache>
            </c:strRef>
          </c:cat>
          <c:val>
            <c:numRef>
              <c:f>'T13'!$R$3:$R$18</c:f>
              <c:numCache>
                <c:formatCode>General</c:formatCode>
                <c:ptCount val="1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B7-49A3-B47D-D9EEBD6F287D}"/>
            </c:ext>
          </c:extLst>
        </c:ser>
        <c:ser>
          <c:idx val="1"/>
          <c:order val="1"/>
          <c:tx>
            <c:strRef>
              <c:f>'T13'!$S$2</c:f>
              <c:strCache>
                <c:ptCount val="1"/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25400">
                <a:solidFill>
                  <a:srgbClr val="00B050"/>
                </a:solidFill>
              </a:ln>
              <a:effectLst/>
            </c:spPr>
          </c:marker>
          <c:dPt>
            <c:idx val="4"/>
            <c:marker>
              <c:symbol val="circle"/>
              <c:size val="5"/>
              <c:spPr>
                <a:noFill/>
                <a:ln w="254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1839-4B3C-9E09-FB5901B765D7}"/>
              </c:ext>
            </c:extLst>
          </c:dPt>
          <c:cat>
            <c:strRef>
              <c:f>'T13'!$B$2:$B$17</c:f>
              <c:strCache>
                <c:ptCount val="16"/>
                <c:pt idx="0">
                  <c:v>azimut</c:v>
                </c:pt>
                <c:pt idx="1">
                  <c:v>0</c:v>
                </c:pt>
                <c:pt idx="2">
                  <c:v>22,5</c:v>
                </c:pt>
                <c:pt idx="3">
                  <c:v>45</c:v>
                </c:pt>
                <c:pt idx="4">
                  <c:v>67,5</c:v>
                </c:pt>
                <c:pt idx="5">
                  <c:v>90</c:v>
                </c:pt>
                <c:pt idx="6">
                  <c:v>112,5</c:v>
                </c:pt>
                <c:pt idx="7">
                  <c:v>135</c:v>
                </c:pt>
                <c:pt idx="8">
                  <c:v>157,5</c:v>
                </c:pt>
                <c:pt idx="9">
                  <c:v>180</c:v>
                </c:pt>
                <c:pt idx="10">
                  <c:v>202,5</c:v>
                </c:pt>
                <c:pt idx="11">
                  <c:v>225</c:v>
                </c:pt>
                <c:pt idx="12">
                  <c:v>247,5</c:v>
                </c:pt>
                <c:pt idx="13">
                  <c:v>270</c:v>
                </c:pt>
                <c:pt idx="14">
                  <c:v>292,5</c:v>
                </c:pt>
                <c:pt idx="15">
                  <c:v>315</c:v>
                </c:pt>
              </c:strCache>
            </c:strRef>
          </c:cat>
          <c:val>
            <c:numRef>
              <c:f>'T13'!$S$3:$S$18</c:f>
              <c:numCache>
                <c:formatCode>General</c:formatCode>
                <c:ptCount val="1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AB7-49A3-B47D-D9EEBD6F28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8144800"/>
        <c:axId val="1495022160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'T13'!$L$2</c15:sqref>
                        </c15:formulaRef>
                      </c:ext>
                    </c:extLst>
                    <c:strCache>
                      <c:ptCount val="1"/>
                      <c:pt idx="0">
                        <c:v>AVG x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val>
                  <c:numRef>
                    <c:extLst>
                      <c:ext uri="{02D57815-91ED-43cb-92C2-25804820EDAC}">
                        <c15:formulaRef>
                          <c15:sqref>'T13'!$L$3:$L$18</c15:sqref>
                        </c15:formulaRef>
                      </c:ext>
                    </c:extLst>
                    <c:numCache>
                      <c:formatCode>0.000000</c:formatCode>
                      <c:ptCount val="16"/>
                      <c:pt idx="0">
                        <c:v>-1.7966882586762539E-3</c:v>
                      </c:pt>
                      <c:pt idx="1">
                        <c:v>-1.4656156765744E-3</c:v>
                      </c:pt>
                      <c:pt idx="2">
                        <c:v>-1.738802944205082E-3</c:v>
                      </c:pt>
                      <c:pt idx="3">
                        <c:v>-4.1608951443235053E-4</c:v>
                      </c:pt>
                      <c:pt idx="4">
                        <c:v>3.8433028577175186E-4</c:v>
                      </c:pt>
                      <c:pt idx="5">
                        <c:v>6.5381287689132478E-4</c:v>
                      </c:pt>
                      <c:pt idx="6">
                        <c:v>1.5429539545799983E-3</c:v>
                      </c:pt>
                      <c:pt idx="7">
                        <c:v>1.9716791176572039E-3</c:v>
                      </c:pt>
                      <c:pt idx="8">
                        <c:v>1.6636434146873995E-3</c:v>
                      </c:pt>
                      <c:pt idx="9">
                        <c:v>1.2394932437748928E-3</c:v>
                      </c:pt>
                      <c:pt idx="10">
                        <c:v>1.1114137128712983E-3</c:v>
                      </c:pt>
                      <c:pt idx="11">
                        <c:v>6.8982330492445786E-5</c:v>
                      </c:pt>
                      <c:pt idx="12">
                        <c:v>-5.8324793750002533E-5</c:v>
                      </c:pt>
                      <c:pt idx="13">
                        <c:v>-6.3481277369249788E-4</c:v>
                      </c:pt>
                      <c:pt idx="14">
                        <c:v>-1.2665731348799516E-3</c:v>
                      </c:pt>
                      <c:pt idx="15">
                        <c:v>-1.6668532929988965E-3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1AB7-49A3-B47D-D9EEBD6F287D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'T13'!$O$2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'T13'!$O$3:$O$18</c15:sqref>
                        </c15:formulaRef>
                      </c:ext>
                    </c:extLst>
                    <c:numCache>
                      <c:formatCode>0.000000</c:formatCode>
                      <c:ptCount val="16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1AB7-49A3-B47D-D9EEBD6F287D}"/>
                  </c:ext>
                </c:extLst>
              </c15:ser>
            </c15:filteredLineSeries>
          </c:ext>
        </c:extLst>
      </c:lineChart>
      <c:catAx>
        <c:axId val="16881448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Azimuth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495022160"/>
        <c:crosses val="autoZero"/>
        <c:auto val="1"/>
        <c:lblAlgn val="ctr"/>
        <c:lblOffset val="100"/>
        <c:noMultiLvlLbl val="0"/>
      </c:catAx>
      <c:valAx>
        <c:axId val="1495022160"/>
        <c:scaling>
          <c:orientation val="minMax"/>
          <c:min val="-6.0000000000000019E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Measuret rotation rate (°/s)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68814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b="1"/>
              <a:t>Measuring plane deviation accelerometer raw data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'T13'!$Y$2</c:f>
              <c:strCache>
                <c:ptCount val="1"/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25400">
                <a:solidFill>
                  <a:srgbClr val="0070C0"/>
                </a:solidFill>
              </a:ln>
              <a:effectLst/>
            </c:spPr>
          </c:marker>
          <c:cat>
            <c:strRef>
              <c:f>'T13'!$B$2:$B$17</c:f>
              <c:strCache>
                <c:ptCount val="16"/>
                <c:pt idx="0">
                  <c:v>azimut</c:v>
                </c:pt>
                <c:pt idx="1">
                  <c:v>0</c:v>
                </c:pt>
                <c:pt idx="2">
                  <c:v>22,5</c:v>
                </c:pt>
                <c:pt idx="3">
                  <c:v>45</c:v>
                </c:pt>
                <c:pt idx="4">
                  <c:v>67,5</c:v>
                </c:pt>
                <c:pt idx="5">
                  <c:v>90</c:v>
                </c:pt>
                <c:pt idx="6">
                  <c:v>112,5</c:v>
                </c:pt>
                <c:pt idx="7">
                  <c:v>135</c:v>
                </c:pt>
                <c:pt idx="8">
                  <c:v>157,5</c:v>
                </c:pt>
                <c:pt idx="9">
                  <c:v>180</c:v>
                </c:pt>
                <c:pt idx="10">
                  <c:v>202,5</c:v>
                </c:pt>
                <c:pt idx="11">
                  <c:v>225</c:v>
                </c:pt>
                <c:pt idx="12">
                  <c:v>247,5</c:v>
                </c:pt>
                <c:pt idx="13">
                  <c:v>270</c:v>
                </c:pt>
                <c:pt idx="14">
                  <c:v>292,5</c:v>
                </c:pt>
                <c:pt idx="15">
                  <c:v>315</c:v>
                </c:pt>
              </c:strCache>
            </c:strRef>
          </c:cat>
          <c:val>
            <c:numRef>
              <c:f>'T13'!$Y$3:$Y$18</c:f>
              <c:numCache>
                <c:formatCode>0.00</c:formatCode>
                <c:ptCount val="1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BF-4B9A-9620-C4562C1024A1}"/>
            </c:ext>
          </c:extLst>
        </c:ser>
        <c:ser>
          <c:idx val="1"/>
          <c:order val="1"/>
          <c:tx>
            <c:strRef>
              <c:f>'T13'!$Z$2</c:f>
              <c:strCache>
                <c:ptCount val="1"/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25400">
                <a:solidFill>
                  <a:srgbClr val="FFFF00"/>
                </a:solidFill>
              </a:ln>
              <a:effectLst/>
            </c:spPr>
          </c:marker>
          <c:cat>
            <c:strRef>
              <c:f>'T13'!$B$2:$B$17</c:f>
              <c:strCache>
                <c:ptCount val="16"/>
                <c:pt idx="0">
                  <c:v>azimut</c:v>
                </c:pt>
                <c:pt idx="1">
                  <c:v>0</c:v>
                </c:pt>
                <c:pt idx="2">
                  <c:v>22,5</c:v>
                </c:pt>
                <c:pt idx="3">
                  <c:v>45</c:v>
                </c:pt>
                <c:pt idx="4">
                  <c:v>67,5</c:v>
                </c:pt>
                <c:pt idx="5">
                  <c:v>90</c:v>
                </c:pt>
                <c:pt idx="6">
                  <c:v>112,5</c:v>
                </c:pt>
                <c:pt idx="7">
                  <c:v>135</c:v>
                </c:pt>
                <c:pt idx="8">
                  <c:v>157,5</c:v>
                </c:pt>
                <c:pt idx="9">
                  <c:v>180</c:v>
                </c:pt>
                <c:pt idx="10">
                  <c:v>202,5</c:v>
                </c:pt>
                <c:pt idx="11">
                  <c:v>225</c:v>
                </c:pt>
                <c:pt idx="12">
                  <c:v>247,5</c:v>
                </c:pt>
                <c:pt idx="13">
                  <c:v>270</c:v>
                </c:pt>
                <c:pt idx="14">
                  <c:v>292,5</c:v>
                </c:pt>
                <c:pt idx="15">
                  <c:v>315</c:v>
                </c:pt>
              </c:strCache>
            </c:strRef>
          </c:cat>
          <c:val>
            <c:numRef>
              <c:f>'T13'!$Z$3:$Z$18</c:f>
              <c:numCache>
                <c:formatCode>0.00</c:formatCode>
                <c:ptCount val="1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BF-4B9A-9620-C4562C1024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8144800"/>
        <c:axId val="1495022160"/>
      </c:lineChart>
      <c:catAx>
        <c:axId val="16881448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Azimuth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495022160"/>
        <c:crosses val="autoZero"/>
        <c:auto val="1"/>
        <c:lblAlgn val="ctr"/>
        <c:lblOffset val="100"/>
        <c:noMultiLvlLbl val="0"/>
      </c:catAx>
      <c:valAx>
        <c:axId val="1495022160"/>
        <c:scaling>
          <c:orientation val="minMax"/>
          <c:max val="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Tilt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68814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'T13'!$C$2</c:f>
              <c:strCache>
                <c:ptCount val="1"/>
                <c:pt idx="0">
                  <c:v>(xA-xC)/2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'T13'!$B$3:$B$18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'T13'!$C$3:$C$18</c:f>
              <c:numCache>
                <c:formatCode>General</c:formatCode>
                <c:ptCount val="16"/>
                <c:pt idx="0">
                  <c:v>-2.9214899999999988E-3</c:v>
                </c:pt>
                <c:pt idx="1">
                  <c:v>-3.0699799999999999E-3</c:v>
                </c:pt>
                <c:pt idx="2">
                  <c:v>-3.7785400000000108E-3</c:v>
                </c:pt>
                <c:pt idx="3">
                  <c:v>-1.0639900000000008E-3</c:v>
                </c:pt>
                <c:pt idx="4">
                  <c:v>7.9248000000001206E-4</c:v>
                </c:pt>
                <c:pt idx="5">
                  <c:v>1.6325199999999984E-3</c:v>
                </c:pt>
                <c:pt idx="6">
                  <c:v>3.2604900000000048E-3</c:v>
                </c:pt>
                <c:pt idx="7">
                  <c:v>3.1815199999999932E-3</c:v>
                </c:pt>
                <c:pt idx="8">
                  <c:v>3.1695000000000056E-3</c:v>
                </c:pt>
                <c:pt idx="9">
                  <c:v>2.1334799999999932E-3</c:v>
                </c:pt>
                <c:pt idx="10">
                  <c:v>1.7854900000000007E-3</c:v>
                </c:pt>
                <c:pt idx="11">
                  <c:v>7.3352000000000139E-4</c:v>
                </c:pt>
                <c:pt idx="12">
                  <c:v>8.4303999999998935E-4</c:v>
                </c:pt>
                <c:pt idx="13">
                  <c:v>-1.2164900000000006E-3</c:v>
                </c:pt>
                <c:pt idx="14">
                  <c:v>-1.9784899999999994E-3</c:v>
                </c:pt>
                <c:pt idx="15">
                  <c:v>-2.6305199999999973E-3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2C-4ECA-B17B-DA5DFF8811EF}"/>
            </c:ext>
          </c:extLst>
        </c:ser>
        <c:ser>
          <c:idx val="1"/>
          <c:order val="1"/>
          <c:tx>
            <c:strRef>
              <c:f>'T13'!$D$2</c:f>
              <c:strCache>
                <c:ptCount val="1"/>
                <c:pt idx="0">
                  <c:v>(yA-yC)/2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'T13'!$D$3:$D$18</c:f>
              <c:numCache>
                <c:formatCode>0.000000</c:formatCode>
                <c:ptCount val="16"/>
                <c:pt idx="0">
                  <c:v>1.3890200000000186E-3</c:v>
                </c:pt>
                <c:pt idx="1">
                  <c:v>2.7600799999999981E-3</c:v>
                </c:pt>
                <c:pt idx="2">
                  <c:v>3.4505199999999847E-3</c:v>
                </c:pt>
                <c:pt idx="3">
                  <c:v>3.0074400000000001E-3</c:v>
                </c:pt>
                <c:pt idx="4">
                  <c:v>4.28400000000001E-3</c:v>
                </c:pt>
                <c:pt idx="5">
                  <c:v>2.8429899999999897E-3</c:v>
                </c:pt>
                <c:pt idx="6">
                  <c:v>2.8714800000000096E-3</c:v>
                </c:pt>
                <c:pt idx="7">
                  <c:v>-2.7947999999999862E-4</c:v>
                </c:pt>
                <c:pt idx="8">
                  <c:v>-2.7151999999999732E-4</c:v>
                </c:pt>
                <c:pt idx="9">
                  <c:v>-9.4949999999999202E-4</c:v>
                </c:pt>
                <c:pt idx="10">
                  <c:v>-2.2115199999999946E-3</c:v>
                </c:pt>
                <c:pt idx="11">
                  <c:v>-1.743019999999984E-3</c:v>
                </c:pt>
                <c:pt idx="12">
                  <c:v>-3.2450200000000151E-3</c:v>
                </c:pt>
                <c:pt idx="13">
                  <c:v>-1.8015000000000114E-3</c:v>
                </c:pt>
                <c:pt idx="14">
                  <c:v>-9.0953999999998647E-4</c:v>
                </c:pt>
                <c:pt idx="15" formatCode="General">
                  <c:v>-8.4354000000000373E-4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22C-4ECA-B17B-DA5DFF8811EF}"/>
            </c:ext>
          </c:extLst>
        </c:ser>
        <c:ser>
          <c:idx val="2"/>
          <c:order val="2"/>
          <c:tx>
            <c:strRef>
              <c:f>'T13'!$E$2</c:f>
              <c:strCache>
                <c:ptCount val="1"/>
                <c:pt idx="0">
                  <c:v>(xA-xC)/2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'T13'!$E$3:$E$18</c:f>
              <c:numCache>
                <c:formatCode>0.000000</c:formatCode>
                <c:ptCount val="16"/>
                <c:pt idx="0">
                  <c:v>-4.2664800000000169E-3</c:v>
                </c:pt>
                <c:pt idx="1">
                  <c:v>-2.7979900000000002E-3</c:v>
                </c:pt>
                <c:pt idx="2">
                  <c:v>-3.177520000000017E-3</c:v>
                </c:pt>
                <c:pt idx="3">
                  <c:v>-6.000300000000014E-4</c:v>
                </c:pt>
                <c:pt idx="4">
                  <c:v>7.4093999999999549E-4</c:v>
                </c:pt>
                <c:pt idx="5">
                  <c:v>9.7200000000000064E-4</c:v>
                </c:pt>
                <c:pt idx="6">
                  <c:v>2.9019999999999879E-3</c:v>
                </c:pt>
                <c:pt idx="7">
                  <c:v>4.695020000000022E-3</c:v>
                </c:pt>
                <c:pt idx="8">
                  <c:v>3.4754999999999925E-3</c:v>
                </c:pt>
                <c:pt idx="9">
                  <c:v>2.8209699999999782E-3</c:v>
                </c:pt>
                <c:pt idx="10">
                  <c:v>2.6604799999999929E-3</c:v>
                </c:pt>
                <c:pt idx="11">
                  <c:v>-4.5699000000001821E-4</c:v>
                </c:pt>
                <c:pt idx="12">
                  <c:v>-1.0785199999999995E-3</c:v>
                </c:pt>
                <c:pt idx="13">
                  <c:v>-1.3314899999999907E-3</c:v>
                </c:pt>
                <c:pt idx="14">
                  <c:v>-3.0964900000000073E-3</c:v>
                </c:pt>
                <c:pt idx="15">
                  <c:v>-4.0434799999999882E-3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22C-4ECA-B17B-DA5DFF8811EF}"/>
            </c:ext>
          </c:extLst>
        </c:ser>
        <c:ser>
          <c:idx val="3"/>
          <c:order val="3"/>
          <c:tx>
            <c:strRef>
              <c:f>'T13'!$F$2</c:f>
              <c:strCache>
                <c:ptCount val="1"/>
                <c:pt idx="0">
                  <c:v>(yA-yC)/2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'T13'!$F$3:$F$18</c:f>
              <c:numCache>
                <c:formatCode>0.000000</c:formatCode>
                <c:ptCount val="16"/>
                <c:pt idx="0">
                  <c:v>2.9250000000002885E-4</c:v>
                </c:pt>
                <c:pt idx="1">
                  <c:v>1.5809999999999436E-4</c:v>
                </c:pt>
                <c:pt idx="2">
                  <c:v>3.2649499999999887E-3</c:v>
                </c:pt>
                <c:pt idx="3">
                  <c:v>4.0279099999999679E-3</c:v>
                </c:pt>
                <c:pt idx="4">
                  <c:v>3.6911299999999869E-3</c:v>
                </c:pt>
                <c:pt idx="5">
                  <c:v>2.0215599999999778E-3</c:v>
                </c:pt>
                <c:pt idx="6">
                  <c:v>2.8889500000000012E-3</c:v>
                </c:pt>
                <c:pt idx="7">
                  <c:v>1.0939199999999705E-3</c:v>
                </c:pt>
                <c:pt idx="8">
                  <c:v>-5.4705999999998811E-4</c:v>
                </c:pt>
                <c:pt idx="9">
                  <c:v>-2.1104200000000017E-3</c:v>
                </c:pt>
                <c:pt idx="10">
                  <c:v>-3.5899799999999926E-3</c:v>
                </c:pt>
                <c:pt idx="11">
                  <c:v>-3.5465299999999922E-3</c:v>
                </c:pt>
                <c:pt idx="12">
                  <c:v>-3.8060200000000211E-3</c:v>
                </c:pt>
                <c:pt idx="13">
                  <c:v>-3.6989600000000289E-3</c:v>
                </c:pt>
                <c:pt idx="14">
                  <c:v>-2.2744199999999992E-3</c:v>
                </c:pt>
                <c:pt idx="15">
                  <c:v>-1.4239799999999914E-3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22C-4ECA-B17B-DA5DFF8811EF}"/>
            </c:ext>
          </c:extLst>
        </c:ser>
        <c:ser>
          <c:idx val="4"/>
          <c:order val="4"/>
          <c:tx>
            <c:strRef>
              <c:f>'T13'!$G$2</c:f>
              <c:strCache>
                <c:ptCount val="1"/>
                <c:pt idx="0">
                  <c:v>(xA-xC)/2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'T13'!$G$3:$G$18</c:f>
              <c:numCache>
                <c:formatCode>0.000000</c:formatCode>
                <c:ptCount val="16"/>
                <c:pt idx="0">
                  <c:v>-3.7044999999999995E-3</c:v>
                </c:pt>
                <c:pt idx="1">
                  <c:v>-3.1925600000000109E-3</c:v>
                </c:pt>
                <c:pt idx="2">
                  <c:v>-9.1499000000000441E-4</c:v>
                </c:pt>
                <c:pt idx="3">
                  <c:v>-3.56970000000012E-4</c:v>
                </c:pt>
                <c:pt idx="4">
                  <c:v>1.6540499999999903E-3</c:v>
                </c:pt>
                <c:pt idx="5">
                  <c:v>3.0435099999999993E-3</c:v>
                </c:pt>
                <c:pt idx="6">
                  <c:v>2.6090000000000002E-3</c:v>
                </c:pt>
                <c:pt idx="7">
                  <c:v>4.3064799999999737E-3</c:v>
                </c:pt>
                <c:pt idx="8">
                  <c:v>2.8030199999999894E-3</c:v>
                </c:pt>
                <c:pt idx="9">
                  <c:v>2.6000200000000084E-3</c:v>
                </c:pt>
                <c:pt idx="10">
                  <c:v>1.587489999999997E-3</c:v>
                </c:pt>
                <c:pt idx="11">
                  <c:v>4.9601000000001894E-4</c:v>
                </c:pt>
                <c:pt idx="12">
                  <c:v>-8.2999999999999741E-4</c:v>
                </c:pt>
                <c:pt idx="13">
                  <c:v>-3.2365000000000033E-3</c:v>
                </c:pt>
                <c:pt idx="14">
                  <c:v>-3.7365100000000262E-3</c:v>
                </c:pt>
                <c:pt idx="15">
                  <c:v>-4.4885299999999906E-3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22C-4ECA-B17B-DA5DFF8811EF}"/>
            </c:ext>
          </c:extLst>
        </c:ser>
        <c:ser>
          <c:idx val="5"/>
          <c:order val="5"/>
          <c:tx>
            <c:strRef>
              <c:f>'T13'!$H$2</c:f>
              <c:strCache>
                <c:ptCount val="1"/>
                <c:pt idx="0">
                  <c:v>(yA-yC)/2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'T13'!$H$3:$H$18</c:f>
              <c:numCache>
                <c:formatCode>0.000000</c:formatCode>
                <c:ptCount val="16"/>
                <c:pt idx="0">
                  <c:v>1.4535499999999701E-3</c:v>
                </c:pt>
                <c:pt idx="1">
                  <c:v>2.5104500000000529E-3</c:v>
                </c:pt>
                <c:pt idx="2">
                  <c:v>2.5604799999999761E-3</c:v>
                </c:pt>
                <c:pt idx="3">
                  <c:v>3.5990399999999978E-3</c:v>
                </c:pt>
                <c:pt idx="4">
                  <c:v>2.7839800000000192E-3</c:v>
                </c:pt>
                <c:pt idx="5">
                  <c:v>3.1374200000000019E-3</c:v>
                </c:pt>
                <c:pt idx="6">
                  <c:v>1.6774500000000248E-3</c:v>
                </c:pt>
                <c:pt idx="7">
                  <c:v>4.4191999999998455E-4</c:v>
                </c:pt>
                <c:pt idx="8">
                  <c:v>8.7241999999998487E-4</c:v>
                </c:pt>
                <c:pt idx="9">
                  <c:v>-1.0795000000002331E-4</c:v>
                </c:pt>
                <c:pt idx="10">
                  <c:v>-1.7214999999999869E-3</c:v>
                </c:pt>
                <c:pt idx="11">
                  <c:v>-3.3570199999999883E-3</c:v>
                </c:pt>
                <c:pt idx="12">
                  <c:v>-3.0100200000000021E-3</c:v>
                </c:pt>
                <c:pt idx="13">
                  <c:v>-2.7205000000000146E-3</c:v>
                </c:pt>
                <c:pt idx="14">
                  <c:v>-1.5775399999999884E-3</c:v>
                </c:pt>
                <c:pt idx="15">
                  <c:v>-2.1209999999999285E-4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22C-4ECA-B17B-DA5DFF8811EF}"/>
            </c:ext>
          </c:extLst>
        </c:ser>
        <c:ser>
          <c:idx val="8"/>
          <c:order val="8"/>
          <c:tx>
            <c:strRef>
              <c:f>'T13'!$I$2</c:f>
              <c:strCache>
                <c:ptCount val="1"/>
                <c:pt idx="0">
                  <c:v>(xA-xC)/2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'T13'!$I$3:$I$18</c:f>
              <c:numCache>
                <c:formatCode>0.000000</c:formatCode>
                <c:ptCount val="16"/>
                <c:pt idx="0">
                  <c:v>-3.2850999999997632E-4</c:v>
                </c:pt>
                <c:pt idx="1">
                  <c:v>-1.725040000000011E-3</c:v>
                </c:pt>
                <c:pt idx="2">
                  <c:v>-9.2702999999999536E-4</c:v>
                </c:pt>
                <c:pt idx="3">
                  <c:v>9.4701999999999287E-4</c:v>
                </c:pt>
                <c:pt idx="4">
                  <c:v>2.3585399999999923E-3</c:v>
                </c:pt>
                <c:pt idx="5">
                  <c:v>3.5260299999999994E-3</c:v>
                </c:pt>
                <c:pt idx="6">
                  <c:v>3.5744800000000049E-3</c:v>
                </c:pt>
                <c:pt idx="7">
                  <c:v>2.3630600000000002E-3</c:v>
                </c:pt>
                <c:pt idx="8">
                  <c:v>3.4154799999999846E-3</c:v>
                </c:pt>
                <c:pt idx="9">
                  <c:v>1.3549800000000056E-3</c:v>
                </c:pt>
                <c:pt idx="10">
                  <c:v>-1.9852000000000758E-4</c:v>
                </c:pt>
                <c:pt idx="11">
                  <c:v>-1.2110200000000071E-3</c:v>
                </c:pt>
                <c:pt idx="12">
                  <c:v>-2.6275000000000048E-3</c:v>
                </c:pt>
                <c:pt idx="13">
                  <c:v>-2.6970199999999944E-3</c:v>
                </c:pt>
                <c:pt idx="14">
                  <c:v>-2.3250199999999832E-3</c:v>
                </c:pt>
                <c:pt idx="15">
                  <c:v>-1.4674799999999932E-3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11-492C-92B5-4500453A163C}"/>
            </c:ext>
          </c:extLst>
        </c:ser>
        <c:ser>
          <c:idx val="9"/>
          <c:order val="9"/>
          <c:tx>
            <c:strRef>
              <c:f>'T13'!$J$2</c:f>
              <c:strCache>
                <c:ptCount val="1"/>
                <c:pt idx="0">
                  <c:v>(yA-yC)/2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'T13'!$J$3:$J$18</c:f>
              <c:numCache>
                <c:formatCode>0.000000</c:formatCode>
                <c:ptCount val="16"/>
                <c:pt idx="0">
                  <c:v>1.7199999999999993E-3</c:v>
                </c:pt>
                <c:pt idx="1">
                  <c:v>1.8480200000000058E-3</c:v>
                </c:pt>
                <c:pt idx="2">
                  <c:v>3.8245599999999769E-3</c:v>
                </c:pt>
                <c:pt idx="3">
                  <c:v>2.6899799999999807E-3</c:v>
                </c:pt>
                <c:pt idx="4">
                  <c:v>2.5305200000000083E-3</c:v>
                </c:pt>
                <c:pt idx="5">
                  <c:v>1.4174999999999882E-3</c:v>
                </c:pt>
                <c:pt idx="6">
                  <c:v>1.0405400000000065E-3</c:v>
                </c:pt>
                <c:pt idx="7">
                  <c:v>-6.4543999999999713E-4</c:v>
                </c:pt>
                <c:pt idx="8">
                  <c:v>-9.2945999999999307E-4</c:v>
                </c:pt>
                <c:pt idx="9">
                  <c:v>-1.4629599999999854E-3</c:v>
                </c:pt>
                <c:pt idx="10">
                  <c:v>-2.4235200000000123E-3</c:v>
                </c:pt>
                <c:pt idx="11">
                  <c:v>-1.7389800000000011E-3</c:v>
                </c:pt>
                <c:pt idx="12">
                  <c:v>-2.4980200000000174E-3</c:v>
                </c:pt>
                <c:pt idx="13">
                  <c:v>-3.1948000000001087E-4</c:v>
                </c:pt>
                <c:pt idx="14">
                  <c:v>-1.2504799999999983E-3</c:v>
                </c:pt>
                <c:pt idx="15">
                  <c:v>1.5239800000000081E-3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B11-492C-92B5-4500453A163C}"/>
            </c:ext>
          </c:extLst>
        </c:ser>
        <c:ser>
          <c:idx val="10"/>
          <c:order val="10"/>
          <c:tx>
            <c:strRef>
              <c:f>'T13'!$I$2</c:f>
              <c:strCache>
                <c:ptCount val="1"/>
                <c:pt idx="0">
                  <c:v>(xA-xC)/2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'T13'!$I$3:$I$18</c:f>
              <c:numCache>
                <c:formatCode>0.000000</c:formatCode>
                <c:ptCount val="16"/>
                <c:pt idx="0">
                  <c:v>-3.2850999999997632E-4</c:v>
                </c:pt>
                <c:pt idx="1">
                  <c:v>-1.725040000000011E-3</c:v>
                </c:pt>
                <c:pt idx="2">
                  <c:v>-9.2702999999999536E-4</c:v>
                </c:pt>
                <c:pt idx="3">
                  <c:v>9.4701999999999287E-4</c:v>
                </c:pt>
                <c:pt idx="4">
                  <c:v>2.3585399999999923E-3</c:v>
                </c:pt>
                <c:pt idx="5">
                  <c:v>3.5260299999999994E-3</c:v>
                </c:pt>
                <c:pt idx="6">
                  <c:v>3.5744800000000049E-3</c:v>
                </c:pt>
                <c:pt idx="7">
                  <c:v>2.3630600000000002E-3</c:v>
                </c:pt>
                <c:pt idx="8">
                  <c:v>3.4154799999999846E-3</c:v>
                </c:pt>
                <c:pt idx="9">
                  <c:v>1.3549800000000056E-3</c:v>
                </c:pt>
                <c:pt idx="10">
                  <c:v>-1.9852000000000758E-4</c:v>
                </c:pt>
                <c:pt idx="11">
                  <c:v>-1.2110200000000071E-3</c:v>
                </c:pt>
                <c:pt idx="12">
                  <c:v>-2.6275000000000048E-3</c:v>
                </c:pt>
                <c:pt idx="13">
                  <c:v>-2.6970199999999944E-3</c:v>
                </c:pt>
                <c:pt idx="14">
                  <c:v>-2.3250199999999832E-3</c:v>
                </c:pt>
                <c:pt idx="15">
                  <c:v>-1.4674799999999932E-3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B11-492C-92B5-4500453A16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7571183"/>
        <c:axId val="1918948975"/>
        <c:extLst>
          <c:ext xmlns:c15="http://schemas.microsoft.com/office/drawing/2012/chart" uri="{02D57815-91ED-43cb-92C2-25804820EDAC}">
            <c15:filteredLineSeries>
              <c15:ser>
                <c:idx val="6"/>
                <c:order val="6"/>
                <c:tx>
                  <c:strRef>
                    <c:extLst>
                      <c:ext uri="{02D57815-91ED-43cb-92C2-25804820EDAC}">
                        <c15:formulaRef>
                          <c15:sqref>'T13'!$L$2</c15:sqref>
                        </c15:formulaRef>
                      </c:ext>
                    </c:extLst>
                    <c:strCache>
                      <c:ptCount val="1"/>
                      <c:pt idx="0">
                        <c:v>AVG x</c:v>
                      </c:pt>
                    </c:strCache>
                  </c:strRef>
                </c:tx>
                <c:spPr>
                  <a:ln w="28575" cap="rnd">
                    <a:solidFill>
                      <a:srgbClr val="FF0000"/>
                    </a:solidFill>
                    <a:prstDash val="dash"/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'T13'!$L$3:$L$18</c15:sqref>
                        </c15:formulaRef>
                      </c:ext>
                    </c:extLst>
                    <c:numCache>
                      <c:formatCode>0.000000</c:formatCode>
                      <c:ptCount val="16"/>
                      <c:pt idx="0">
                        <c:v>-1.7966882586762539E-3</c:v>
                      </c:pt>
                      <c:pt idx="1">
                        <c:v>-1.4656156765744E-3</c:v>
                      </c:pt>
                      <c:pt idx="2">
                        <c:v>-1.738802944205082E-3</c:v>
                      </c:pt>
                      <c:pt idx="3">
                        <c:v>-4.1608951443235053E-4</c:v>
                      </c:pt>
                      <c:pt idx="4">
                        <c:v>3.8433028577175186E-4</c:v>
                      </c:pt>
                      <c:pt idx="5">
                        <c:v>6.5381287689132478E-4</c:v>
                      </c:pt>
                      <c:pt idx="6">
                        <c:v>1.5429539545799983E-3</c:v>
                      </c:pt>
                      <c:pt idx="7">
                        <c:v>1.9716791176572039E-3</c:v>
                      </c:pt>
                      <c:pt idx="8">
                        <c:v>1.6636434146873995E-3</c:v>
                      </c:pt>
                      <c:pt idx="9">
                        <c:v>1.2394932437748928E-3</c:v>
                      </c:pt>
                      <c:pt idx="10">
                        <c:v>1.1114137128712983E-3</c:v>
                      </c:pt>
                      <c:pt idx="11">
                        <c:v>6.8982330492445786E-5</c:v>
                      </c:pt>
                      <c:pt idx="12">
                        <c:v>-5.8324793750002533E-5</c:v>
                      </c:pt>
                      <c:pt idx="13">
                        <c:v>-6.3481277369249788E-4</c:v>
                      </c:pt>
                      <c:pt idx="14">
                        <c:v>-1.2665731348799516E-3</c:v>
                      </c:pt>
                      <c:pt idx="15">
                        <c:v>-1.6668532929988965E-3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8-A22C-4ECA-B17B-DA5DFF8811EF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'T13'!$M$2</c15:sqref>
                        </c15:formulaRef>
                      </c:ext>
                    </c:extLst>
                    <c:strCache>
                      <c:ptCount val="1"/>
                      <c:pt idx="0">
                        <c:v>AVG y</c:v>
                      </c:pt>
                    </c:strCache>
                  </c:strRef>
                </c:tx>
                <c:spPr>
                  <a:ln w="28575" cap="rnd">
                    <a:solidFill>
                      <a:srgbClr val="00B050"/>
                    </a:solidFill>
                    <a:prstDash val="dash"/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'T13'!$M$3:$M$18</c15:sqref>
                        </c15:formulaRef>
                      </c:ext>
                    </c:extLst>
                    <c:numCache>
                      <c:formatCode>0.000000</c:formatCode>
                      <c:ptCount val="16"/>
                      <c:pt idx="0">
                        <c:v>1.2137675000000042E-3</c:v>
                      </c:pt>
                      <c:pt idx="1">
                        <c:v>1.8191625000000128E-3</c:v>
                      </c:pt>
                      <c:pt idx="2">
                        <c:v>3.2751274999999816E-3</c:v>
                      </c:pt>
                      <c:pt idx="3">
                        <c:v>3.3310924999999866E-3</c:v>
                      </c:pt>
                      <c:pt idx="4">
                        <c:v>3.3224075000000061E-3</c:v>
                      </c:pt>
                      <c:pt idx="5">
                        <c:v>2.3548674999999894E-3</c:v>
                      </c:pt>
                      <c:pt idx="6">
                        <c:v>2.1196050000000105E-3</c:v>
                      </c:pt>
                      <c:pt idx="7">
                        <c:v>1.5272999999998982E-4</c:v>
                      </c:pt>
                      <c:pt idx="8">
                        <c:v>-2.1890499999999841E-4</c:v>
                      </c:pt>
                      <c:pt idx="9">
                        <c:v>-1.1577075000000006E-3</c:v>
                      </c:pt>
                      <c:pt idx="10">
                        <c:v>-2.4866299999999966E-3</c:v>
                      </c:pt>
                      <c:pt idx="11">
                        <c:v>-2.5963874999999914E-3</c:v>
                      </c:pt>
                      <c:pt idx="12">
                        <c:v>-3.1397700000000139E-3</c:v>
                      </c:pt>
                      <c:pt idx="13">
                        <c:v>-2.1351100000000164E-3</c:v>
                      </c:pt>
                      <c:pt idx="14">
                        <c:v>-1.5029949999999931E-3</c:v>
                      </c:pt>
                      <c:pt idx="15">
                        <c:v>-2.3890999999999496E-4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A22C-4ECA-B17B-DA5DFF8811EF}"/>
                  </c:ext>
                </c:extLst>
              </c15:ser>
            </c15:filteredLineSeries>
          </c:ext>
        </c:extLst>
      </c:lineChart>
      <c:catAx>
        <c:axId val="1927571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918948975"/>
        <c:crosses val="autoZero"/>
        <c:auto val="1"/>
        <c:lblAlgn val="ctr"/>
        <c:lblOffset val="100"/>
        <c:noMultiLvlLbl val="0"/>
      </c:catAx>
      <c:valAx>
        <c:axId val="1918948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9275711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6"/>
          <c:order val="0"/>
          <c:tx>
            <c:strRef>
              <c:f>'T13'!$L$2</c:f>
              <c:strCache>
                <c:ptCount val="1"/>
                <c:pt idx="0">
                  <c:v>AVG x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noFill/>
              <a:ln w="25400">
                <a:solidFill>
                  <a:srgbClr val="FF0000"/>
                </a:solidFill>
              </a:ln>
              <a:effectLst/>
            </c:spPr>
          </c:marker>
          <c:cat>
            <c:numRef>
              <c:f>'T13'!$B$3:$B$18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'T13'!$L$3:$L$18</c:f>
              <c:numCache>
                <c:formatCode>0.000000</c:formatCode>
                <c:ptCount val="16"/>
                <c:pt idx="0">
                  <c:v>-1.7966882586762539E-3</c:v>
                </c:pt>
                <c:pt idx="1">
                  <c:v>-1.4656156765744E-3</c:v>
                </c:pt>
                <c:pt idx="2">
                  <c:v>-1.738802944205082E-3</c:v>
                </c:pt>
                <c:pt idx="3">
                  <c:v>-4.1608951443235053E-4</c:v>
                </c:pt>
                <c:pt idx="4">
                  <c:v>3.8433028577175186E-4</c:v>
                </c:pt>
                <c:pt idx="5">
                  <c:v>6.5381287689132478E-4</c:v>
                </c:pt>
                <c:pt idx="6">
                  <c:v>1.5429539545799983E-3</c:v>
                </c:pt>
                <c:pt idx="7">
                  <c:v>1.9716791176572039E-3</c:v>
                </c:pt>
                <c:pt idx="8">
                  <c:v>1.6636434146873995E-3</c:v>
                </c:pt>
                <c:pt idx="9">
                  <c:v>1.2394932437748928E-3</c:v>
                </c:pt>
                <c:pt idx="10">
                  <c:v>1.1114137128712983E-3</c:v>
                </c:pt>
                <c:pt idx="11">
                  <c:v>6.8982330492445786E-5</c:v>
                </c:pt>
                <c:pt idx="12">
                  <c:v>-5.8324793750002533E-5</c:v>
                </c:pt>
                <c:pt idx="13">
                  <c:v>-6.3481277369249788E-4</c:v>
                </c:pt>
                <c:pt idx="14">
                  <c:v>-1.2665731348799516E-3</c:v>
                </c:pt>
                <c:pt idx="15">
                  <c:v>-1.6668532929988965E-3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74A-4B6A-BDC1-240B9C3D7418}"/>
            </c:ext>
          </c:extLst>
        </c:ser>
        <c:ser>
          <c:idx val="7"/>
          <c:order val="1"/>
          <c:tx>
            <c:strRef>
              <c:f>'T13'!$M$2</c:f>
              <c:strCache>
                <c:ptCount val="1"/>
                <c:pt idx="0">
                  <c:v>AVG y</c:v>
                </c:pt>
              </c:strCache>
            </c:strRef>
          </c:tx>
          <c:spPr>
            <a:ln w="28575" cap="rnd">
              <a:solidFill>
                <a:srgbClr val="00B05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noFill/>
              <a:ln w="25400">
                <a:solidFill>
                  <a:srgbClr val="00B050"/>
                </a:solidFill>
              </a:ln>
              <a:effectLst/>
            </c:spPr>
          </c:marker>
          <c:cat>
            <c:numRef>
              <c:f>'T13'!$B$3:$B$18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'T13'!$M$3:$M$18</c:f>
              <c:numCache>
                <c:formatCode>0.000000</c:formatCode>
                <c:ptCount val="16"/>
                <c:pt idx="0">
                  <c:v>1.2137675000000042E-3</c:v>
                </c:pt>
                <c:pt idx="1">
                  <c:v>1.8191625000000128E-3</c:v>
                </c:pt>
                <c:pt idx="2">
                  <c:v>3.2751274999999816E-3</c:v>
                </c:pt>
                <c:pt idx="3">
                  <c:v>3.3310924999999866E-3</c:v>
                </c:pt>
                <c:pt idx="4">
                  <c:v>3.3224075000000061E-3</c:v>
                </c:pt>
                <c:pt idx="5">
                  <c:v>2.3548674999999894E-3</c:v>
                </c:pt>
                <c:pt idx="6">
                  <c:v>2.1196050000000105E-3</c:v>
                </c:pt>
                <c:pt idx="7">
                  <c:v>1.5272999999998982E-4</c:v>
                </c:pt>
                <c:pt idx="8">
                  <c:v>-2.1890499999999841E-4</c:v>
                </c:pt>
                <c:pt idx="9">
                  <c:v>-1.1577075000000006E-3</c:v>
                </c:pt>
                <c:pt idx="10">
                  <c:v>-2.4866299999999966E-3</c:v>
                </c:pt>
                <c:pt idx="11">
                  <c:v>-2.5963874999999914E-3</c:v>
                </c:pt>
                <c:pt idx="12">
                  <c:v>-3.1397700000000139E-3</c:v>
                </c:pt>
                <c:pt idx="13">
                  <c:v>-2.1351100000000164E-3</c:v>
                </c:pt>
                <c:pt idx="14">
                  <c:v>-1.5029949999999931E-3</c:v>
                </c:pt>
                <c:pt idx="15">
                  <c:v>-2.3890999999999496E-4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74A-4B6A-BDC1-240B9C3D74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7571183"/>
        <c:axId val="1918948975"/>
      </c:lineChart>
      <c:catAx>
        <c:axId val="1927571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918948975"/>
        <c:crosses val="autoZero"/>
        <c:auto val="1"/>
        <c:lblAlgn val="ctr"/>
        <c:lblOffset val="100"/>
        <c:noMultiLvlLbl val="0"/>
      </c:catAx>
      <c:valAx>
        <c:axId val="1918948975"/>
        <c:scaling>
          <c:orientation val="minMax"/>
          <c:max val="6.0000000000000019E-3"/>
          <c:min val="-6.0000000000000019E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9275711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200024</xdr:rowOff>
    </xdr:from>
    <xdr:to>
      <xdr:col>12</xdr:col>
      <xdr:colOff>0</xdr:colOff>
      <xdr:row>47</xdr:row>
      <xdr:rowOff>200024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3BDD5E-DDA6-CAAF-FB4B-E8CED9E2BA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</xdr:colOff>
      <xdr:row>19</xdr:row>
      <xdr:rowOff>0</xdr:rowOff>
    </xdr:from>
    <xdr:to>
      <xdr:col>25</xdr:col>
      <xdr:colOff>1</xdr:colOff>
      <xdr:row>48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4C7438E-0EB4-F6E9-C9D9-2732312FF4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131692</xdr:colOff>
      <xdr:row>20</xdr:row>
      <xdr:rowOff>27539</xdr:rowOff>
    </xdr:from>
    <xdr:to>
      <xdr:col>10</xdr:col>
      <xdr:colOff>31886</xdr:colOff>
      <xdr:row>41</xdr:row>
      <xdr:rowOff>22777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561214-7AA7-54CA-8C1D-2EB278F559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356152</xdr:colOff>
      <xdr:row>20</xdr:row>
      <xdr:rowOff>24019</xdr:rowOff>
    </xdr:from>
    <xdr:to>
      <xdr:col>19</xdr:col>
      <xdr:colOff>375203</xdr:colOff>
      <xdr:row>41</xdr:row>
      <xdr:rowOff>19257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63682E0-A1EB-45B5-AA25-A891E48E48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8FE68-A055-4662-A0AD-4DC09BF30950}">
  <dimension ref="A1:Y17"/>
  <sheetViews>
    <sheetView tabSelected="1" zoomScaleNormal="100" workbookViewId="0">
      <selection activeCell="G12" sqref="G12:H12"/>
    </sheetView>
  </sheetViews>
  <sheetFormatPr defaultRowHeight="15.75" x14ac:dyDescent="0.25"/>
  <cols>
    <col min="1" max="4" width="9.140625" style="2"/>
    <col min="5" max="6" width="9.140625" style="2" customWidth="1"/>
    <col min="7" max="16384" width="9.140625" style="2"/>
  </cols>
  <sheetData>
    <row r="1" spans="1:25" ht="15.75" customHeight="1" x14ac:dyDescent="0.25">
      <c r="A1" s="37" t="s">
        <v>19</v>
      </c>
      <c r="B1" s="37"/>
      <c r="C1" s="37" t="s">
        <v>28</v>
      </c>
      <c r="D1" s="37"/>
      <c r="E1" s="37" t="s">
        <v>20</v>
      </c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</row>
    <row r="2" spans="1:25" ht="15.75" customHeight="1" x14ac:dyDescent="0.25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</row>
    <row r="4" spans="1:25" x14ac:dyDescent="0.25">
      <c r="A4" s="36" t="s">
        <v>21</v>
      </c>
      <c r="B4" s="36"/>
      <c r="C4" s="36"/>
      <c r="D4" s="36"/>
      <c r="E4" s="36"/>
      <c r="F4" s="36"/>
      <c r="G4" s="14">
        <v>180</v>
      </c>
      <c r="H4" s="15"/>
      <c r="I4" s="3" t="s">
        <v>6</v>
      </c>
      <c r="K4" s="40" t="s">
        <v>8</v>
      </c>
      <c r="L4" s="40"/>
      <c r="M4" s="40"/>
      <c r="N4" s="40"/>
      <c r="O4" s="40"/>
      <c r="P4" s="40"/>
      <c r="R4" s="38" t="s">
        <v>15</v>
      </c>
      <c r="S4" s="38"/>
      <c r="T4" s="38" t="s">
        <v>16</v>
      </c>
      <c r="U4" s="38"/>
      <c r="V4" s="38" t="s">
        <v>17</v>
      </c>
      <c r="W4" s="38"/>
      <c r="X4" s="38" t="s">
        <v>18</v>
      </c>
      <c r="Y4" s="38"/>
    </row>
    <row r="5" spans="1:25" x14ac:dyDescent="0.25">
      <c r="A5" s="11" t="s">
        <v>22</v>
      </c>
      <c r="B5" s="12"/>
      <c r="C5" s="12"/>
      <c r="D5" s="12"/>
      <c r="E5" s="12"/>
      <c r="F5" s="13"/>
      <c r="G5" s="14">
        <v>0</v>
      </c>
      <c r="H5" s="15"/>
      <c r="I5" s="3" t="s">
        <v>6</v>
      </c>
      <c r="K5" s="16" t="s">
        <v>29</v>
      </c>
      <c r="L5" s="17"/>
      <c r="M5" s="17"/>
      <c r="N5" s="17"/>
      <c r="O5" s="17"/>
      <c r="P5" s="18"/>
      <c r="R5" s="38"/>
      <c r="S5" s="38"/>
      <c r="T5" s="38"/>
      <c r="U5" s="38"/>
      <c r="V5" s="38"/>
      <c r="W5" s="38"/>
      <c r="X5" s="38"/>
      <c r="Y5" s="38"/>
    </row>
    <row r="6" spans="1:25" x14ac:dyDescent="0.25">
      <c r="A6" s="36" t="s">
        <v>23</v>
      </c>
      <c r="B6" s="36"/>
      <c r="C6" s="36"/>
      <c r="D6" s="36"/>
      <c r="E6" s="36"/>
      <c r="F6" s="36"/>
      <c r="G6" s="35">
        <v>0</v>
      </c>
      <c r="H6" s="35"/>
      <c r="I6" s="3" t="s">
        <v>14</v>
      </c>
      <c r="K6" s="19"/>
      <c r="L6" s="20"/>
      <c r="M6" s="20"/>
      <c r="N6" s="20"/>
      <c r="O6" s="20"/>
      <c r="P6" s="21"/>
      <c r="R6" s="38"/>
      <c r="S6" s="38"/>
      <c r="T6" s="38"/>
      <c r="U6" s="38"/>
      <c r="V6" s="38"/>
      <c r="W6" s="38"/>
      <c r="X6" s="38"/>
      <c r="Y6" s="38"/>
    </row>
    <row r="7" spans="1:25" ht="15.75" customHeight="1" x14ac:dyDescent="0.25">
      <c r="A7" s="36" t="s">
        <v>3</v>
      </c>
      <c r="B7" s="36"/>
      <c r="C7" s="36"/>
      <c r="D7" s="36"/>
      <c r="E7" s="36"/>
      <c r="F7" s="36"/>
      <c r="G7" s="39">
        <f>360/((23*60*60)+(56*60)+4.09)</f>
        <v>4.1780746480349299E-3</v>
      </c>
      <c r="H7" s="39"/>
      <c r="I7" s="3" t="s">
        <v>4</v>
      </c>
      <c r="K7" s="19"/>
      <c r="L7" s="20"/>
      <c r="M7" s="20"/>
      <c r="N7" s="20"/>
      <c r="O7" s="20"/>
      <c r="P7" s="21"/>
      <c r="R7" s="38"/>
      <c r="S7" s="38"/>
      <c r="T7" s="38"/>
      <c r="U7" s="38"/>
      <c r="V7" s="38"/>
      <c r="W7" s="38"/>
      <c r="X7" s="38"/>
      <c r="Y7" s="38"/>
    </row>
    <row r="8" spans="1:25" x14ac:dyDescent="0.25">
      <c r="A8" s="36" t="s">
        <v>5</v>
      </c>
      <c r="B8" s="36"/>
      <c r="C8" s="36"/>
      <c r="D8" s="36"/>
      <c r="E8" s="36"/>
      <c r="F8" s="36"/>
      <c r="G8" s="35">
        <v>49</v>
      </c>
      <c r="H8" s="35"/>
      <c r="I8" s="3" t="s">
        <v>6</v>
      </c>
      <c r="K8" s="19"/>
      <c r="L8" s="20"/>
      <c r="M8" s="20"/>
      <c r="N8" s="20"/>
      <c r="O8" s="20"/>
      <c r="P8" s="21"/>
      <c r="R8" s="41">
        <f>MIN('T13'!R3:R18)</f>
        <v>0</v>
      </c>
      <c r="S8" s="41"/>
      <c r="T8" s="41">
        <f>MIN('T13'!S3:S18)</f>
        <v>0</v>
      </c>
      <c r="U8" s="41"/>
      <c r="V8" s="41">
        <f>MAX('T13'!R3:R18)</f>
        <v>0</v>
      </c>
      <c r="W8" s="41"/>
      <c r="X8" s="41">
        <f>MAX('T13'!S3:S18)</f>
        <v>0</v>
      </c>
      <c r="Y8" s="41"/>
    </row>
    <row r="9" spans="1:25" ht="15.75" customHeight="1" x14ac:dyDescent="0.25">
      <c r="A9" s="30" t="s">
        <v>7</v>
      </c>
      <c r="B9" s="31"/>
      <c r="C9" s="31"/>
      <c r="D9" s="31"/>
      <c r="E9" s="31"/>
      <c r="F9" s="32"/>
      <c r="G9" s="33">
        <f>(COS(RADIANS(G8))*G7)</f>
        <v>2.7410635966396515E-3</v>
      </c>
      <c r="H9" s="34"/>
      <c r="I9" s="4" t="s">
        <v>4</v>
      </c>
      <c r="K9" s="19"/>
      <c r="L9" s="20"/>
      <c r="M9" s="20"/>
      <c r="N9" s="20"/>
      <c r="O9" s="20"/>
      <c r="P9" s="21"/>
      <c r="R9" s="41"/>
      <c r="S9" s="41"/>
      <c r="T9" s="41"/>
      <c r="U9" s="41"/>
      <c r="V9" s="41"/>
      <c r="W9" s="41"/>
      <c r="X9" s="41"/>
      <c r="Y9" s="41"/>
    </row>
    <row r="10" spans="1:25" x14ac:dyDescent="0.25">
      <c r="A10" s="36" t="s">
        <v>24</v>
      </c>
      <c r="B10" s="36"/>
      <c r="C10" s="36"/>
      <c r="D10" s="36"/>
      <c r="E10" s="36"/>
      <c r="F10" s="36"/>
      <c r="G10" s="35">
        <v>22.5</v>
      </c>
      <c r="H10" s="35"/>
      <c r="I10" s="3" t="s">
        <v>6</v>
      </c>
      <c r="K10" s="19"/>
      <c r="L10" s="20"/>
      <c r="M10" s="20"/>
      <c r="N10" s="20"/>
      <c r="O10" s="20"/>
      <c r="P10" s="21"/>
    </row>
    <row r="11" spans="1:25" x14ac:dyDescent="0.25">
      <c r="A11" s="11" t="s">
        <v>25</v>
      </c>
      <c r="B11" s="12"/>
      <c r="C11" s="12"/>
      <c r="D11" s="12"/>
      <c r="E11" s="12"/>
      <c r="F11" s="13"/>
      <c r="G11" s="14">
        <f>360/G10</f>
        <v>16</v>
      </c>
      <c r="H11" s="15"/>
      <c r="I11" s="3"/>
      <c r="K11" s="19"/>
      <c r="L11" s="20"/>
      <c r="M11" s="20"/>
      <c r="N11" s="20"/>
      <c r="O11" s="20"/>
      <c r="P11" s="21"/>
    </row>
    <row r="12" spans="1:25" x14ac:dyDescent="0.25">
      <c r="A12" s="36" t="s">
        <v>9</v>
      </c>
      <c r="B12" s="36"/>
      <c r="C12" s="36"/>
      <c r="D12" s="36"/>
      <c r="E12" s="36"/>
      <c r="F12" s="36"/>
      <c r="G12" s="35" t="s">
        <v>10</v>
      </c>
      <c r="H12" s="35"/>
      <c r="I12" s="3"/>
      <c r="K12" s="19"/>
      <c r="L12" s="20"/>
      <c r="M12" s="20"/>
      <c r="N12" s="20"/>
      <c r="O12" s="20"/>
      <c r="P12" s="21"/>
    </row>
    <row r="13" spans="1:25" x14ac:dyDescent="0.25">
      <c r="A13" s="11" t="s">
        <v>11</v>
      </c>
      <c r="B13" s="12"/>
      <c r="C13" s="12"/>
      <c r="D13" s="12"/>
      <c r="E13" s="12"/>
      <c r="F13" s="13"/>
      <c r="G13" s="14">
        <v>50</v>
      </c>
      <c r="H13" s="15"/>
      <c r="I13" s="3"/>
      <c r="K13" s="19"/>
      <c r="L13" s="20"/>
      <c r="M13" s="20"/>
      <c r="N13" s="20"/>
      <c r="O13" s="20"/>
      <c r="P13" s="21"/>
    </row>
    <row r="14" spans="1:25" x14ac:dyDescent="0.25">
      <c r="A14" s="11" t="s">
        <v>12</v>
      </c>
      <c r="B14" s="12"/>
      <c r="C14" s="12"/>
      <c r="D14" s="12"/>
      <c r="E14" s="12"/>
      <c r="F14" s="13"/>
      <c r="G14" s="14">
        <v>200</v>
      </c>
      <c r="H14" s="15"/>
      <c r="I14" s="3"/>
      <c r="K14" s="19"/>
      <c r="L14" s="20"/>
      <c r="M14" s="20"/>
      <c r="N14" s="20"/>
      <c r="O14" s="20"/>
      <c r="P14" s="21"/>
      <c r="R14" s="43"/>
      <c r="S14" s="43"/>
      <c r="T14" s="43"/>
      <c r="U14" s="43"/>
      <c r="V14" s="43"/>
      <c r="W14" s="43"/>
      <c r="X14" s="43"/>
      <c r="Y14" s="43"/>
    </row>
    <row r="15" spans="1:25" x14ac:dyDescent="0.25">
      <c r="A15" s="11" t="s">
        <v>13</v>
      </c>
      <c r="B15" s="12"/>
      <c r="C15" s="12"/>
      <c r="D15" s="12"/>
      <c r="E15" s="12"/>
      <c r="F15" s="13"/>
      <c r="G15" s="14">
        <v>50</v>
      </c>
      <c r="H15" s="15"/>
      <c r="I15" s="3"/>
      <c r="K15" s="19"/>
      <c r="L15" s="20"/>
      <c r="M15" s="20"/>
      <c r="N15" s="20"/>
      <c r="O15" s="20"/>
      <c r="P15" s="21"/>
      <c r="R15" s="43"/>
      <c r="S15" s="43"/>
      <c r="T15" s="43"/>
      <c r="U15" s="43"/>
      <c r="V15" s="43"/>
      <c r="W15" s="43"/>
      <c r="X15" s="43"/>
      <c r="Y15" s="43"/>
    </row>
    <row r="16" spans="1:25" x14ac:dyDescent="0.25">
      <c r="A16" s="25" t="s">
        <v>27</v>
      </c>
      <c r="B16" s="26"/>
      <c r="C16" s="26"/>
      <c r="D16" s="26"/>
      <c r="E16" s="26"/>
      <c r="F16" s="27"/>
      <c r="G16" s="28">
        <v>365</v>
      </c>
      <c r="H16" s="29"/>
      <c r="I16" s="5" t="s">
        <v>6</v>
      </c>
      <c r="K16" s="19"/>
      <c r="L16" s="20"/>
      <c r="M16" s="20"/>
      <c r="N16" s="20"/>
      <c r="O16" s="20"/>
      <c r="P16" s="21"/>
      <c r="R16" s="42"/>
      <c r="S16" s="42"/>
      <c r="T16" s="43"/>
      <c r="U16" s="43"/>
      <c r="V16" s="43"/>
      <c r="W16" s="43"/>
      <c r="X16" s="43"/>
      <c r="Y16" s="43"/>
    </row>
    <row r="17" spans="1:25" x14ac:dyDescent="0.25">
      <c r="A17" s="25" t="s">
        <v>26</v>
      </c>
      <c r="B17" s="26"/>
      <c r="C17" s="26"/>
      <c r="D17" s="26"/>
      <c r="E17" s="26"/>
      <c r="F17" s="27"/>
      <c r="G17" s="28">
        <f>G11*G13*G14</f>
        <v>160000</v>
      </c>
      <c r="H17" s="29"/>
      <c r="I17" s="3"/>
      <c r="K17" s="22"/>
      <c r="L17" s="23"/>
      <c r="M17" s="23"/>
      <c r="N17" s="23"/>
      <c r="O17" s="23"/>
      <c r="P17" s="24"/>
      <c r="R17" s="42"/>
      <c r="S17" s="42"/>
      <c r="T17" s="43"/>
      <c r="U17" s="43"/>
      <c r="V17" s="43"/>
      <c r="W17" s="43"/>
      <c r="X17" s="43"/>
      <c r="Y17" s="43"/>
    </row>
  </sheetData>
  <mergeCells count="49">
    <mergeCell ref="R16:S17"/>
    <mergeCell ref="T16:U17"/>
    <mergeCell ref="V16:W17"/>
    <mergeCell ref="X16:Y17"/>
    <mergeCell ref="R14:S15"/>
    <mergeCell ref="T14:U15"/>
    <mergeCell ref="V14:W15"/>
    <mergeCell ref="X14:Y15"/>
    <mergeCell ref="A12:F12"/>
    <mergeCell ref="A17:F17"/>
    <mergeCell ref="A13:F13"/>
    <mergeCell ref="A14:F14"/>
    <mergeCell ref="A15:F15"/>
    <mergeCell ref="R8:S9"/>
    <mergeCell ref="T4:U7"/>
    <mergeCell ref="V4:W7"/>
    <mergeCell ref="X4:Y7"/>
    <mergeCell ref="T8:U9"/>
    <mergeCell ref="V8:W9"/>
    <mergeCell ref="X8:Y9"/>
    <mergeCell ref="G4:H4"/>
    <mergeCell ref="A1:B2"/>
    <mergeCell ref="C1:D2"/>
    <mergeCell ref="E1:Y2"/>
    <mergeCell ref="R4:S7"/>
    <mergeCell ref="G7:H7"/>
    <mergeCell ref="A5:F5"/>
    <mergeCell ref="G5:H5"/>
    <mergeCell ref="A6:F6"/>
    <mergeCell ref="G6:H6"/>
    <mergeCell ref="K4:P4"/>
    <mergeCell ref="A4:F4"/>
    <mergeCell ref="A7:F7"/>
    <mergeCell ref="A11:F11"/>
    <mergeCell ref="G11:H11"/>
    <mergeCell ref="K5:P17"/>
    <mergeCell ref="A16:F16"/>
    <mergeCell ref="G16:H16"/>
    <mergeCell ref="G15:H15"/>
    <mergeCell ref="G14:H14"/>
    <mergeCell ref="G13:H13"/>
    <mergeCell ref="G17:H17"/>
    <mergeCell ref="A9:F9"/>
    <mergeCell ref="G9:H9"/>
    <mergeCell ref="G8:H8"/>
    <mergeCell ref="G10:H10"/>
    <mergeCell ref="G12:H12"/>
    <mergeCell ref="A8:F8"/>
    <mergeCell ref="A10:F1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13B5D-C28B-4F1E-93CC-398852228A2C}">
  <dimension ref="A1:AB18"/>
  <sheetViews>
    <sheetView zoomScale="115" zoomScaleNormal="115" workbookViewId="0">
      <selection activeCell="P10" sqref="P10"/>
    </sheetView>
  </sheetViews>
  <sheetFormatPr defaultRowHeight="15" x14ac:dyDescent="0.25"/>
  <cols>
    <col min="4" max="4" width="12.140625" customWidth="1"/>
    <col min="5" max="5" width="12.42578125" customWidth="1"/>
    <col min="6" max="7" width="14.5703125" customWidth="1"/>
    <col min="8" max="8" width="15.42578125" customWidth="1"/>
    <col min="9" max="9" width="13.140625" customWidth="1"/>
    <col min="10" max="10" width="14.42578125" customWidth="1"/>
    <col min="11" max="11" width="12.28515625" customWidth="1"/>
    <col min="12" max="12" width="14.28515625" customWidth="1"/>
    <col min="13" max="13" width="13.140625" customWidth="1"/>
    <col min="14" max="14" width="12.5703125" customWidth="1"/>
    <col min="15" max="15" width="15.28515625" customWidth="1"/>
    <col min="21" max="21" width="11.28515625" customWidth="1"/>
    <col min="22" max="22" width="13.5703125" customWidth="1"/>
    <col min="23" max="23" width="13.28515625" customWidth="1"/>
    <col min="24" max="24" width="12.5703125" customWidth="1"/>
    <col min="27" max="27" width="15.7109375" customWidth="1"/>
    <col min="28" max="28" width="20.85546875" customWidth="1"/>
  </cols>
  <sheetData>
    <row r="1" spans="1:28" x14ac:dyDescent="0.25">
      <c r="B1" s="10" t="s">
        <v>30</v>
      </c>
      <c r="C1" s="10"/>
      <c r="D1" s="10"/>
      <c r="E1" s="10" t="s">
        <v>31</v>
      </c>
      <c r="F1" s="10"/>
      <c r="G1" s="10" t="s">
        <v>28</v>
      </c>
      <c r="H1" s="10"/>
      <c r="I1" s="10" t="s">
        <v>32</v>
      </c>
      <c r="J1" s="10"/>
      <c r="U1" s="6"/>
      <c r="V1" s="6"/>
      <c r="W1" s="6"/>
      <c r="X1" s="6"/>
      <c r="Y1" s="6"/>
      <c r="Z1" s="6"/>
      <c r="AA1" s="6"/>
      <c r="AB1" s="6"/>
    </row>
    <row r="2" spans="1:28" x14ac:dyDescent="0.25">
      <c r="B2" t="s">
        <v>0</v>
      </c>
      <c r="C2" t="s">
        <v>1</v>
      </c>
      <c r="D2" s="1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L2" t="s">
        <v>33</v>
      </c>
      <c r="M2" t="s">
        <v>34</v>
      </c>
      <c r="U2" s="7"/>
      <c r="V2" s="7"/>
      <c r="W2" s="7"/>
      <c r="X2" s="7"/>
      <c r="Y2" s="7"/>
      <c r="Z2" s="6"/>
      <c r="AA2" s="6"/>
      <c r="AB2" s="6"/>
    </row>
    <row r="3" spans="1:28" x14ac:dyDescent="0.25">
      <c r="A3">
        <v>1</v>
      </c>
      <c r="B3">
        <v>0</v>
      </c>
      <c r="C3">
        <v>-2.9214899999999988E-3</v>
      </c>
      <c r="D3" s="1">
        <v>1.3890200000000186E-3</v>
      </c>
      <c r="E3" s="1">
        <v>-4.2664800000000169E-3</v>
      </c>
      <c r="F3" s="1">
        <v>2.9250000000002885E-4</v>
      </c>
      <c r="G3" s="1">
        <v>-3.7044999999999995E-3</v>
      </c>
      <c r="H3" s="1">
        <v>1.4535499999999701E-3</v>
      </c>
      <c r="I3" s="1">
        <v>-3.2850999999997632E-4</v>
      </c>
      <c r="J3" s="1">
        <v>1.7199999999999993E-3</v>
      </c>
      <c r="K3" s="1"/>
      <c r="L3" s="1">
        <f>(C3+E3+G3*I3)/4</f>
        <v>-1.7966882586762539E-3</v>
      </c>
      <c r="M3" s="1">
        <f>(D3+F3+H3+J3)/4</f>
        <v>1.2137675000000042E-3</v>
      </c>
      <c r="N3" s="1"/>
      <c r="O3" s="1"/>
      <c r="U3" s="8"/>
      <c r="V3" s="8"/>
      <c r="W3" s="8"/>
      <c r="X3" s="8"/>
      <c r="Y3" s="9"/>
      <c r="Z3" s="9"/>
      <c r="AA3" s="9"/>
      <c r="AB3" s="9"/>
    </row>
    <row r="4" spans="1:28" x14ac:dyDescent="0.25">
      <c r="A4">
        <v>2</v>
      </c>
      <c r="B4">
        <v>22.5</v>
      </c>
      <c r="C4">
        <v>-3.0699799999999999E-3</v>
      </c>
      <c r="D4" s="1">
        <v>2.7600799999999981E-3</v>
      </c>
      <c r="E4" s="1">
        <v>-2.7979900000000002E-3</v>
      </c>
      <c r="F4" s="1">
        <v>1.5809999999999436E-4</v>
      </c>
      <c r="G4" s="1">
        <v>-3.1925600000000109E-3</v>
      </c>
      <c r="H4" s="1">
        <v>2.5104500000000529E-3</v>
      </c>
      <c r="I4" s="1">
        <v>-1.725040000000011E-3</v>
      </c>
      <c r="J4" s="1">
        <v>1.8480200000000058E-3</v>
      </c>
      <c r="K4" s="1"/>
      <c r="L4" s="1">
        <f t="shared" ref="L4:L18" si="0">(C4+E4+G4*I4)/4</f>
        <v>-1.4656156765744E-3</v>
      </c>
      <c r="M4" s="1">
        <f t="shared" ref="M4:M18" si="1">(D4+F4+H4+J4)/4</f>
        <v>1.8191625000000128E-3</v>
      </c>
      <c r="N4" s="1"/>
      <c r="O4" s="1"/>
      <c r="U4" s="8"/>
      <c r="V4" s="8"/>
      <c r="W4" s="8"/>
      <c r="X4" s="8"/>
      <c r="Y4" s="9"/>
      <c r="Z4" s="9"/>
      <c r="AA4" s="9"/>
      <c r="AB4" s="9"/>
    </row>
    <row r="5" spans="1:28" x14ac:dyDescent="0.25">
      <c r="A5">
        <v>3</v>
      </c>
      <c r="B5">
        <v>45</v>
      </c>
      <c r="C5">
        <v>-3.7785400000000108E-3</v>
      </c>
      <c r="D5" s="1">
        <v>3.4505199999999847E-3</v>
      </c>
      <c r="E5" s="1">
        <v>-3.177520000000017E-3</v>
      </c>
      <c r="F5" s="1">
        <v>3.2649499999999887E-3</v>
      </c>
      <c r="G5" s="1">
        <v>-9.1499000000000441E-4</v>
      </c>
      <c r="H5" s="1">
        <v>2.5604799999999761E-3</v>
      </c>
      <c r="I5" s="1">
        <v>-9.2702999999999536E-4</v>
      </c>
      <c r="J5" s="1">
        <v>3.8245599999999769E-3</v>
      </c>
      <c r="K5" s="1"/>
      <c r="L5" s="1">
        <f t="shared" si="0"/>
        <v>-1.738802944205082E-3</v>
      </c>
      <c r="M5" s="1">
        <f t="shared" si="1"/>
        <v>3.2751274999999816E-3</v>
      </c>
      <c r="N5" s="1"/>
      <c r="O5" s="1"/>
      <c r="U5" s="8"/>
      <c r="V5" s="8"/>
      <c r="W5" s="8"/>
      <c r="X5" s="8"/>
      <c r="Y5" s="9"/>
      <c r="Z5" s="9"/>
      <c r="AA5" s="9"/>
      <c r="AB5" s="9"/>
    </row>
    <row r="6" spans="1:28" x14ac:dyDescent="0.25">
      <c r="A6">
        <v>4</v>
      </c>
      <c r="B6">
        <v>67.5</v>
      </c>
      <c r="C6">
        <v>-1.0639900000000008E-3</v>
      </c>
      <c r="D6" s="1">
        <v>3.0074400000000001E-3</v>
      </c>
      <c r="E6" s="1">
        <v>-6.000300000000014E-4</v>
      </c>
      <c r="F6" s="1">
        <v>4.0279099999999679E-3</v>
      </c>
      <c r="G6" s="1">
        <v>-3.56970000000012E-4</v>
      </c>
      <c r="H6" s="1">
        <v>3.5990399999999978E-3</v>
      </c>
      <c r="I6" s="1">
        <v>9.4701999999999287E-4</v>
      </c>
      <c r="J6" s="1">
        <v>2.6899799999999807E-3</v>
      </c>
      <c r="K6" s="1"/>
      <c r="L6" s="1">
        <f t="shared" si="0"/>
        <v>-4.1608951443235053E-4</v>
      </c>
      <c r="M6" s="1">
        <f t="shared" si="1"/>
        <v>3.3310924999999866E-3</v>
      </c>
      <c r="N6" s="1"/>
      <c r="O6" s="1"/>
      <c r="U6" s="8"/>
      <c r="V6" s="8"/>
      <c r="W6" s="8"/>
      <c r="X6" s="8"/>
      <c r="Y6" s="9"/>
      <c r="Z6" s="9"/>
      <c r="AA6" s="9"/>
      <c r="AB6" s="9"/>
    </row>
    <row r="7" spans="1:28" x14ac:dyDescent="0.25">
      <c r="A7">
        <v>5</v>
      </c>
      <c r="B7">
        <v>90</v>
      </c>
      <c r="C7">
        <v>7.9248000000001206E-4</v>
      </c>
      <c r="D7" s="1">
        <v>4.28400000000001E-3</v>
      </c>
      <c r="E7" s="1">
        <v>7.4093999999999549E-4</v>
      </c>
      <c r="F7" s="1">
        <v>3.6911299999999869E-3</v>
      </c>
      <c r="G7" s="1">
        <v>1.6540499999999903E-3</v>
      </c>
      <c r="H7" s="1">
        <v>2.7839800000000192E-3</v>
      </c>
      <c r="I7" s="1">
        <v>2.3585399999999923E-3</v>
      </c>
      <c r="J7" s="1">
        <v>2.5305200000000083E-3</v>
      </c>
      <c r="K7" s="1"/>
      <c r="L7" s="1">
        <f t="shared" si="0"/>
        <v>3.8433028577175186E-4</v>
      </c>
      <c r="M7" s="1">
        <f t="shared" si="1"/>
        <v>3.3224075000000061E-3</v>
      </c>
      <c r="N7" s="1"/>
      <c r="O7" s="1"/>
      <c r="U7" s="8"/>
      <c r="V7" s="8"/>
      <c r="W7" s="8"/>
      <c r="X7" s="8"/>
      <c r="Y7" s="9"/>
      <c r="Z7" s="9"/>
      <c r="AA7" s="9"/>
      <c r="AB7" s="9"/>
    </row>
    <row r="8" spans="1:28" x14ac:dyDescent="0.25">
      <c r="A8">
        <v>6</v>
      </c>
      <c r="B8">
        <v>112.5</v>
      </c>
      <c r="C8">
        <v>1.6325199999999984E-3</v>
      </c>
      <c r="D8" s="1">
        <v>2.8429899999999897E-3</v>
      </c>
      <c r="E8" s="1">
        <v>9.7200000000000064E-4</v>
      </c>
      <c r="F8" s="1">
        <v>2.0215599999999778E-3</v>
      </c>
      <c r="G8" s="1">
        <v>3.0435099999999993E-3</v>
      </c>
      <c r="H8" s="1">
        <v>3.1374200000000019E-3</v>
      </c>
      <c r="I8" s="1">
        <v>3.5260299999999994E-3</v>
      </c>
      <c r="J8" s="1">
        <v>1.4174999999999882E-3</v>
      </c>
      <c r="K8" s="1"/>
      <c r="L8" s="1">
        <f t="shared" si="0"/>
        <v>6.5381287689132478E-4</v>
      </c>
      <c r="M8" s="1">
        <f t="shared" si="1"/>
        <v>2.3548674999999894E-3</v>
      </c>
      <c r="N8" s="1"/>
      <c r="O8" s="1"/>
      <c r="U8" s="8"/>
      <c r="V8" s="8"/>
      <c r="W8" s="8"/>
      <c r="X8" s="8"/>
      <c r="Y8" s="9"/>
      <c r="Z8" s="9"/>
      <c r="AA8" s="9"/>
      <c r="AB8" s="9"/>
    </row>
    <row r="9" spans="1:28" x14ac:dyDescent="0.25">
      <c r="A9">
        <v>7</v>
      </c>
      <c r="B9">
        <v>135</v>
      </c>
      <c r="C9">
        <v>3.2604900000000048E-3</v>
      </c>
      <c r="D9" s="1">
        <v>2.8714800000000096E-3</v>
      </c>
      <c r="E9" s="1">
        <v>2.9019999999999879E-3</v>
      </c>
      <c r="F9" s="1">
        <v>2.8889500000000012E-3</v>
      </c>
      <c r="G9" s="1">
        <v>2.6090000000000002E-3</v>
      </c>
      <c r="H9" s="1">
        <v>1.6774500000000248E-3</v>
      </c>
      <c r="I9" s="1">
        <v>3.5744800000000049E-3</v>
      </c>
      <c r="J9" s="1">
        <v>1.0405400000000065E-3</v>
      </c>
      <c r="K9" s="1"/>
      <c r="L9" s="1">
        <f t="shared" si="0"/>
        <v>1.5429539545799983E-3</v>
      </c>
      <c r="M9" s="1">
        <f t="shared" si="1"/>
        <v>2.1196050000000105E-3</v>
      </c>
      <c r="N9" s="1"/>
      <c r="O9" s="1"/>
      <c r="U9" s="8"/>
      <c r="V9" s="8"/>
      <c r="W9" s="8"/>
      <c r="X9" s="8"/>
      <c r="Y9" s="9"/>
      <c r="Z9" s="9"/>
      <c r="AA9" s="9"/>
      <c r="AB9" s="9"/>
    </row>
    <row r="10" spans="1:28" x14ac:dyDescent="0.25">
      <c r="A10">
        <v>8</v>
      </c>
      <c r="B10">
        <v>157.5</v>
      </c>
      <c r="C10">
        <v>3.1815199999999932E-3</v>
      </c>
      <c r="D10" s="1">
        <v>-2.7947999999999862E-4</v>
      </c>
      <c r="E10" s="1">
        <v>4.695020000000022E-3</v>
      </c>
      <c r="F10" s="1">
        <v>1.0939199999999705E-3</v>
      </c>
      <c r="G10" s="1">
        <v>4.3064799999999737E-3</v>
      </c>
      <c r="H10" s="1">
        <v>4.4191999999998455E-4</v>
      </c>
      <c r="I10" s="1">
        <v>2.3630600000000002E-3</v>
      </c>
      <c r="J10" s="1">
        <v>-6.4543999999999713E-4</v>
      </c>
      <c r="K10" s="1"/>
      <c r="L10" s="1">
        <f t="shared" si="0"/>
        <v>1.9716791176572039E-3</v>
      </c>
      <c r="M10" s="1">
        <f t="shared" si="1"/>
        <v>1.5272999999998982E-4</v>
      </c>
      <c r="N10" s="1"/>
      <c r="O10" s="1"/>
      <c r="U10" s="8"/>
      <c r="V10" s="8"/>
      <c r="W10" s="8"/>
      <c r="X10" s="8"/>
      <c r="Y10" s="9"/>
      <c r="Z10" s="9"/>
      <c r="AA10" s="9"/>
      <c r="AB10" s="9"/>
    </row>
    <row r="11" spans="1:28" x14ac:dyDescent="0.25">
      <c r="A11">
        <v>9</v>
      </c>
      <c r="B11">
        <v>180</v>
      </c>
      <c r="C11">
        <v>3.1695000000000056E-3</v>
      </c>
      <c r="D11" s="1">
        <v>-2.7151999999999732E-4</v>
      </c>
      <c r="E11" s="1">
        <v>3.4754999999999925E-3</v>
      </c>
      <c r="F11" s="1">
        <v>-5.4705999999998811E-4</v>
      </c>
      <c r="G11" s="1">
        <v>2.8030199999999894E-3</v>
      </c>
      <c r="H11" s="1">
        <v>8.7241999999998487E-4</v>
      </c>
      <c r="I11" s="1">
        <v>3.4154799999999846E-3</v>
      </c>
      <c r="J11" s="1">
        <v>-9.2945999999999307E-4</v>
      </c>
      <c r="K11" s="1"/>
      <c r="L11" s="1">
        <f t="shared" si="0"/>
        <v>1.6636434146873995E-3</v>
      </c>
      <c r="M11" s="1">
        <f t="shared" si="1"/>
        <v>-2.1890499999999841E-4</v>
      </c>
      <c r="N11" s="1"/>
      <c r="O11" s="1"/>
      <c r="U11" s="8"/>
      <c r="V11" s="8"/>
      <c r="W11" s="8"/>
      <c r="X11" s="8"/>
      <c r="Y11" s="9"/>
      <c r="Z11" s="9"/>
      <c r="AA11" s="9"/>
      <c r="AB11" s="9"/>
    </row>
    <row r="12" spans="1:28" x14ac:dyDescent="0.25">
      <c r="A12">
        <v>10</v>
      </c>
      <c r="B12">
        <v>202.5</v>
      </c>
      <c r="C12">
        <v>2.1334799999999932E-3</v>
      </c>
      <c r="D12" s="1">
        <v>-9.4949999999999202E-4</v>
      </c>
      <c r="E12" s="1">
        <v>2.8209699999999782E-3</v>
      </c>
      <c r="F12" s="1">
        <v>-2.1104200000000017E-3</v>
      </c>
      <c r="G12" s="1">
        <v>2.6000200000000084E-3</v>
      </c>
      <c r="H12" s="1">
        <v>-1.0795000000002331E-4</v>
      </c>
      <c r="I12" s="1">
        <v>1.3549800000000056E-3</v>
      </c>
      <c r="J12" s="1">
        <v>-1.4629599999999854E-3</v>
      </c>
      <c r="K12" s="1"/>
      <c r="L12" s="1">
        <f t="shared" si="0"/>
        <v>1.2394932437748928E-3</v>
      </c>
      <c r="M12" s="1">
        <f t="shared" si="1"/>
        <v>-1.1577075000000006E-3</v>
      </c>
      <c r="N12" s="1"/>
      <c r="O12" s="1"/>
      <c r="U12" s="8"/>
      <c r="V12" s="8"/>
      <c r="W12" s="8"/>
      <c r="X12" s="8"/>
      <c r="Y12" s="9"/>
      <c r="Z12" s="9"/>
      <c r="AA12" s="9"/>
      <c r="AB12" s="9"/>
    </row>
    <row r="13" spans="1:28" x14ac:dyDescent="0.25">
      <c r="A13">
        <v>11</v>
      </c>
      <c r="B13">
        <v>225</v>
      </c>
      <c r="C13">
        <v>1.7854900000000007E-3</v>
      </c>
      <c r="D13" s="1">
        <v>-2.2115199999999946E-3</v>
      </c>
      <c r="E13" s="1">
        <v>2.6604799999999929E-3</v>
      </c>
      <c r="F13" s="1">
        <v>-3.5899799999999926E-3</v>
      </c>
      <c r="G13" s="1">
        <v>1.587489999999997E-3</v>
      </c>
      <c r="H13" s="1">
        <v>-1.7214999999999869E-3</v>
      </c>
      <c r="I13" s="1">
        <v>-1.9852000000000758E-4</v>
      </c>
      <c r="J13" s="1">
        <v>-2.4235200000000123E-3</v>
      </c>
      <c r="K13" s="1"/>
      <c r="L13" s="1">
        <f t="shared" si="0"/>
        <v>1.1114137128712983E-3</v>
      </c>
      <c r="M13" s="1">
        <f t="shared" si="1"/>
        <v>-2.4866299999999966E-3</v>
      </c>
      <c r="N13" s="1"/>
      <c r="O13" s="1"/>
      <c r="U13" s="8"/>
      <c r="V13" s="8"/>
      <c r="W13" s="8"/>
      <c r="X13" s="8"/>
      <c r="Y13" s="9"/>
      <c r="Z13" s="9"/>
      <c r="AA13" s="9"/>
      <c r="AB13" s="9"/>
    </row>
    <row r="14" spans="1:28" x14ac:dyDescent="0.25">
      <c r="A14">
        <v>12</v>
      </c>
      <c r="B14">
        <v>247.5</v>
      </c>
      <c r="C14">
        <v>7.3352000000000139E-4</v>
      </c>
      <c r="D14" s="1">
        <v>-1.743019999999984E-3</v>
      </c>
      <c r="E14" s="1">
        <v>-4.5699000000001821E-4</v>
      </c>
      <c r="F14" s="1">
        <v>-3.5465299999999922E-3</v>
      </c>
      <c r="G14" s="1">
        <v>4.9601000000001894E-4</v>
      </c>
      <c r="H14" s="1">
        <v>-3.3570199999999883E-3</v>
      </c>
      <c r="I14" s="1">
        <v>-1.2110200000000071E-3</v>
      </c>
      <c r="J14" s="1">
        <v>-1.7389800000000011E-3</v>
      </c>
      <c r="K14" s="1"/>
      <c r="L14" s="1">
        <f t="shared" si="0"/>
        <v>6.8982330492445786E-5</v>
      </c>
      <c r="M14" s="1">
        <f t="shared" si="1"/>
        <v>-2.5963874999999914E-3</v>
      </c>
      <c r="N14" s="1"/>
      <c r="O14" s="1"/>
      <c r="U14" s="8"/>
      <c r="V14" s="8"/>
      <c r="W14" s="8"/>
      <c r="X14" s="8"/>
      <c r="Y14" s="9"/>
      <c r="Z14" s="9"/>
      <c r="AA14" s="9"/>
      <c r="AB14" s="9"/>
    </row>
    <row r="15" spans="1:28" x14ac:dyDescent="0.25">
      <c r="A15">
        <v>13</v>
      </c>
      <c r="B15">
        <v>270</v>
      </c>
      <c r="C15">
        <v>8.4303999999998935E-4</v>
      </c>
      <c r="D15" s="1">
        <v>-3.2450200000000151E-3</v>
      </c>
      <c r="E15" s="1">
        <v>-1.0785199999999995E-3</v>
      </c>
      <c r="F15" s="1">
        <v>-3.8060200000000211E-3</v>
      </c>
      <c r="G15" s="1">
        <v>-8.2999999999999741E-4</v>
      </c>
      <c r="H15" s="1">
        <v>-3.0100200000000021E-3</v>
      </c>
      <c r="I15" s="1">
        <v>-2.6275000000000048E-3</v>
      </c>
      <c r="J15" s="1">
        <v>-2.4980200000000174E-3</v>
      </c>
      <c r="K15" s="1"/>
      <c r="L15" s="1">
        <f t="shared" si="0"/>
        <v>-5.8324793750002533E-5</v>
      </c>
      <c r="M15" s="1">
        <f t="shared" si="1"/>
        <v>-3.1397700000000139E-3</v>
      </c>
      <c r="N15" s="1"/>
      <c r="O15" s="1"/>
      <c r="U15" s="8"/>
      <c r="V15" s="8"/>
      <c r="W15" s="8"/>
      <c r="X15" s="8"/>
      <c r="Y15" s="9"/>
      <c r="Z15" s="9"/>
      <c r="AA15" s="9"/>
      <c r="AB15" s="9"/>
    </row>
    <row r="16" spans="1:28" x14ac:dyDescent="0.25">
      <c r="A16">
        <v>14</v>
      </c>
      <c r="B16">
        <v>292.5</v>
      </c>
      <c r="C16">
        <v>-1.2164900000000006E-3</v>
      </c>
      <c r="D16" s="1">
        <v>-1.8015000000000114E-3</v>
      </c>
      <c r="E16" s="1">
        <v>-1.3314899999999907E-3</v>
      </c>
      <c r="F16" s="1">
        <v>-3.6989600000000289E-3</v>
      </c>
      <c r="G16" s="1">
        <v>-3.2365000000000033E-3</v>
      </c>
      <c r="H16" s="1">
        <v>-2.7205000000000146E-3</v>
      </c>
      <c r="I16" s="1">
        <v>-2.6970199999999944E-3</v>
      </c>
      <c r="J16" s="1">
        <v>-3.1948000000001087E-4</v>
      </c>
      <c r="K16" s="1"/>
      <c r="L16" s="1">
        <f t="shared" si="0"/>
        <v>-6.3481277369249788E-4</v>
      </c>
      <c r="M16" s="1">
        <f t="shared" si="1"/>
        <v>-2.1351100000000164E-3</v>
      </c>
      <c r="N16" s="1"/>
      <c r="O16" s="1"/>
      <c r="U16" s="8"/>
      <c r="V16" s="8"/>
      <c r="W16" s="8"/>
      <c r="X16" s="8"/>
      <c r="Y16" s="9"/>
      <c r="Z16" s="9"/>
      <c r="AA16" s="9"/>
      <c r="AB16" s="9"/>
    </row>
    <row r="17" spans="1:28" x14ac:dyDescent="0.25">
      <c r="A17">
        <v>15</v>
      </c>
      <c r="B17">
        <v>315</v>
      </c>
      <c r="C17">
        <v>-1.9784899999999994E-3</v>
      </c>
      <c r="D17" s="1">
        <v>-9.0953999999998647E-4</v>
      </c>
      <c r="E17" s="1">
        <v>-3.0964900000000073E-3</v>
      </c>
      <c r="F17" s="1">
        <v>-2.2744199999999992E-3</v>
      </c>
      <c r="G17" s="1">
        <v>-3.7365100000000262E-3</v>
      </c>
      <c r="H17" s="1">
        <v>-1.5775399999999884E-3</v>
      </c>
      <c r="I17" s="1">
        <v>-2.3250199999999832E-3</v>
      </c>
      <c r="J17" s="1">
        <v>-1.2504799999999983E-3</v>
      </c>
      <c r="K17" s="1"/>
      <c r="L17" s="1">
        <f t="shared" si="0"/>
        <v>-1.2665731348799516E-3</v>
      </c>
      <c r="M17" s="1">
        <f t="shared" si="1"/>
        <v>-1.5029949999999931E-3</v>
      </c>
      <c r="N17" s="1"/>
      <c r="O17" s="1"/>
      <c r="U17" s="8"/>
      <c r="V17" s="8"/>
      <c r="W17" s="8"/>
      <c r="X17" s="8"/>
      <c r="Y17" s="9"/>
      <c r="Z17" s="9"/>
      <c r="AA17" s="9"/>
      <c r="AB17" s="9"/>
    </row>
    <row r="18" spans="1:28" x14ac:dyDescent="0.25">
      <c r="A18">
        <v>16</v>
      </c>
      <c r="B18">
        <v>337.5</v>
      </c>
      <c r="C18">
        <v>-2.6305199999999973E-3</v>
      </c>
      <c r="D18">
        <v>-8.4354000000000373E-4</v>
      </c>
      <c r="E18" s="1">
        <v>-4.0434799999999882E-3</v>
      </c>
      <c r="F18" s="1">
        <v>-1.4239799999999914E-3</v>
      </c>
      <c r="G18" s="1">
        <v>-4.4885299999999906E-3</v>
      </c>
      <c r="H18" s="1">
        <v>-2.1209999999999285E-4</v>
      </c>
      <c r="I18" s="1">
        <v>-1.4674799999999932E-3</v>
      </c>
      <c r="J18" s="1">
        <v>1.5239800000000081E-3</v>
      </c>
      <c r="K18" s="1"/>
      <c r="L18" s="1">
        <f t="shared" si="0"/>
        <v>-1.6668532929988965E-3</v>
      </c>
      <c r="M18" s="1">
        <f t="shared" si="1"/>
        <v>-2.3890999999999496E-4</v>
      </c>
      <c r="N18" s="1"/>
      <c r="O18" s="1"/>
      <c r="U18" s="8"/>
      <c r="V18" s="8"/>
      <c r="W18" s="8"/>
      <c r="X18" s="8"/>
      <c r="Y18" s="9"/>
      <c r="Z18" s="9"/>
      <c r="AA18" s="9"/>
      <c r="AB18" s="9"/>
    </row>
  </sheetData>
  <mergeCells count="4">
    <mergeCell ref="B1:D1"/>
    <mergeCell ref="E1:F1"/>
    <mergeCell ref="G1:H1"/>
    <mergeCell ref="I1:J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T13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Jaroslav Polame</dc:creator>
  <cp:lastModifiedBy>Jaroslav Polame</cp:lastModifiedBy>
  <dcterms:created xsi:type="dcterms:W3CDTF">2026-07-11T08:35:59Z</dcterms:created>
  <dcterms:modified xsi:type="dcterms:W3CDTF">2026-08-02T16:45:52Z</dcterms:modified>
</cp:coreProperties>
</file>