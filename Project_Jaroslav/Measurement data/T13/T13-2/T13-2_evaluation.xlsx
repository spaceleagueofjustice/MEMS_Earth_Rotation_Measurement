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3\T13-2\"/>
    </mc:Choice>
  </mc:AlternateContent>
  <xr:revisionPtr revIDLastSave="0" documentId="13_ncr:1_{93317C2F-082E-49E7-ADCE-2E4C54487F6E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3-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9" i="2" s="1"/>
  <c r="X18" i="1"/>
  <c r="W18" i="1"/>
  <c r="Z18" i="1" s="1"/>
  <c r="V18" i="1"/>
  <c r="Y18" i="1" s="1"/>
  <c r="U18" i="1"/>
  <c r="Z17" i="1"/>
  <c r="X17" i="1"/>
  <c r="W17" i="1"/>
  <c r="V17" i="1"/>
  <c r="U17" i="1"/>
  <c r="X16" i="1"/>
  <c r="W16" i="1"/>
  <c r="Z16" i="1" s="1"/>
  <c r="V16" i="1"/>
  <c r="U16" i="1"/>
  <c r="Z15" i="1"/>
  <c r="Y15" i="1"/>
  <c r="X15" i="1"/>
  <c r="W15" i="1"/>
  <c r="V15" i="1"/>
  <c r="U15" i="1"/>
  <c r="X14" i="1"/>
  <c r="W14" i="1"/>
  <c r="Z14" i="1" s="1"/>
  <c r="V14" i="1"/>
  <c r="U14" i="1"/>
  <c r="X13" i="1"/>
  <c r="W13" i="1"/>
  <c r="Z13" i="1" s="1"/>
  <c r="V13" i="1"/>
  <c r="U13" i="1"/>
  <c r="Z12" i="1"/>
  <c r="Y12" i="1"/>
  <c r="X12" i="1"/>
  <c r="W12" i="1"/>
  <c r="V12" i="1"/>
  <c r="U12" i="1"/>
  <c r="X11" i="1"/>
  <c r="W11" i="1"/>
  <c r="Z11" i="1" s="1"/>
  <c r="V11" i="1"/>
  <c r="U11" i="1"/>
  <c r="X10" i="1"/>
  <c r="W10" i="1"/>
  <c r="Z10" i="1" s="1"/>
  <c r="V10" i="1"/>
  <c r="U10" i="1"/>
  <c r="X9" i="1"/>
  <c r="W9" i="1"/>
  <c r="Z9" i="1" s="1"/>
  <c r="V9" i="1"/>
  <c r="U9" i="1"/>
  <c r="Y9" i="1" s="1"/>
  <c r="X8" i="1"/>
  <c r="Z8" i="1" s="1"/>
  <c r="W8" i="1"/>
  <c r="V8" i="1"/>
  <c r="U8" i="1"/>
  <c r="X7" i="1"/>
  <c r="W7" i="1"/>
  <c r="Z7" i="1" s="1"/>
  <c r="V7" i="1"/>
  <c r="U7" i="1"/>
  <c r="X6" i="1"/>
  <c r="W6" i="1"/>
  <c r="Z6" i="1" s="1"/>
  <c r="V6" i="1"/>
  <c r="Y6" i="1" s="1"/>
  <c r="U6" i="1"/>
  <c r="Z5" i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7" i="2"/>
  <c r="G11" i="2"/>
  <c r="AB18" i="1" l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8" i="2" l="1"/>
  <c r="V8" i="2"/>
  <c r="T8" i="2"/>
  <c r="X8" i="2"/>
</calcChain>
</file>

<file path=xl/sharedStrings.xml><?xml version="1.0" encoding="utf-8"?>
<sst xmlns="http://schemas.openxmlformats.org/spreadsheetml/2006/main" count="57" uniqueCount="52">
  <si>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</si>
  <si>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</si>
  <si>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</si>
  <si>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</si>
  <si>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</si>
  <si>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</si>
  <si>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</si>
  <si>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</si>
  <si>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</si>
  <si>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</si>
  <si>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</si>
  <si>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</si>
  <si>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</si>
  <si>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</si>
  <si>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</si>
  <si>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</si>
  <si>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</si>
  <si>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</si>
  <si>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</si>
  <si>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</si>
  <si>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</si>
  <si>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Description:</t>
  </si>
  <si>
    <t>Rotation direction</t>
  </si>
  <si>
    <t>CW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</si>
  <si>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</si>
  <si>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</si>
  <si>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</si>
  <si>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</si>
  <si>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</si>
  <si>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</si>
  <si>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</si>
  <si>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</si>
  <si>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</si>
  <si>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Azimuth-Dependence Test (Randomized Step Scan, Off-North Start, Tilted Mount)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</si>
  <si>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</si>
  <si>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</si>
  <si>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</si>
  <si>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</si>
  <si>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</si>
  <si>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</si>
  <si>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</si>
  <si>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</si>
  <si>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</si>
  <si>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</si>
  <si>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</si>
  <si>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</si>
  <si>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</si>
  <si>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</si>
  <si>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</si>
  <si>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T13-2</t>
  </si>
  <si>
    <t>4/270</t>
  </si>
  <si>
    <t xml:space="preserve">- 16*22,5° random position, full 360°
- start azimuth 0° (north)
- measuring plane cca 4° tilt, slope azimuth (down) to 270°
- rotation CW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</si>
</sst>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'T13-2'!$R$2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'T13-2'!$B$3:$B$18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'T13-2'!$R$3:$R$18</c:f>
              <c:numCache>
                <c:formatCode>General</c:formatCode>
                <c:ptCount val="16"/>
                <c:pt idx="0">
                  <c:v>-4.2664800000000169E-3</c:v>
                </c:pt>
                <c:pt idx="1">
                  <c:v>-2.7979900000000002E-3</c:v>
                </c:pt>
                <c:pt idx="2">
                  <c:v>-3.177520000000017E-3</c:v>
                </c:pt>
                <c:pt idx="3">
                  <c:v>-6.000300000000014E-4</c:v>
                </c:pt>
                <c:pt idx="4">
                  <c:v>7.4093999999999549E-4</c:v>
                </c:pt>
                <c:pt idx="5">
                  <c:v>9.7200000000000064E-4</c:v>
                </c:pt>
                <c:pt idx="6">
                  <c:v>2.9019999999999879E-3</c:v>
                </c:pt>
                <c:pt idx="7">
                  <c:v>4.695020000000022E-3</c:v>
                </c:pt>
                <c:pt idx="8">
                  <c:v>3.4754999999999925E-3</c:v>
                </c:pt>
                <c:pt idx="9">
                  <c:v>2.8209699999999782E-3</c:v>
                </c:pt>
                <c:pt idx="10">
                  <c:v>2.6604799999999929E-3</c:v>
                </c:pt>
                <c:pt idx="11">
                  <c:v>-4.5699000000001821E-4</c:v>
                </c:pt>
                <c:pt idx="12">
                  <c:v>-1.0785199999999995E-3</c:v>
                </c:pt>
                <c:pt idx="13">
                  <c:v>-1.3314899999999907E-3</c:v>
                </c:pt>
                <c:pt idx="14">
                  <c:v>-3.0964900000000073E-3</c:v>
                </c:pt>
                <c:pt idx="15">
                  <c:v>-4.0434799999999882E-3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'T13-2'!$S$2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'T13-2'!$B$3:$B$18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'T13-2'!$S$3:$S$18</c:f>
              <c:numCache>
                <c:formatCode>General</c:formatCode>
                <c:ptCount val="16"/>
                <c:pt idx="0">
                  <c:v>2.9250000000002885E-4</c:v>
                </c:pt>
                <c:pt idx="1">
                  <c:v>1.5809999999999436E-4</c:v>
                </c:pt>
                <c:pt idx="2">
                  <c:v>3.2649499999999887E-3</c:v>
                </c:pt>
                <c:pt idx="3">
                  <c:v>4.0279099999999679E-3</c:v>
                </c:pt>
                <c:pt idx="4">
                  <c:v>3.6911299999999869E-3</c:v>
                </c:pt>
                <c:pt idx="5">
                  <c:v>2.0215599999999778E-3</c:v>
                </c:pt>
                <c:pt idx="6">
                  <c:v>2.8889500000000012E-3</c:v>
                </c:pt>
                <c:pt idx="7">
                  <c:v>1.0939199999999705E-3</c:v>
                </c:pt>
                <c:pt idx="8">
                  <c:v>-5.4705999999998811E-4</c:v>
                </c:pt>
                <c:pt idx="9">
                  <c:v>-2.1104200000000017E-3</c:v>
                </c:pt>
                <c:pt idx="10">
                  <c:v>-3.5899799999999926E-3</c:v>
                </c:pt>
                <c:pt idx="11">
                  <c:v>-3.5465299999999922E-3</c:v>
                </c:pt>
                <c:pt idx="12">
                  <c:v>-3.8060200000000211E-3</c:v>
                </c:pt>
                <c:pt idx="13">
                  <c:v>-3.6989600000000289E-3</c:v>
                </c:pt>
                <c:pt idx="14">
                  <c:v>-2.2744199999999992E-3</c:v>
                </c:pt>
                <c:pt idx="15">
                  <c:v>-1.4239799999999914E-3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'T13-2'!$L$2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'T13-2'!$L$3:$L$18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-0.13241513999999999</c:v>
                      </c:pt>
                      <c:pt idx="1">
                        <c:v>-0.13466249999999999</c:v>
                      </c:pt>
                      <c:pt idx="2">
                        <c:v>-0.12071534</c:v>
                      </c:pt>
                      <c:pt idx="3">
                        <c:v>-8.8200500000000001E-2</c:v>
                      </c:pt>
                      <c:pt idx="4">
                        <c:v>-4.2554149999999999E-2</c:v>
                      </c:pt>
                      <c:pt idx="5">
                        <c:v>1.0042769999999999E-2</c:v>
                      </c:pt>
                      <c:pt idx="6">
                        <c:v>6.0558750000000001E-2</c:v>
                      </c:pt>
                      <c:pt idx="7">
                        <c:v>0.10229439</c:v>
                      </c:pt>
                      <c:pt idx="8">
                        <c:v>0.12847470999999999</c:v>
                      </c:pt>
                      <c:pt idx="9">
                        <c:v>0.13437163999999999</c:v>
                      </c:pt>
                      <c:pt idx="10">
                        <c:v>0.12078379</c:v>
                      </c:pt>
                      <c:pt idx="11">
                        <c:v>8.8266549999999999E-2</c:v>
                      </c:pt>
                      <c:pt idx="12">
                        <c:v>4.2511970000000003E-2</c:v>
                      </c:pt>
                      <c:pt idx="13">
                        <c:v>-1.0206109999999999E-2</c:v>
                      </c:pt>
                      <c:pt idx="14">
                        <c:v>-6.1857530000000001E-2</c:v>
                      </c:pt>
                      <c:pt idx="15">
                        <c:v>-0.10376382000000001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'T13-2'!$O$2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'T13-2'!$O$3:$O$18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-4.242568E-2</c:v>
                      </c:pt>
                      <c:pt idx="1">
                        <c:v>9.6805699999999995E-3</c:v>
                      </c:pt>
                      <c:pt idx="2">
                        <c:v>6.048394E-2</c:v>
                      </c:pt>
                      <c:pt idx="3">
                        <c:v>0.10204487</c:v>
                      </c:pt>
                      <c:pt idx="4">
                        <c:v>0.12819568000000001</c:v>
                      </c:pt>
                      <c:pt idx="5">
                        <c:v>0.13466360999999999</c:v>
                      </c:pt>
                      <c:pt idx="6">
                        <c:v>0.12076974</c:v>
                      </c:pt>
                      <c:pt idx="7">
                        <c:v>8.8448280000000004E-2</c:v>
                      </c:pt>
                      <c:pt idx="8">
                        <c:v>4.24854E-2</c:v>
                      </c:pt>
                      <c:pt idx="9">
                        <c:v>-9.8660199999999997E-3</c:v>
                      </c:pt>
                      <c:pt idx="10">
                        <c:v>-6.0724760000000003E-2</c:v>
                      </c:pt>
                      <c:pt idx="11">
                        <c:v>-0.10229945999999999</c:v>
                      </c:pt>
                      <c:pt idx="12">
                        <c:v>-0.12848594999999999</c:v>
                      </c:pt>
                      <c:pt idx="13">
                        <c:v>-0.13501963</c:v>
                      </c:pt>
                      <c:pt idx="14">
                        <c:v>-0.12098852</c:v>
                      </c:pt>
                      <c:pt idx="15">
                        <c:v>-8.8527649999999999E-2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'T13-2'!$Y$2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'T13-2'!$B$3:$B$18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'T13-2'!$Y$3:$Y$18</c:f>
              <c:numCache>
                <c:formatCode>0.00</c:formatCode>
                <c:ptCount val="16"/>
                <c:pt idx="0">
                  <c:v>1.7669485815653017</c:v>
                </c:pt>
                <c:pt idx="1">
                  <c:v>1.0721223705434995</c:v>
                </c:pt>
                <c:pt idx="2">
                  <c:v>1.5785356495381386</c:v>
                </c:pt>
                <c:pt idx="3">
                  <c:v>2.6302262835644288</c:v>
                </c:pt>
                <c:pt idx="4">
                  <c:v>3.7131534388606284</c:v>
                </c:pt>
                <c:pt idx="5">
                  <c:v>4.7114835314402379</c:v>
                </c:pt>
                <c:pt idx="6">
                  <c:v>5.5180981643895617</c:v>
                </c:pt>
                <c:pt idx="7">
                  <c:v>6.1565362959788779</c:v>
                </c:pt>
                <c:pt idx="8">
                  <c:v>6.545968010185728</c:v>
                </c:pt>
                <c:pt idx="9">
                  <c:v>6.6845921201167862</c:v>
                </c:pt>
                <c:pt idx="10">
                  <c:v>6.6001052104384668</c:v>
                </c:pt>
                <c:pt idx="11">
                  <c:v>6.2480071466020153</c:v>
                </c:pt>
                <c:pt idx="12">
                  <c:v>5.6642704158535988</c:v>
                </c:pt>
                <c:pt idx="13">
                  <c:v>4.8767131232585337</c:v>
                </c:pt>
                <c:pt idx="14">
                  <c:v>3.9190001081518488</c:v>
                </c:pt>
                <c:pt idx="15">
                  <c:v>2.8486012924292683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'T13-2'!$Z$2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'T13-2'!$B$3:$B$18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'T13-2'!$Z$3:$Z$18</c:f>
              <c:numCache>
                <c:formatCode>0.00</c:formatCode>
                <c:ptCount val="16"/>
                <c:pt idx="0">
                  <c:v>6.7823145211152482</c:v>
                </c:pt>
                <c:pt idx="1">
                  <c:v>6.6852130962235288</c:v>
                </c:pt>
                <c:pt idx="2">
                  <c:v>6.577292134903483</c:v>
                </c:pt>
                <c:pt idx="3">
                  <c:v>6.2320428161553743</c:v>
                </c:pt>
                <c:pt idx="4">
                  <c:v>5.6535954599975495</c:v>
                </c:pt>
                <c:pt idx="5">
                  <c:v>4.8738812629367629</c:v>
                </c:pt>
                <c:pt idx="6">
                  <c:v>3.9176568452068139</c:v>
                </c:pt>
                <c:pt idx="7">
                  <c:v>2.8503993228304383</c:v>
                </c:pt>
                <c:pt idx="8">
                  <c:v>1.7736416153624681</c:v>
                </c:pt>
                <c:pt idx="9">
                  <c:v>1.0565723312101158</c:v>
                </c:pt>
                <c:pt idx="10">
                  <c:v>1.5761634258911985</c:v>
                </c:pt>
                <c:pt idx="11">
                  <c:v>2.640730940765518</c:v>
                </c:pt>
                <c:pt idx="12">
                  <c:v>3.7379356048382815</c:v>
                </c:pt>
                <c:pt idx="13">
                  <c:v>4.7391936021482373</c:v>
                </c:pt>
                <c:pt idx="14">
                  <c:v>5.5841391761087964</c:v>
                </c:pt>
                <c:pt idx="15">
                  <c:v>6.2489848510650585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12</xdr:col>
      <xdr:colOff>0</xdr:colOff>
      <xdr:row>47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19</xdr:row>
      <xdr:rowOff>0</xdr:rowOff>
    </xdr:from>
    <xdr:to>
      <xdr:col>25</xdr:col>
      <xdr:colOff>1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7"/>
  <sheetViews>
    <sheetView tabSelected="1" zoomScaleNormal="100" workbookViewId="0">
      <selection activeCell="G12" sqref="G12:H12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23" t="s">
        <v>32</v>
      </c>
      <c r="B1" s="23"/>
      <c r="C1" s="23" t="s">
        <v>49</v>
      </c>
      <c r="D1" s="23"/>
      <c r="E1" s="23" t="s">
        <v>33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5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4" spans="1:25" x14ac:dyDescent="0.25">
      <c r="A4" s="12" t="s">
        <v>34</v>
      </c>
      <c r="B4" s="12"/>
      <c r="C4" s="12"/>
      <c r="D4" s="12"/>
      <c r="E4" s="12"/>
      <c r="F4" s="12"/>
      <c r="G4" s="21">
        <v>0</v>
      </c>
      <c r="H4" s="22"/>
      <c r="I4" s="3" t="s">
        <v>19</v>
      </c>
      <c r="K4" s="26" t="s">
        <v>21</v>
      </c>
      <c r="L4" s="26"/>
      <c r="M4" s="26"/>
      <c r="N4" s="26"/>
      <c r="O4" s="26"/>
      <c r="P4" s="26"/>
      <c r="R4" s="20" t="s">
        <v>28</v>
      </c>
      <c r="S4" s="20"/>
      <c r="T4" s="20" t="s">
        <v>29</v>
      </c>
      <c r="U4" s="20"/>
      <c r="V4" s="20" t="s">
        <v>30</v>
      </c>
      <c r="W4" s="20"/>
      <c r="X4" s="20" t="s">
        <v>31</v>
      </c>
      <c r="Y4" s="20"/>
    </row>
    <row r="5" spans="1:25" x14ac:dyDescent="0.25">
      <c r="A5" s="16" t="s">
        <v>35</v>
      </c>
      <c r="B5" s="17"/>
      <c r="C5" s="17"/>
      <c r="D5" s="17"/>
      <c r="E5" s="17"/>
      <c r="F5" s="18"/>
      <c r="G5" s="21">
        <v>0</v>
      </c>
      <c r="H5" s="22"/>
      <c r="I5" s="3" t="s">
        <v>19</v>
      </c>
      <c r="K5" s="27" t="s">
        <v>51</v>
      </c>
      <c r="L5" s="28"/>
      <c r="M5" s="28"/>
      <c r="N5" s="28"/>
      <c r="O5" s="28"/>
      <c r="P5" s="29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12" t="s">
        <v>36</v>
      </c>
      <c r="B6" s="12"/>
      <c r="C6" s="12"/>
      <c r="D6" s="12"/>
      <c r="E6" s="12"/>
      <c r="F6" s="12"/>
      <c r="G6" s="25" t="s">
        <v>50</v>
      </c>
      <c r="H6" s="25"/>
      <c r="I6" s="3" t="s">
        <v>27</v>
      </c>
      <c r="K6" s="30"/>
      <c r="L6" s="31"/>
      <c r="M6" s="31"/>
      <c r="N6" s="31"/>
      <c r="O6" s="31"/>
      <c r="P6" s="32"/>
      <c r="R6" s="20"/>
      <c r="S6" s="20"/>
      <c r="T6" s="20"/>
      <c r="U6" s="20"/>
      <c r="V6" s="20"/>
      <c r="W6" s="20"/>
      <c r="X6" s="20"/>
      <c r="Y6" s="20"/>
    </row>
    <row r="7" spans="1:25" ht="15.75" customHeight="1" x14ac:dyDescent="0.25">
      <c r="A7" s="12" t="s">
        <v>16</v>
      </c>
      <c r="B7" s="12"/>
      <c r="C7" s="12"/>
      <c r="D7" s="12"/>
      <c r="E7" s="12"/>
      <c r="F7" s="12"/>
      <c r="G7" s="24">
        <f>360/((23*60*60)+(56*60)+4.09)</f>
        <v>4.1780746480349299E-3</v>
      </c>
      <c r="H7" s="24"/>
      <c r="I7" s="3" t="s">
        <v>17</v>
      </c>
      <c r="K7" s="30"/>
      <c r="L7" s="31"/>
      <c r="M7" s="31"/>
      <c r="N7" s="31"/>
      <c r="O7" s="31"/>
      <c r="P7" s="32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12" t="s">
        <v>18</v>
      </c>
      <c r="B8" s="12"/>
      <c r="C8" s="12"/>
      <c r="D8" s="12"/>
      <c r="E8" s="12"/>
      <c r="F8" s="12"/>
      <c r="G8" s="25">
        <v>49</v>
      </c>
      <c r="H8" s="25"/>
      <c r="I8" s="3" t="s">
        <v>19</v>
      </c>
      <c r="K8" s="30"/>
      <c r="L8" s="31"/>
      <c r="M8" s="31"/>
      <c r="N8" s="31"/>
      <c r="O8" s="31"/>
      <c r="P8" s="32"/>
      <c r="R8" s="19">
        <f>MIN('T13-2'!R3:R18)</f>
        <v>-4.2664800000000169E-3</v>
      </c>
      <c r="S8" s="19"/>
      <c r="T8" s="19">
        <f>MIN('T13-2'!S3:S18)</f>
        <v>-3.8060200000000211E-3</v>
      </c>
      <c r="U8" s="19"/>
      <c r="V8" s="19">
        <f>MAX('T13-2'!R3:R18)</f>
        <v>4.695020000000022E-3</v>
      </c>
      <c r="W8" s="19"/>
      <c r="X8" s="19">
        <f>MAX('T13-2'!S3:S18)</f>
        <v>4.0279099999999679E-3</v>
      </c>
      <c r="Y8" s="19"/>
    </row>
    <row r="9" spans="1:25" ht="15.75" customHeight="1" x14ac:dyDescent="0.25">
      <c r="A9" s="38" t="s">
        <v>20</v>
      </c>
      <c r="B9" s="39"/>
      <c r="C9" s="39"/>
      <c r="D9" s="39"/>
      <c r="E9" s="39"/>
      <c r="F9" s="40"/>
      <c r="G9" s="41">
        <f>(COS(RADIANS(G8))*G7)</f>
        <v>2.7410635966396515E-3</v>
      </c>
      <c r="H9" s="42"/>
      <c r="I9" s="4" t="s">
        <v>17</v>
      </c>
      <c r="K9" s="30"/>
      <c r="L9" s="31"/>
      <c r="M9" s="31"/>
      <c r="N9" s="31"/>
      <c r="O9" s="31"/>
      <c r="P9" s="32"/>
      <c r="R9" s="19"/>
      <c r="S9" s="19"/>
      <c r="T9" s="19"/>
      <c r="U9" s="19"/>
      <c r="V9" s="19"/>
      <c r="W9" s="19"/>
      <c r="X9" s="19"/>
      <c r="Y9" s="19"/>
    </row>
    <row r="10" spans="1:25" x14ac:dyDescent="0.25">
      <c r="A10" s="12" t="s">
        <v>37</v>
      </c>
      <c r="B10" s="12"/>
      <c r="C10" s="12"/>
      <c r="D10" s="12"/>
      <c r="E10" s="12"/>
      <c r="F10" s="12"/>
      <c r="G10" s="25">
        <v>22.5</v>
      </c>
      <c r="H10" s="25"/>
      <c r="I10" s="3" t="s">
        <v>19</v>
      </c>
      <c r="K10" s="30"/>
      <c r="L10" s="31"/>
      <c r="M10" s="31"/>
      <c r="N10" s="31"/>
      <c r="O10" s="31"/>
      <c r="P10" s="32"/>
    </row>
    <row r="11" spans="1:25" x14ac:dyDescent="0.25">
      <c r="A11" s="16" t="s">
        <v>38</v>
      </c>
      <c r="B11" s="17"/>
      <c r="C11" s="17"/>
      <c r="D11" s="17"/>
      <c r="E11" s="17"/>
      <c r="F11" s="18"/>
      <c r="G11" s="21">
        <f>360/G10</f>
        <v>16</v>
      </c>
      <c r="H11" s="22"/>
      <c r="I11" s="3"/>
      <c r="K11" s="30"/>
      <c r="L11" s="31"/>
      <c r="M11" s="31"/>
      <c r="N11" s="31"/>
      <c r="O11" s="31"/>
      <c r="P11" s="32"/>
    </row>
    <row r="12" spans="1:25" x14ac:dyDescent="0.25">
      <c r="A12" s="12" t="s">
        <v>22</v>
      </c>
      <c r="B12" s="12"/>
      <c r="C12" s="12"/>
      <c r="D12" s="12"/>
      <c r="E12" s="12"/>
      <c r="F12" s="12"/>
      <c r="G12" s="25" t="s">
        <v>23</v>
      </c>
      <c r="H12" s="25"/>
      <c r="I12" s="3"/>
      <c r="K12" s="30"/>
      <c r="L12" s="31"/>
      <c r="M12" s="31"/>
      <c r="N12" s="31"/>
      <c r="O12" s="31"/>
      <c r="P12" s="32"/>
    </row>
    <row r="13" spans="1:25" x14ac:dyDescent="0.25">
      <c r="A13" s="16" t="s">
        <v>24</v>
      </c>
      <c r="B13" s="17"/>
      <c r="C13" s="17"/>
      <c r="D13" s="17"/>
      <c r="E13" s="17"/>
      <c r="F13" s="18"/>
      <c r="G13" s="21">
        <v>50</v>
      </c>
      <c r="H13" s="22"/>
      <c r="I13" s="3"/>
      <c r="K13" s="30"/>
      <c r="L13" s="31"/>
      <c r="M13" s="31"/>
      <c r="N13" s="31"/>
      <c r="O13" s="31"/>
      <c r="P13" s="32"/>
    </row>
    <row r="14" spans="1:25" x14ac:dyDescent="0.25">
      <c r="A14" s="16" t="s">
        <v>25</v>
      </c>
      <c r="B14" s="17"/>
      <c r="C14" s="17"/>
      <c r="D14" s="17"/>
      <c r="E14" s="17"/>
      <c r="F14" s="18"/>
      <c r="G14" s="21">
        <v>200</v>
      </c>
      <c r="H14" s="22"/>
      <c r="I14" s="3"/>
      <c r="K14" s="30"/>
      <c r="L14" s="31"/>
      <c r="M14" s="31"/>
      <c r="N14" s="31"/>
      <c r="O14" s="31"/>
      <c r="P14" s="32"/>
      <c r="R14" s="11"/>
      <c r="S14" s="11"/>
      <c r="T14" s="11"/>
      <c r="U14" s="11"/>
      <c r="V14" s="11"/>
      <c r="W14" s="11"/>
      <c r="X14" s="11"/>
      <c r="Y14" s="11"/>
    </row>
    <row r="15" spans="1:25" x14ac:dyDescent="0.25">
      <c r="A15" s="16" t="s">
        <v>26</v>
      </c>
      <c r="B15" s="17"/>
      <c r="C15" s="17"/>
      <c r="D15" s="17"/>
      <c r="E15" s="17"/>
      <c r="F15" s="18"/>
      <c r="G15" s="21">
        <v>50</v>
      </c>
      <c r="H15" s="22"/>
      <c r="I15" s="3"/>
      <c r="K15" s="30"/>
      <c r="L15" s="31"/>
      <c r="M15" s="31"/>
      <c r="N15" s="31"/>
      <c r="O15" s="31"/>
      <c r="P15" s="32"/>
      <c r="R15" s="11"/>
      <c r="S15" s="11"/>
      <c r="T15" s="11"/>
      <c r="U15" s="11"/>
      <c r="V15" s="11"/>
      <c r="W15" s="11"/>
      <c r="X15" s="11"/>
      <c r="Y15" s="11"/>
    </row>
    <row r="16" spans="1:25" x14ac:dyDescent="0.25">
      <c r="A16" s="13" t="s">
        <v>40</v>
      </c>
      <c r="B16" s="14"/>
      <c r="C16" s="14"/>
      <c r="D16" s="14"/>
      <c r="E16" s="14"/>
      <c r="F16" s="15"/>
      <c r="G16" s="36">
        <v>365</v>
      </c>
      <c r="H16" s="37"/>
      <c r="I16" s="5" t="s">
        <v>19</v>
      </c>
      <c r="K16" s="30"/>
      <c r="L16" s="31"/>
      <c r="M16" s="31"/>
      <c r="N16" s="31"/>
      <c r="O16" s="31"/>
      <c r="P16" s="32"/>
      <c r="R16" s="10"/>
      <c r="S16" s="10"/>
      <c r="T16" s="11"/>
      <c r="U16" s="11"/>
      <c r="V16" s="11"/>
      <c r="W16" s="11"/>
      <c r="X16" s="11"/>
      <c r="Y16" s="11"/>
    </row>
    <row r="17" spans="1:25" x14ac:dyDescent="0.25">
      <c r="A17" s="13" t="s">
        <v>39</v>
      </c>
      <c r="B17" s="14"/>
      <c r="C17" s="14"/>
      <c r="D17" s="14"/>
      <c r="E17" s="14"/>
      <c r="F17" s="15"/>
      <c r="G17" s="36">
        <f>G11*G13*G14</f>
        <v>160000</v>
      </c>
      <c r="H17" s="37"/>
      <c r="I17" s="3"/>
      <c r="K17" s="33"/>
      <c r="L17" s="34"/>
      <c r="M17" s="34"/>
      <c r="N17" s="34"/>
      <c r="O17" s="34"/>
      <c r="P17" s="35"/>
      <c r="R17" s="10"/>
      <c r="S17" s="10"/>
      <c r="T17" s="11"/>
      <c r="U17" s="11"/>
      <c r="V17" s="11"/>
      <c r="W17" s="11"/>
      <c r="X17" s="11"/>
      <c r="Y17" s="11"/>
    </row>
  </sheetData>
  <mergeCells count="49"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  <mergeCell ref="G4:H4"/>
    <mergeCell ref="A1:B2"/>
    <mergeCell ref="C1:D2"/>
    <mergeCell ref="E1:Y2"/>
    <mergeCell ref="R4:S7"/>
    <mergeCell ref="G7:H7"/>
    <mergeCell ref="A5:F5"/>
    <mergeCell ref="G5:H5"/>
    <mergeCell ref="A6:F6"/>
    <mergeCell ref="G6:H6"/>
    <mergeCell ref="K4:P4"/>
    <mergeCell ref="A4:F4"/>
    <mergeCell ref="A7:F7"/>
    <mergeCell ref="R8:S9"/>
    <mergeCell ref="T4:U7"/>
    <mergeCell ref="V4:W7"/>
    <mergeCell ref="X4:Y7"/>
    <mergeCell ref="T8:U9"/>
    <mergeCell ref="V8:W9"/>
    <mergeCell ref="X8:Y9"/>
    <mergeCell ref="A12:F12"/>
    <mergeCell ref="A17:F17"/>
    <mergeCell ref="A13:F13"/>
    <mergeCell ref="A14:F14"/>
    <mergeCell ref="A15:F15"/>
    <mergeCell ref="R16:S17"/>
    <mergeCell ref="T16:U17"/>
    <mergeCell ref="V16:W17"/>
    <mergeCell ref="X16:Y17"/>
    <mergeCell ref="R14:S15"/>
    <mergeCell ref="T14:U15"/>
    <mergeCell ref="V14:W15"/>
    <mergeCell ref="X14:Y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R2" sqref="R2:S18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41</v>
      </c>
      <c r="V2" s="7" t="s">
        <v>42</v>
      </c>
      <c r="W2" s="7" t="s">
        <v>43</v>
      </c>
      <c r="X2" s="7" t="s">
        <v>44</v>
      </c>
      <c r="Y2" s="7" t="s">
        <v>45</v>
      </c>
      <c r="Z2" s="6" t="s">
        <v>46</v>
      </c>
      <c r="AA2" s="6" t="s">
        <v>47</v>
      </c>
      <c r="AB2" s="6" t="s">
        <v>48</v>
      </c>
    </row>
    <row r="3" spans="1:28" x14ac:dyDescent="0.25">
      <c r="A3">
        <v>1</v>
      </c>
      <c r="B3">
        <v>0</v>
      </c>
      <c r="C3">
        <v>50</v>
      </c>
      <c r="D3" s="1">
        <v>-0.31368600000000002</v>
      </c>
      <c r="E3" s="1">
        <v>-0.30515303999999999</v>
      </c>
      <c r="F3" s="1">
        <v>-8.5329700000000008E-3</v>
      </c>
      <c r="G3" s="1">
        <v>0.65795400000000004</v>
      </c>
      <c r="H3" s="1">
        <v>0.65736899999999998</v>
      </c>
      <c r="I3" s="1">
        <v>5.8496000000000004E-4</v>
      </c>
      <c r="J3" s="1">
        <v>-1.5364900000000001E-2</v>
      </c>
      <c r="K3" s="1">
        <v>0.11705024</v>
      </c>
      <c r="L3" s="1">
        <v>-0.13241513999999999</v>
      </c>
      <c r="M3" s="1">
        <v>-2.673325E-2</v>
      </c>
      <c r="N3" s="1">
        <v>1.569243E-2</v>
      </c>
      <c r="O3" s="1">
        <v>-4.242568E-2</v>
      </c>
      <c r="R3">
        <f>(D3-E3)/2</f>
        <v>-4.2664800000000169E-3</v>
      </c>
      <c r="S3">
        <f>(G3-H3)/2</f>
        <v>2.9250000000002885E-4</v>
      </c>
      <c r="U3" s="8">
        <f>J3</f>
        <v>-1.5364900000000001E-2</v>
      </c>
      <c r="V3" s="8">
        <f>M3</f>
        <v>-2.673325E-2</v>
      </c>
      <c r="W3" s="8">
        <f>K3</f>
        <v>0.11705024</v>
      </c>
      <c r="X3" s="8">
        <f>N3</f>
        <v>1.569243E-2</v>
      </c>
      <c r="Y3" s="9">
        <f t="shared" ref="Y3" si="0">IF(U3="","",DEGREES(ASIN(SQRT(U3^2+V3^2))))</f>
        <v>1.7669485815653017</v>
      </c>
      <c r="Z3" s="9">
        <f t="shared" ref="Z3" si="1">IF(W3="","",DEGREES(ASIN(SQRT(W3^2+X3^2))))</f>
        <v>6.7823145211152482</v>
      </c>
      <c r="AA3" s="9">
        <f t="shared" ref="AA3" si="2">IF(U3="","",MOD(DEGREES(ATAN2(U3,V3)),360))</f>
        <v>240.11192124065519</v>
      </c>
      <c r="AB3" s="9">
        <f t="shared" ref="AB3" si="3">IF(U3="","",MOD(F3+AA3,360))</f>
        <v>240.10338827065519</v>
      </c>
    </row>
    <row r="4" spans="1:28" x14ac:dyDescent="0.25">
      <c r="A4">
        <v>2</v>
      </c>
      <c r="B4">
        <v>22.5</v>
      </c>
      <c r="C4">
        <v>50</v>
      </c>
      <c r="D4" s="1">
        <v>-0.31210100000000002</v>
      </c>
      <c r="E4" s="1">
        <v>-0.30650502000000002</v>
      </c>
      <c r="F4" s="1">
        <v>-5.5959800000000004E-3</v>
      </c>
      <c r="G4" s="1">
        <v>0.65517009999999998</v>
      </c>
      <c r="H4" s="1">
        <v>0.65485389999999999</v>
      </c>
      <c r="I4" s="1">
        <v>3.1619999999999999E-4</v>
      </c>
      <c r="J4" s="1">
        <v>-1.8701760000000001E-2</v>
      </c>
      <c r="K4" s="1">
        <v>0.11596073</v>
      </c>
      <c r="L4" s="1">
        <v>-0.13466249999999999</v>
      </c>
      <c r="M4" s="1">
        <v>-5.8710999999999995E-4</v>
      </c>
      <c r="N4" s="1">
        <v>-1.026768E-2</v>
      </c>
      <c r="O4" s="1">
        <v>9.6805699999999995E-3</v>
      </c>
      <c r="R4">
        <f>(D4-E4)/2</f>
        <v>-2.7979900000000002E-3</v>
      </c>
      <c r="S4">
        <f t="shared" ref="S4:S18" si="4">(G4-H4)/2</f>
        <v>1.5809999999999436E-4</v>
      </c>
      <c r="U4" s="8">
        <f t="shared" ref="U4:U18" si="5">J4</f>
        <v>-1.8701760000000001E-2</v>
      </c>
      <c r="V4" s="8">
        <f t="shared" ref="V4:V18" si="6">M4</f>
        <v>-5.8710999999999995E-4</v>
      </c>
      <c r="W4" s="8">
        <f t="shared" ref="W4:W18" si="7">K4</f>
        <v>0.11596073</v>
      </c>
      <c r="X4" s="8">
        <f t="shared" ref="X4:X18" si="8">N4</f>
        <v>-1.026768E-2</v>
      </c>
      <c r="Y4" s="9">
        <f t="shared" ref="Y4:Y18" si="9">IF(U4="","",DEGREES(ASIN(SQRT(U4^2+V4^2))))</f>
        <v>1.0721223705434995</v>
      </c>
      <c r="Z4" s="9">
        <f t="shared" ref="Z4:Z18" si="10">IF(W4="","",DEGREES(ASIN(SQRT(W4^2+X4^2))))</f>
        <v>6.6852130962235288</v>
      </c>
      <c r="AA4" s="9">
        <f t="shared" ref="AA4:AA18" si="11">IF(U4="","",MOD(DEGREES(ATAN2(U4,V4)),360))</f>
        <v>181.79811316213681</v>
      </c>
      <c r="AB4" s="9">
        <f t="shared" ref="AB4:AB18" si="12">IF(U4="","",MOD(F4+AA4,360))</f>
        <v>181.79251718213681</v>
      </c>
    </row>
    <row r="5" spans="1:28" x14ac:dyDescent="0.25">
      <c r="A5">
        <v>3</v>
      </c>
      <c r="B5">
        <v>45</v>
      </c>
      <c r="C5">
        <v>50</v>
      </c>
      <c r="D5" s="1">
        <v>-0.31180108000000001</v>
      </c>
      <c r="E5" s="1">
        <v>-0.30544603999999997</v>
      </c>
      <c r="F5" s="1">
        <v>-6.3550500000000001E-3</v>
      </c>
      <c r="G5" s="1">
        <v>0.659196</v>
      </c>
      <c r="H5" s="1">
        <v>0.65266610000000003</v>
      </c>
      <c r="I5" s="1">
        <v>6.5299299999999998E-3</v>
      </c>
      <c r="J5" s="1">
        <v>-1.1849709999999999E-2</v>
      </c>
      <c r="K5" s="1">
        <v>0.10886562</v>
      </c>
      <c r="L5" s="1">
        <v>-0.12071534</v>
      </c>
      <c r="M5" s="1">
        <v>2.486826E-2</v>
      </c>
      <c r="N5" s="1">
        <v>-3.5615679999999997E-2</v>
      </c>
      <c r="O5" s="1">
        <v>6.048394E-2</v>
      </c>
      <c r="R5">
        <f t="shared" ref="R5:R18" si="13">(D5-E5)/2</f>
        <v>-3.177520000000017E-3</v>
      </c>
      <c r="S5">
        <f t="shared" si="4"/>
        <v>3.2649499999999887E-3</v>
      </c>
      <c r="U5" s="8">
        <f t="shared" si="5"/>
        <v>-1.1849709999999999E-2</v>
      </c>
      <c r="V5" s="8">
        <f t="shared" si="6"/>
        <v>2.486826E-2</v>
      </c>
      <c r="W5" s="8">
        <f t="shared" si="7"/>
        <v>0.10886562</v>
      </c>
      <c r="X5" s="8">
        <f t="shared" si="8"/>
        <v>-3.5615679999999997E-2</v>
      </c>
      <c r="Y5" s="9">
        <f t="shared" si="9"/>
        <v>1.5785356495381386</v>
      </c>
      <c r="Z5" s="9">
        <f t="shared" si="10"/>
        <v>6.577292134903483</v>
      </c>
      <c r="AA5" s="9">
        <f t="shared" si="11"/>
        <v>115.47776981788446</v>
      </c>
      <c r="AB5" s="9">
        <f t="shared" si="12"/>
        <v>115.47141476788447</v>
      </c>
    </row>
    <row r="6" spans="1:28" x14ac:dyDescent="0.25">
      <c r="A6">
        <v>4</v>
      </c>
      <c r="B6">
        <v>67.5</v>
      </c>
      <c r="C6">
        <v>50</v>
      </c>
      <c r="D6" s="1">
        <v>-0.30938305999999999</v>
      </c>
      <c r="E6" s="1">
        <v>-0.30818299999999998</v>
      </c>
      <c r="F6" s="1">
        <v>-1.20005E-3</v>
      </c>
      <c r="G6" s="1">
        <v>0.66032389999999996</v>
      </c>
      <c r="H6" s="1">
        <v>0.65226808000000003</v>
      </c>
      <c r="I6" s="1">
        <v>8.0558699999999997E-3</v>
      </c>
      <c r="J6" s="1">
        <v>4.5641600000000003E-3</v>
      </c>
      <c r="K6" s="1">
        <v>9.2764650000000004E-2</v>
      </c>
      <c r="L6" s="1">
        <v>-8.8200500000000001E-2</v>
      </c>
      <c r="M6" s="1">
        <v>4.566245E-2</v>
      </c>
      <c r="N6" s="1">
        <v>-5.6382420000000003E-2</v>
      </c>
      <c r="O6" s="1">
        <v>0.10204487</v>
      </c>
      <c r="R6">
        <f t="shared" si="13"/>
        <v>-6.000300000000014E-4</v>
      </c>
      <c r="S6">
        <f t="shared" si="4"/>
        <v>4.0279099999999679E-3</v>
      </c>
      <c r="U6" s="8">
        <f t="shared" si="5"/>
        <v>4.5641600000000003E-3</v>
      </c>
      <c r="V6" s="8">
        <f t="shared" si="6"/>
        <v>4.566245E-2</v>
      </c>
      <c r="W6" s="8">
        <f t="shared" si="7"/>
        <v>9.2764650000000004E-2</v>
      </c>
      <c r="X6" s="8">
        <f t="shared" si="8"/>
        <v>-5.6382420000000003E-2</v>
      </c>
      <c r="Y6" s="9">
        <f t="shared" si="9"/>
        <v>2.6302262835644288</v>
      </c>
      <c r="Z6" s="9">
        <f t="shared" si="10"/>
        <v>6.2320428161553743</v>
      </c>
      <c r="AA6" s="9">
        <f t="shared" si="11"/>
        <v>84.291997162535125</v>
      </c>
      <c r="AB6" s="9">
        <f t="shared" si="12"/>
        <v>84.290797112535131</v>
      </c>
    </row>
    <row r="7" spans="1:28" x14ac:dyDescent="0.25">
      <c r="A7">
        <v>5</v>
      </c>
      <c r="B7">
        <v>90</v>
      </c>
      <c r="C7">
        <v>50</v>
      </c>
      <c r="D7" s="1">
        <v>-0.30589107999999998</v>
      </c>
      <c r="E7" s="1">
        <v>-0.30737295999999997</v>
      </c>
      <c r="F7" s="1">
        <v>1.48189E-3</v>
      </c>
      <c r="G7" s="1">
        <v>0.66098109999999999</v>
      </c>
      <c r="H7" s="1">
        <v>0.65359884000000001</v>
      </c>
      <c r="I7" s="1">
        <v>7.3822699999999998E-3</v>
      </c>
      <c r="J7" s="1">
        <v>2.7296770000000001E-2</v>
      </c>
      <c r="K7" s="1">
        <v>6.9850919999999997E-2</v>
      </c>
      <c r="L7" s="1">
        <v>-4.2554149999999999E-2</v>
      </c>
      <c r="M7" s="1">
        <v>5.8727550000000003E-2</v>
      </c>
      <c r="N7" s="1">
        <v>-6.9468119999999994E-2</v>
      </c>
      <c r="O7" s="1">
        <v>0.12819568000000001</v>
      </c>
      <c r="R7">
        <f t="shared" si="13"/>
        <v>7.4093999999999549E-4</v>
      </c>
      <c r="S7">
        <f t="shared" si="4"/>
        <v>3.6911299999999869E-3</v>
      </c>
      <c r="U7" s="8">
        <f t="shared" si="5"/>
        <v>2.7296770000000001E-2</v>
      </c>
      <c r="V7" s="8">
        <f t="shared" si="6"/>
        <v>5.8727550000000003E-2</v>
      </c>
      <c r="W7" s="8">
        <f t="shared" si="7"/>
        <v>6.9850919999999997E-2</v>
      </c>
      <c r="X7" s="8">
        <f t="shared" si="8"/>
        <v>-6.9468119999999994E-2</v>
      </c>
      <c r="Y7" s="9">
        <f t="shared" si="9"/>
        <v>3.7131534388606284</v>
      </c>
      <c r="Z7" s="9">
        <f t="shared" si="10"/>
        <v>5.6535954599975495</v>
      </c>
      <c r="AA7" s="9">
        <f t="shared" si="11"/>
        <v>65.070830692171214</v>
      </c>
      <c r="AB7" s="9">
        <f t="shared" si="12"/>
        <v>65.072312582171207</v>
      </c>
    </row>
    <row r="8" spans="1:28" x14ac:dyDescent="0.25">
      <c r="A8">
        <v>6</v>
      </c>
      <c r="B8">
        <v>112.5</v>
      </c>
      <c r="C8">
        <v>50</v>
      </c>
      <c r="D8" s="1">
        <v>-0.30901003999999999</v>
      </c>
      <c r="E8" s="1">
        <v>-0.31095403999999999</v>
      </c>
      <c r="F8" s="1">
        <v>1.9440099999999999E-3</v>
      </c>
      <c r="G8" s="1">
        <v>0.65907808000000001</v>
      </c>
      <c r="H8" s="1">
        <v>0.65503496000000005</v>
      </c>
      <c r="I8" s="1">
        <v>4.0431E-3</v>
      </c>
      <c r="J8" s="1">
        <v>5.395718E-2</v>
      </c>
      <c r="K8" s="1">
        <v>4.3914399999999999E-2</v>
      </c>
      <c r="L8" s="1">
        <v>1.0042769999999999E-2</v>
      </c>
      <c r="M8" s="1">
        <v>6.1929930000000001E-2</v>
      </c>
      <c r="N8" s="1">
        <v>-7.2733690000000004E-2</v>
      </c>
      <c r="O8" s="1">
        <v>0.13466360999999999</v>
      </c>
      <c r="R8">
        <f t="shared" si="13"/>
        <v>9.7200000000000064E-4</v>
      </c>
      <c r="S8">
        <f t="shared" si="4"/>
        <v>2.0215599999999778E-3</v>
      </c>
      <c r="U8" s="8">
        <f t="shared" si="5"/>
        <v>5.395718E-2</v>
      </c>
      <c r="V8" s="8">
        <f t="shared" si="6"/>
        <v>6.1929930000000001E-2</v>
      </c>
      <c r="W8" s="8">
        <f t="shared" si="7"/>
        <v>4.3914399999999999E-2</v>
      </c>
      <c r="X8" s="8">
        <f t="shared" si="8"/>
        <v>-7.2733690000000004E-2</v>
      </c>
      <c r="Y8" s="9">
        <f t="shared" si="9"/>
        <v>4.7114835314402379</v>
      </c>
      <c r="Z8" s="9">
        <f t="shared" si="10"/>
        <v>4.8738812629367629</v>
      </c>
      <c r="AA8" s="9">
        <f t="shared" si="11"/>
        <v>48.935608232913076</v>
      </c>
      <c r="AB8" s="9">
        <f t="shared" si="12"/>
        <v>48.937552242913078</v>
      </c>
    </row>
    <row r="9" spans="1:28" x14ac:dyDescent="0.25">
      <c r="A9">
        <v>7</v>
      </c>
      <c r="B9">
        <v>135</v>
      </c>
      <c r="C9">
        <v>50</v>
      </c>
      <c r="D9" s="1">
        <v>-0.30705004000000002</v>
      </c>
      <c r="E9" s="1">
        <v>-0.31285404</v>
      </c>
      <c r="F9" s="1">
        <v>5.8040000000000001E-3</v>
      </c>
      <c r="G9" s="1">
        <v>0.65982989999999997</v>
      </c>
      <c r="H9" s="1">
        <v>0.65405199999999997</v>
      </c>
      <c r="I9" s="1">
        <v>5.7778999999999999E-3</v>
      </c>
      <c r="J9" s="1">
        <v>7.8908119999999998E-2</v>
      </c>
      <c r="K9" s="1">
        <v>1.8349359999999999E-2</v>
      </c>
      <c r="L9" s="1">
        <v>6.0558750000000001E-2</v>
      </c>
      <c r="M9" s="1">
        <v>5.495713E-2</v>
      </c>
      <c r="N9" s="1">
        <v>-6.5812599999999999E-2</v>
      </c>
      <c r="O9" s="1">
        <v>0.12076974</v>
      </c>
      <c r="R9">
        <f t="shared" si="13"/>
        <v>2.9019999999999879E-3</v>
      </c>
      <c r="S9">
        <f t="shared" si="4"/>
        <v>2.8889500000000012E-3</v>
      </c>
      <c r="U9" s="8">
        <f t="shared" si="5"/>
        <v>7.8908119999999998E-2</v>
      </c>
      <c r="V9" s="8">
        <f t="shared" si="6"/>
        <v>5.495713E-2</v>
      </c>
      <c r="W9" s="8">
        <f t="shared" si="7"/>
        <v>1.8349359999999999E-2</v>
      </c>
      <c r="X9" s="8">
        <f t="shared" si="8"/>
        <v>-6.5812599999999999E-2</v>
      </c>
      <c r="Y9" s="9">
        <f t="shared" si="9"/>
        <v>5.5180981643895617</v>
      </c>
      <c r="Z9" s="9">
        <f t="shared" si="10"/>
        <v>3.9176568452068139</v>
      </c>
      <c r="AA9" s="9">
        <f t="shared" si="11"/>
        <v>34.856049884590547</v>
      </c>
      <c r="AB9" s="9">
        <f t="shared" si="12"/>
        <v>34.861853884590545</v>
      </c>
    </row>
    <row r="10" spans="1:28" x14ac:dyDescent="0.25">
      <c r="A10">
        <v>8</v>
      </c>
      <c r="B10">
        <v>157.5</v>
      </c>
      <c r="C10">
        <v>50</v>
      </c>
      <c r="D10" s="1">
        <v>-0.30503703999999998</v>
      </c>
      <c r="E10" s="1">
        <v>-0.31442708000000003</v>
      </c>
      <c r="F10" s="1">
        <v>9.3900300000000006E-3</v>
      </c>
      <c r="G10" s="1">
        <v>0.65844999999999998</v>
      </c>
      <c r="H10" s="1">
        <v>0.65626216000000004</v>
      </c>
      <c r="I10" s="1">
        <v>2.1878499999999999E-3</v>
      </c>
      <c r="J10" s="1">
        <v>9.9990780000000001E-2</v>
      </c>
      <c r="K10" s="1">
        <v>-2.3036100000000002E-3</v>
      </c>
      <c r="L10" s="1">
        <v>0.10229439</v>
      </c>
      <c r="M10" s="1">
        <v>3.8773340000000003E-2</v>
      </c>
      <c r="N10" s="1">
        <v>-4.9674950000000002E-2</v>
      </c>
      <c r="O10" s="1">
        <v>8.8448280000000004E-2</v>
      </c>
      <c r="R10">
        <f>(D10-E10)/2</f>
        <v>4.695020000000022E-3</v>
      </c>
      <c r="S10">
        <f t="shared" si="4"/>
        <v>1.0939199999999705E-3</v>
      </c>
      <c r="U10" s="8">
        <f t="shared" si="5"/>
        <v>9.9990780000000001E-2</v>
      </c>
      <c r="V10" s="8">
        <f t="shared" si="6"/>
        <v>3.8773340000000003E-2</v>
      </c>
      <c r="W10" s="8">
        <f t="shared" si="7"/>
        <v>-2.3036100000000002E-3</v>
      </c>
      <c r="X10" s="8">
        <f t="shared" si="8"/>
        <v>-4.9674950000000002E-2</v>
      </c>
      <c r="Y10" s="9">
        <f t="shared" si="9"/>
        <v>6.1565362959788779</v>
      </c>
      <c r="Z10" s="9">
        <f t="shared" si="10"/>
        <v>2.8503993228304383</v>
      </c>
      <c r="AA10" s="9">
        <f t="shared" si="11"/>
        <v>21.194756281459576</v>
      </c>
      <c r="AB10" s="9">
        <f t="shared" si="12"/>
        <v>21.204146311459574</v>
      </c>
    </row>
    <row r="11" spans="1:28" x14ac:dyDescent="0.25">
      <c r="A11">
        <v>9</v>
      </c>
      <c r="B11">
        <v>180</v>
      </c>
      <c r="C11">
        <v>50</v>
      </c>
      <c r="D11" s="1">
        <v>-0.30771204000000002</v>
      </c>
      <c r="E11" s="1">
        <v>-0.31466304</v>
      </c>
      <c r="F11" s="1">
        <v>6.9509999999999997E-3</v>
      </c>
      <c r="G11" s="1">
        <v>0.65651892000000001</v>
      </c>
      <c r="H11" s="1">
        <v>0.65761303999999998</v>
      </c>
      <c r="I11" s="1">
        <v>-1.0941E-3</v>
      </c>
      <c r="J11" s="1">
        <v>0.11290943000000001</v>
      </c>
      <c r="K11" s="1">
        <v>-1.5565280000000001E-2</v>
      </c>
      <c r="L11" s="1">
        <v>0.12847470999999999</v>
      </c>
      <c r="M11" s="1">
        <v>1.5733150000000001E-2</v>
      </c>
      <c r="N11" s="1">
        <v>-2.6752250000000002E-2</v>
      </c>
      <c r="O11" s="1">
        <v>4.24854E-2</v>
      </c>
      <c r="R11">
        <f t="shared" si="13"/>
        <v>3.4754999999999925E-3</v>
      </c>
      <c r="S11">
        <f t="shared" si="4"/>
        <v>-5.4705999999998811E-4</v>
      </c>
      <c r="U11" s="8">
        <f t="shared" si="5"/>
        <v>0.11290943000000001</v>
      </c>
      <c r="V11" s="8">
        <f t="shared" si="6"/>
        <v>1.5733150000000001E-2</v>
      </c>
      <c r="W11" s="8">
        <f t="shared" si="7"/>
        <v>-1.5565280000000001E-2</v>
      </c>
      <c r="X11" s="8">
        <f t="shared" si="8"/>
        <v>-2.6752250000000002E-2</v>
      </c>
      <c r="Y11" s="9">
        <f t="shared" si="9"/>
        <v>6.545968010185728</v>
      </c>
      <c r="Z11" s="9">
        <f t="shared" si="10"/>
        <v>1.7736416153624681</v>
      </c>
      <c r="AA11" s="9">
        <f t="shared" si="11"/>
        <v>7.9326929902591434</v>
      </c>
      <c r="AB11" s="9">
        <f t="shared" si="12"/>
        <v>7.9396439902591434</v>
      </c>
    </row>
    <row r="12" spans="1:28" x14ac:dyDescent="0.25">
      <c r="A12">
        <v>10</v>
      </c>
      <c r="B12">
        <v>202.5</v>
      </c>
      <c r="C12">
        <v>50</v>
      </c>
      <c r="D12" s="1">
        <v>-0.30670106000000003</v>
      </c>
      <c r="E12" s="1">
        <v>-0.31234299999999998</v>
      </c>
      <c r="F12" s="1">
        <v>5.6419399999999998E-3</v>
      </c>
      <c r="G12" s="1">
        <v>0.65466219999999997</v>
      </c>
      <c r="H12" s="1">
        <v>0.65888303999999998</v>
      </c>
      <c r="I12" s="1">
        <v>-4.22084E-3</v>
      </c>
      <c r="J12" s="1">
        <v>0.11593936000000001</v>
      </c>
      <c r="K12" s="1">
        <v>-1.8432279999999999E-2</v>
      </c>
      <c r="L12" s="1">
        <v>0.13437163999999999</v>
      </c>
      <c r="M12" s="1">
        <v>-1.0386279999999999E-2</v>
      </c>
      <c r="N12" s="1">
        <v>-5.2026000000000004E-4</v>
      </c>
      <c r="O12" s="1">
        <v>-9.8660199999999997E-3</v>
      </c>
      <c r="R12">
        <f t="shared" si="13"/>
        <v>2.8209699999999782E-3</v>
      </c>
      <c r="S12">
        <f t="shared" si="4"/>
        <v>-2.1104200000000017E-3</v>
      </c>
      <c r="U12" s="8">
        <f t="shared" si="5"/>
        <v>0.11593936000000001</v>
      </c>
      <c r="V12" s="8">
        <f t="shared" si="6"/>
        <v>-1.0386279999999999E-2</v>
      </c>
      <c r="W12" s="8">
        <f t="shared" si="7"/>
        <v>-1.8432279999999999E-2</v>
      </c>
      <c r="X12" s="8">
        <f t="shared" si="8"/>
        <v>-5.2026000000000004E-4</v>
      </c>
      <c r="Y12" s="9">
        <f t="shared" si="9"/>
        <v>6.6845921201167862</v>
      </c>
      <c r="Z12" s="9">
        <f t="shared" si="10"/>
        <v>1.0565723312101158</v>
      </c>
      <c r="AA12" s="9">
        <f t="shared" si="11"/>
        <v>354.88089535543929</v>
      </c>
      <c r="AB12" s="9">
        <f t="shared" si="12"/>
        <v>354.88653729543927</v>
      </c>
    </row>
    <row r="13" spans="1:28" x14ac:dyDescent="0.25">
      <c r="A13">
        <v>11</v>
      </c>
      <c r="B13">
        <v>225</v>
      </c>
      <c r="C13">
        <v>50</v>
      </c>
      <c r="D13" s="1">
        <v>-0.30613304000000002</v>
      </c>
      <c r="E13" s="1">
        <v>-0.31145400000000001</v>
      </c>
      <c r="F13" s="1">
        <v>5.3209700000000004E-3</v>
      </c>
      <c r="G13" s="1">
        <v>0.651698</v>
      </c>
      <c r="H13" s="1">
        <v>0.65887795999999998</v>
      </c>
      <c r="I13" s="1">
        <v>-7.1799799999999999E-3</v>
      </c>
      <c r="J13" s="1">
        <v>0.10923413</v>
      </c>
      <c r="K13" s="1">
        <v>-1.154966E-2</v>
      </c>
      <c r="L13" s="1">
        <v>0.12078379</v>
      </c>
      <c r="M13" s="1">
        <v>-3.5761330000000001E-2</v>
      </c>
      <c r="N13" s="1">
        <v>2.4963430000000002E-2</v>
      </c>
      <c r="O13" s="1">
        <v>-6.0724760000000003E-2</v>
      </c>
      <c r="R13">
        <f t="shared" si="13"/>
        <v>2.6604799999999929E-3</v>
      </c>
      <c r="S13">
        <f t="shared" si="4"/>
        <v>-3.5899799999999926E-3</v>
      </c>
      <c r="U13" s="8">
        <f t="shared" si="5"/>
        <v>0.10923413</v>
      </c>
      <c r="V13" s="8">
        <f t="shared" si="6"/>
        <v>-3.5761330000000001E-2</v>
      </c>
      <c r="W13" s="8">
        <f t="shared" si="7"/>
        <v>-1.154966E-2</v>
      </c>
      <c r="X13" s="8">
        <f t="shared" si="8"/>
        <v>2.4963430000000002E-2</v>
      </c>
      <c r="Y13" s="9">
        <f t="shared" si="9"/>
        <v>6.6001052104384668</v>
      </c>
      <c r="Z13" s="9">
        <f t="shared" si="10"/>
        <v>1.5761634258911985</v>
      </c>
      <c r="AA13" s="9">
        <f t="shared" si="11"/>
        <v>341.87246485587968</v>
      </c>
      <c r="AB13" s="9">
        <f t="shared" si="12"/>
        <v>341.8777858258797</v>
      </c>
    </row>
    <row r="14" spans="1:28" x14ac:dyDescent="0.25">
      <c r="A14">
        <v>12</v>
      </c>
      <c r="B14">
        <v>247.5</v>
      </c>
      <c r="C14">
        <v>50</v>
      </c>
      <c r="D14" s="1">
        <v>-0.30997202000000001</v>
      </c>
      <c r="E14" s="1">
        <v>-0.30905803999999998</v>
      </c>
      <c r="F14" s="1">
        <v>-9.1398E-4</v>
      </c>
      <c r="G14" s="1">
        <v>0.6528389</v>
      </c>
      <c r="H14" s="1">
        <v>0.65993195999999998</v>
      </c>
      <c r="I14" s="1">
        <v>-7.0930699999999999E-3</v>
      </c>
      <c r="J14" s="1">
        <v>9.3033350000000001E-2</v>
      </c>
      <c r="K14" s="1">
        <v>4.7667999999999999E-3</v>
      </c>
      <c r="L14" s="1">
        <v>8.8266549999999999E-2</v>
      </c>
      <c r="M14" s="1">
        <v>-5.6473580000000002E-2</v>
      </c>
      <c r="N14" s="1">
        <v>4.5825879999999999E-2</v>
      </c>
      <c r="O14" s="1">
        <v>-0.10229945999999999</v>
      </c>
      <c r="R14">
        <f t="shared" si="13"/>
        <v>-4.5699000000001821E-4</v>
      </c>
      <c r="S14">
        <f t="shared" si="4"/>
        <v>-3.5465299999999922E-3</v>
      </c>
      <c r="U14" s="8">
        <f t="shared" si="5"/>
        <v>9.3033350000000001E-2</v>
      </c>
      <c r="V14" s="8">
        <f t="shared" si="6"/>
        <v>-5.6473580000000002E-2</v>
      </c>
      <c r="W14" s="8">
        <f t="shared" si="7"/>
        <v>4.7667999999999999E-3</v>
      </c>
      <c r="X14" s="8">
        <f t="shared" si="8"/>
        <v>4.5825879999999999E-2</v>
      </c>
      <c r="Y14" s="9">
        <f t="shared" si="9"/>
        <v>6.2480071466020153</v>
      </c>
      <c r="Z14" s="9">
        <f t="shared" si="10"/>
        <v>2.640730940765518</v>
      </c>
      <c r="AA14" s="9">
        <f t="shared" si="11"/>
        <v>328.74119769246909</v>
      </c>
      <c r="AB14" s="9">
        <f t="shared" si="12"/>
        <v>328.74028371246908</v>
      </c>
    </row>
    <row r="15" spans="1:28" x14ac:dyDescent="0.25">
      <c r="A15">
        <v>13</v>
      </c>
      <c r="B15">
        <v>270</v>
      </c>
      <c r="C15">
        <v>50</v>
      </c>
      <c r="D15" s="1">
        <v>-0.31029203999999999</v>
      </c>
      <c r="E15" s="1">
        <v>-0.30813499999999999</v>
      </c>
      <c r="F15" s="1">
        <v>-2.1570299999999999E-3</v>
      </c>
      <c r="G15" s="1">
        <v>0.65183199999999997</v>
      </c>
      <c r="H15" s="1">
        <v>0.65944404000000001</v>
      </c>
      <c r="I15" s="1">
        <v>-7.6120500000000004E-3</v>
      </c>
      <c r="J15" s="1">
        <v>7.0142289999999996E-2</v>
      </c>
      <c r="K15" s="1">
        <v>2.763032E-2</v>
      </c>
      <c r="L15" s="1">
        <v>4.2511970000000003E-2</v>
      </c>
      <c r="M15" s="1">
        <v>-6.9437700000000005E-2</v>
      </c>
      <c r="N15" s="1">
        <v>5.9048240000000002E-2</v>
      </c>
      <c r="O15" s="1">
        <v>-0.12848594999999999</v>
      </c>
      <c r="R15">
        <f t="shared" si="13"/>
        <v>-1.0785199999999995E-3</v>
      </c>
      <c r="S15">
        <f t="shared" si="4"/>
        <v>-3.8060200000000211E-3</v>
      </c>
      <c r="U15" s="8">
        <f t="shared" si="5"/>
        <v>7.0142289999999996E-2</v>
      </c>
      <c r="V15" s="8">
        <f t="shared" si="6"/>
        <v>-6.9437700000000005E-2</v>
      </c>
      <c r="W15" s="8">
        <f t="shared" si="7"/>
        <v>2.763032E-2</v>
      </c>
      <c r="X15" s="8">
        <f t="shared" si="8"/>
        <v>5.9048240000000002E-2</v>
      </c>
      <c r="Y15" s="9">
        <f t="shared" si="9"/>
        <v>5.6642704158535988</v>
      </c>
      <c r="Z15" s="9">
        <f t="shared" si="10"/>
        <v>3.7379356048382815</v>
      </c>
      <c r="AA15" s="9">
        <f t="shared" si="11"/>
        <v>315.28922261990948</v>
      </c>
      <c r="AB15" s="9">
        <f t="shared" si="12"/>
        <v>315.2870655899095</v>
      </c>
    </row>
    <row r="16" spans="1:28" x14ac:dyDescent="0.25">
      <c r="A16">
        <v>14</v>
      </c>
      <c r="B16">
        <v>292.5</v>
      </c>
      <c r="C16">
        <v>50</v>
      </c>
      <c r="D16" s="1">
        <v>-0.31010799999999999</v>
      </c>
      <c r="E16" s="1">
        <v>-0.30744502000000001</v>
      </c>
      <c r="F16" s="1">
        <v>-2.6629900000000001E-3</v>
      </c>
      <c r="G16" s="1">
        <v>0.65324207999999995</v>
      </c>
      <c r="H16" s="1">
        <v>0.66064000000000001</v>
      </c>
      <c r="I16" s="1">
        <v>-7.3979500000000004E-3</v>
      </c>
      <c r="J16" s="1">
        <v>4.4048879999999999E-2</v>
      </c>
      <c r="K16" s="1">
        <v>5.4254990000000003E-2</v>
      </c>
      <c r="L16" s="1">
        <v>-1.0206109999999999E-2</v>
      </c>
      <c r="M16" s="1">
        <v>-7.2709910000000003E-2</v>
      </c>
      <c r="N16" s="1">
        <v>6.2309719999999999E-2</v>
      </c>
      <c r="O16" s="1">
        <v>-0.13501963</v>
      </c>
      <c r="R16">
        <f t="shared" si="13"/>
        <v>-1.3314899999999907E-3</v>
      </c>
      <c r="S16">
        <f t="shared" si="4"/>
        <v>-3.6989600000000289E-3</v>
      </c>
      <c r="U16" s="8">
        <f t="shared" si="5"/>
        <v>4.4048879999999999E-2</v>
      </c>
      <c r="V16" s="8">
        <f t="shared" si="6"/>
        <v>-7.2709910000000003E-2</v>
      </c>
      <c r="W16" s="8">
        <f t="shared" si="7"/>
        <v>5.4254990000000003E-2</v>
      </c>
      <c r="X16" s="8">
        <f t="shared" si="8"/>
        <v>6.2309719999999999E-2</v>
      </c>
      <c r="Y16" s="9">
        <f t="shared" si="9"/>
        <v>4.8767131232585337</v>
      </c>
      <c r="Z16" s="9">
        <f t="shared" si="10"/>
        <v>4.7391936021482373</v>
      </c>
      <c r="AA16" s="9">
        <f t="shared" si="11"/>
        <v>301.2081823184667</v>
      </c>
      <c r="AB16" s="9">
        <f t="shared" si="12"/>
        <v>301.20551932846672</v>
      </c>
    </row>
    <row r="17" spans="1:28" x14ac:dyDescent="0.25">
      <c r="A17">
        <v>15</v>
      </c>
      <c r="B17">
        <v>315</v>
      </c>
      <c r="C17">
        <v>50</v>
      </c>
      <c r="D17" s="1">
        <v>-0.31175202000000002</v>
      </c>
      <c r="E17" s="1">
        <v>-0.30555904</v>
      </c>
      <c r="F17" s="1">
        <v>-6.1929799999999998E-3</v>
      </c>
      <c r="G17" s="1">
        <v>0.65542299999999998</v>
      </c>
      <c r="H17" s="1">
        <v>0.65997183999999998</v>
      </c>
      <c r="I17" s="1">
        <v>-4.5488500000000001E-3</v>
      </c>
      <c r="J17" s="1">
        <v>1.831733E-2</v>
      </c>
      <c r="K17" s="1">
        <v>8.0174860000000001E-2</v>
      </c>
      <c r="L17" s="1">
        <v>-6.1857530000000001E-2</v>
      </c>
      <c r="M17" s="1">
        <v>-6.5845799999999996E-2</v>
      </c>
      <c r="N17" s="1">
        <v>5.5142730000000001E-2</v>
      </c>
      <c r="O17" s="1">
        <v>-0.12098852</v>
      </c>
      <c r="R17">
        <f t="shared" si="13"/>
        <v>-3.0964900000000073E-3</v>
      </c>
      <c r="S17">
        <f t="shared" si="4"/>
        <v>-2.2744199999999992E-3</v>
      </c>
      <c r="U17" s="8">
        <f t="shared" si="5"/>
        <v>1.831733E-2</v>
      </c>
      <c r="V17" s="8">
        <f t="shared" si="6"/>
        <v>-6.5845799999999996E-2</v>
      </c>
      <c r="W17" s="8">
        <f t="shared" si="7"/>
        <v>8.0174860000000001E-2</v>
      </c>
      <c r="X17" s="8">
        <f t="shared" si="8"/>
        <v>5.5142730000000001E-2</v>
      </c>
      <c r="Y17" s="9">
        <f t="shared" si="9"/>
        <v>3.9190001081518488</v>
      </c>
      <c r="Z17" s="9">
        <f t="shared" si="10"/>
        <v>5.5841391761087964</v>
      </c>
      <c r="AA17" s="9">
        <f t="shared" si="11"/>
        <v>285.54578250597126</v>
      </c>
      <c r="AB17" s="9">
        <f t="shared" si="12"/>
        <v>285.53958952597128</v>
      </c>
    </row>
    <row r="18" spans="1:28" x14ac:dyDescent="0.25">
      <c r="A18">
        <v>16</v>
      </c>
      <c r="B18">
        <v>337.5</v>
      </c>
      <c r="C18">
        <v>50</v>
      </c>
      <c r="D18" s="1">
        <v>-0.312917</v>
      </c>
      <c r="E18" s="1">
        <v>-0.30483004000000002</v>
      </c>
      <c r="F18" s="1">
        <v>-8.0869500000000007E-3</v>
      </c>
      <c r="G18" s="1">
        <v>0.65417404000000001</v>
      </c>
      <c r="H18" s="1">
        <v>0.65702199999999999</v>
      </c>
      <c r="I18" s="1">
        <v>-2.84797E-3</v>
      </c>
      <c r="J18" s="1">
        <v>-2.0932099999999999E-3</v>
      </c>
      <c r="K18" s="1">
        <v>0.10167062</v>
      </c>
      <c r="L18" s="1">
        <v>-0.10376382000000001</v>
      </c>
      <c r="M18" s="1">
        <v>-4.9652889999999998E-2</v>
      </c>
      <c r="N18" s="1">
        <v>3.8874760000000001E-2</v>
      </c>
      <c r="O18" s="1">
        <v>-8.8527649999999999E-2</v>
      </c>
      <c r="R18">
        <f t="shared" si="13"/>
        <v>-4.0434799999999882E-3</v>
      </c>
      <c r="S18">
        <f t="shared" si="4"/>
        <v>-1.4239799999999914E-3</v>
      </c>
      <c r="U18" s="8">
        <f t="shared" si="5"/>
        <v>-2.0932099999999999E-3</v>
      </c>
      <c r="V18" s="8">
        <f t="shared" si="6"/>
        <v>-4.9652889999999998E-2</v>
      </c>
      <c r="W18" s="8">
        <f t="shared" si="7"/>
        <v>0.10167062</v>
      </c>
      <c r="X18" s="8">
        <f t="shared" si="8"/>
        <v>3.8874760000000001E-2</v>
      </c>
      <c r="Y18" s="9">
        <f t="shared" si="9"/>
        <v>2.8486012924292683</v>
      </c>
      <c r="Z18" s="9">
        <f t="shared" si="10"/>
        <v>6.2489848510650585</v>
      </c>
      <c r="AA18" s="9">
        <f t="shared" si="11"/>
        <v>267.5860191323269</v>
      </c>
      <c r="AB18" s="9">
        <f t="shared" si="12"/>
        <v>267.57793218232689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T13-2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2026-08-02T16:44:54Z</dcterms:modified>
</cp:coreProperties>
</file>