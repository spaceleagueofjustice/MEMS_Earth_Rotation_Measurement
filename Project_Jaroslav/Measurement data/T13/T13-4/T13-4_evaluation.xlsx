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3\T13-4\"/>
    </mc:Choice>
  </mc:AlternateContent>
  <xr:revisionPtr revIDLastSave="0" documentId="13_ncr:1_{2F433229-9592-45DE-B048-7DB036224363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3-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X18" i="1"/>
  <c r="W18" i="1"/>
  <c r="V18" i="1"/>
  <c r="U18" i="1"/>
  <c r="X17" i="1"/>
  <c r="W17" i="1"/>
  <c r="Z17" i="1" s="1"/>
  <c r="V17" i="1"/>
  <c r="U17" i="1"/>
  <c r="X16" i="1"/>
  <c r="W16" i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Z13" i="1" s="1"/>
  <c r="V13" i="1"/>
  <c r="U13" i="1"/>
  <c r="X12" i="1"/>
  <c r="W12" i="1"/>
  <c r="Z12" i="1" s="1"/>
  <c r="V12" i="1"/>
  <c r="U12" i="1"/>
  <c r="Y12" i="1" s="1"/>
  <c r="X11" i="1"/>
  <c r="W11" i="1"/>
  <c r="V11" i="1"/>
  <c r="U11" i="1"/>
  <c r="X10" i="1"/>
  <c r="W10" i="1"/>
  <c r="V10" i="1"/>
  <c r="U10" i="1"/>
  <c r="X9" i="1"/>
  <c r="W9" i="1"/>
  <c r="Z9" i="1" s="1"/>
  <c r="V9" i="1"/>
  <c r="U9" i="1"/>
  <c r="Y9" i="1" s="1"/>
  <c r="X8" i="1"/>
  <c r="W8" i="1"/>
  <c r="V8" i="1"/>
  <c r="U8" i="1"/>
  <c r="X7" i="1"/>
  <c r="W7" i="1"/>
  <c r="V7" i="1"/>
  <c r="U7" i="1"/>
  <c r="X6" i="1"/>
  <c r="W6" i="1"/>
  <c r="Z6" i="1" s="1"/>
  <c r="V6" i="1"/>
  <c r="U6" i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7" i="2"/>
  <c r="G11" i="2"/>
  <c r="G9" i="2"/>
  <c r="Z5" i="1" l="1"/>
  <c r="Z8" i="1"/>
  <c r="Z11" i="1"/>
  <c r="Z16" i="1"/>
  <c r="Y6" i="1"/>
  <c r="Z7" i="1"/>
  <c r="Z10" i="1"/>
  <c r="Y18" i="1"/>
  <c r="Z18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8" i="2" l="1"/>
  <c r="V8" i="2"/>
  <c r="T8" i="2"/>
  <c r="X8" i="2"/>
</calcChain>
</file>

<file path=xl/sharedStrings.xml><?xml version="1.0" encoding="utf-8"?>
<sst xmlns="http://schemas.openxmlformats.org/spreadsheetml/2006/main" count="56" uniqueCount="51">
  <si>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</si>
  <si>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</si>
  <si>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</si>
  <si>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</si>
  <si>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</si>
  <si>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</si>
  <si>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</si>
  <si>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</si>
  <si>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</si>
  <si>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</si>
  <si>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</si>
  <si>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</si>
  <si>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</si>
  <si>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</si>
  <si>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</si>
  <si>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</si>
  <si>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</si>
  <si>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</si>
  <si>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</si>
  <si>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</si>
  <si>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</si>
  <si>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Description:</t>
  </si>
  <si>
    <t>Rotation direction</t>
  </si>
  <si>
    <t>CW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</si>
  <si>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</si>
  <si>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</si>
  <si>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</si>
  <si>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</si>
  <si>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</si>
  <si>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</si>
  <si>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</si>
  <si>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</si>
  <si>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</si>
  <si>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Azimuth-Dependence Test (Randomized Step Scan, Off-North Start, Tilted Mount)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</si>
  <si>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</si>
  <si>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</si>
  <si>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</si>
  <si>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</si>
  <si>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</si>
  <si>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</si>
  <si>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</si>
  <si>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</si>
  <si>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</si>
  <si>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</si>
  <si>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</si>
  <si>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</si>
  <si>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</si>
  <si>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</si>
  <si>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</si>
  <si>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T13-3</t>
  </si>
  <si>
    <t xml:space="preserve">- 16*22,5° random position, full 360°
- mount azimuth to 180°
- start azimuth 0° (north)
- measuring plane level
- rotation CW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</si>
</sst>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'T13-4'!$R$2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'T13-4'!$B$3:$B$18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'T13-4'!$R$3:$R$18</c:f>
              <c:numCache>
                <c:formatCode>General</c:formatCode>
                <c:ptCount val="16"/>
                <c:pt idx="0">
                  <c:v>-3.2850999999997632E-4</c:v>
                </c:pt>
                <c:pt idx="1">
                  <c:v>-1.725040000000011E-3</c:v>
                </c:pt>
                <c:pt idx="2">
                  <c:v>-9.2702999999999536E-4</c:v>
                </c:pt>
                <c:pt idx="3">
                  <c:v>9.4701999999999287E-4</c:v>
                </c:pt>
                <c:pt idx="4">
                  <c:v>2.3585399999999923E-3</c:v>
                </c:pt>
                <c:pt idx="5">
                  <c:v>3.5260299999999994E-3</c:v>
                </c:pt>
                <c:pt idx="6">
                  <c:v>3.5744800000000049E-3</c:v>
                </c:pt>
                <c:pt idx="7">
                  <c:v>2.3630600000000002E-3</c:v>
                </c:pt>
                <c:pt idx="8">
                  <c:v>3.4154799999999846E-3</c:v>
                </c:pt>
                <c:pt idx="9">
                  <c:v>1.3549800000000056E-3</c:v>
                </c:pt>
                <c:pt idx="10">
                  <c:v>-1.9852000000000758E-4</c:v>
                </c:pt>
                <c:pt idx="11">
                  <c:v>-1.2110200000000071E-3</c:v>
                </c:pt>
                <c:pt idx="12">
                  <c:v>-2.6275000000000048E-3</c:v>
                </c:pt>
                <c:pt idx="13">
                  <c:v>-2.6970199999999944E-3</c:v>
                </c:pt>
                <c:pt idx="14">
                  <c:v>-2.3250199999999832E-3</c:v>
                </c:pt>
                <c:pt idx="15">
                  <c:v>-1.4674799999999932E-3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'T13-4'!$S$2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'T13-4'!$B$3:$B$18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'T13-4'!$S$3:$S$18</c:f>
              <c:numCache>
                <c:formatCode>General</c:formatCode>
                <c:ptCount val="16"/>
                <c:pt idx="0">
                  <c:v>1.7199999999999993E-3</c:v>
                </c:pt>
                <c:pt idx="1">
                  <c:v>1.8480200000000058E-3</c:v>
                </c:pt>
                <c:pt idx="2">
                  <c:v>3.8245599999999769E-3</c:v>
                </c:pt>
                <c:pt idx="3">
                  <c:v>2.6899799999999807E-3</c:v>
                </c:pt>
                <c:pt idx="4">
                  <c:v>2.5305200000000083E-3</c:v>
                </c:pt>
                <c:pt idx="5">
                  <c:v>1.4174999999999882E-3</c:v>
                </c:pt>
                <c:pt idx="6">
                  <c:v>1.0405400000000065E-3</c:v>
                </c:pt>
                <c:pt idx="7">
                  <c:v>-6.4543999999999713E-4</c:v>
                </c:pt>
                <c:pt idx="8">
                  <c:v>-9.2945999999999307E-4</c:v>
                </c:pt>
                <c:pt idx="9">
                  <c:v>-1.4629599999999854E-3</c:v>
                </c:pt>
                <c:pt idx="10">
                  <c:v>-2.4235200000000123E-3</c:v>
                </c:pt>
                <c:pt idx="11">
                  <c:v>-1.7389800000000011E-3</c:v>
                </c:pt>
                <c:pt idx="12">
                  <c:v>-2.4980200000000174E-3</c:v>
                </c:pt>
                <c:pt idx="13">
                  <c:v>-3.1948000000001087E-4</c:v>
                </c:pt>
                <c:pt idx="14">
                  <c:v>-1.2504799999999983E-3</c:v>
                </c:pt>
                <c:pt idx="15">
                  <c:v>1.5239800000000081E-3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'T13-4'!$L$2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'T13-4'!$L$3:$L$18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-1.338113E-2</c:v>
                      </c:pt>
                      <c:pt idx="1">
                        <c:v>1.3562009999999999E-2</c:v>
                      </c:pt>
                      <c:pt idx="2">
                        <c:v>3.667724E-2</c:v>
                      </c:pt>
                      <c:pt idx="3">
                        <c:v>5.52606E-2</c:v>
                      </c:pt>
                      <c:pt idx="4">
                        <c:v>6.4948919999999993E-2</c:v>
                      </c:pt>
                      <c:pt idx="5">
                        <c:v>6.448247E-2</c:v>
                      </c:pt>
                      <c:pt idx="6">
                        <c:v>5.3526219999999999E-2</c:v>
                      </c:pt>
                      <c:pt idx="7">
                        <c:v>3.4940039999999999E-2</c:v>
                      </c:pt>
                      <c:pt idx="8">
                        <c:v>1.139926E-2</c:v>
                      </c:pt>
                      <c:pt idx="9">
                        <c:v>-1.469145E-2</c:v>
                      </c:pt>
                      <c:pt idx="10">
                        <c:v>-3.9690860000000001E-2</c:v>
                      </c:pt>
                      <c:pt idx="11">
                        <c:v>-5.6879100000000002E-2</c:v>
                      </c:pt>
                      <c:pt idx="12">
                        <c:v>-6.6876169999999999E-2</c:v>
                      </c:pt>
                      <c:pt idx="13">
                        <c:v>-6.6502839999999994E-2</c:v>
                      </c:pt>
                      <c:pt idx="14">
                        <c:v>-5.694312E-2</c:v>
                      </c:pt>
                      <c:pt idx="15">
                        <c:v>-3.7349159999999999E-2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'T13-4'!$O$2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'T13-4'!$O$3:$O$18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6.4558050000000006E-2</c:v>
                      </c:pt>
                      <c:pt idx="1">
                        <c:v>6.5369919999999998E-2</c:v>
                      </c:pt>
                      <c:pt idx="2">
                        <c:v>5.5285649999999999E-2</c:v>
                      </c:pt>
                      <c:pt idx="3">
                        <c:v>3.6621000000000001E-2</c:v>
                      </c:pt>
                      <c:pt idx="4">
                        <c:v>1.252754E-2</c:v>
                      </c:pt>
                      <c:pt idx="5">
                        <c:v>-1.3677679999999999E-2</c:v>
                      </c:pt>
                      <c:pt idx="6">
                        <c:v>-3.7392330000000001E-2</c:v>
                      </c:pt>
                      <c:pt idx="7">
                        <c:v>-5.574962E-2</c:v>
                      </c:pt>
                      <c:pt idx="8">
                        <c:v>-6.5373000000000001E-2</c:v>
                      </c:pt>
                      <c:pt idx="9">
                        <c:v>-6.5305959999999996E-2</c:v>
                      </c:pt>
                      <c:pt idx="10">
                        <c:v>-5.5313229999999998E-2</c:v>
                      </c:pt>
                      <c:pt idx="11">
                        <c:v>-3.6760260000000003E-2</c:v>
                      </c:pt>
                      <c:pt idx="12">
                        <c:v>-1.294243E-2</c:v>
                      </c:pt>
                      <c:pt idx="13">
                        <c:v>1.3247510000000001E-2</c:v>
                      </c:pt>
                      <c:pt idx="14">
                        <c:v>3.690645E-2</c:v>
                      </c:pt>
                      <c:pt idx="15">
                        <c:v>5.509414E-2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'T13-4'!$Y$2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'T13-4'!$B$3:$B$18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'T13-4'!$Y$3:$Y$18</c:f>
              <c:numCache>
                <c:formatCode>0.00</c:formatCode>
                <c:ptCount val="16"/>
                <c:pt idx="0">
                  <c:v>2.717686429535966</c:v>
                </c:pt>
                <c:pt idx="1">
                  <c:v>3.3073215551881154</c:v>
                </c:pt>
                <c:pt idx="2">
                  <c:v>3.8241675662710337</c:v>
                </c:pt>
                <c:pt idx="3">
                  <c:v>4.2169346249469255</c:v>
                </c:pt>
                <c:pt idx="4">
                  <c:v>4.462139219683837</c:v>
                </c:pt>
                <c:pt idx="5">
                  <c:v>4.504784083495232</c:v>
                </c:pt>
                <c:pt idx="6">
                  <c:v>4.4049229124080984</c:v>
                </c:pt>
                <c:pt idx="7">
                  <c:v>4.1302228186552243</c:v>
                </c:pt>
                <c:pt idx="8">
                  <c:v>3.7006192254456773</c:v>
                </c:pt>
                <c:pt idx="9">
                  <c:v>3.1484678024860262</c:v>
                </c:pt>
                <c:pt idx="10">
                  <c:v>2.4707969172672271</c:v>
                </c:pt>
                <c:pt idx="11">
                  <c:v>1.7498021902692258</c:v>
                </c:pt>
                <c:pt idx="12">
                  <c:v>1.033562251995922</c:v>
                </c:pt>
                <c:pt idx="13">
                  <c:v>0.70120292613974855</c:v>
                </c:pt>
                <c:pt idx="14">
                  <c:v>1.1878808755083512</c:v>
                </c:pt>
                <c:pt idx="15">
                  <c:v>1.9771143769740893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'T13-4'!$Z$2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'T13-4'!$B$3:$B$18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'T13-4'!$Z$3:$Z$18</c:f>
              <c:numCache>
                <c:formatCode>0.00</c:formatCode>
                <c:ptCount val="16"/>
                <c:pt idx="0">
                  <c:v>3.781140107851769</c:v>
                </c:pt>
                <c:pt idx="1">
                  <c:v>3.1554850991945336</c:v>
                </c:pt>
                <c:pt idx="2">
                  <c:v>2.5112636861489945</c:v>
                </c:pt>
                <c:pt idx="3">
                  <c:v>1.7577463598108496</c:v>
                </c:pt>
                <c:pt idx="4">
                  <c:v>1.0547944409485299</c:v>
                </c:pt>
                <c:pt idx="5">
                  <c:v>0.73631864245842449</c:v>
                </c:pt>
                <c:pt idx="6">
                  <c:v>1.2690076115100071</c:v>
                </c:pt>
                <c:pt idx="7">
                  <c:v>2.0035601631453721</c:v>
                </c:pt>
                <c:pt idx="8">
                  <c:v>2.6980888284325353</c:v>
                </c:pt>
                <c:pt idx="9">
                  <c:v>3.3593317902580075</c:v>
                </c:pt>
                <c:pt idx="10">
                  <c:v>3.932497224282502</c:v>
                </c:pt>
                <c:pt idx="11">
                  <c:v>4.2906713283896174</c:v>
                </c:pt>
                <c:pt idx="12">
                  <c:v>4.5361770771026215</c:v>
                </c:pt>
                <c:pt idx="13">
                  <c:v>4.5815934841192432</c:v>
                </c:pt>
                <c:pt idx="14">
                  <c:v>4.4848666002630795</c:v>
                </c:pt>
                <c:pt idx="15">
                  <c:v>4.2055117335106722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12</xdr:col>
      <xdr:colOff>0</xdr:colOff>
      <xdr:row>47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19</xdr:row>
      <xdr:rowOff>0</xdr:rowOff>
    </xdr:from>
    <xdr:to>
      <xdr:col>25</xdr:col>
      <xdr:colOff>1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7"/>
  <sheetViews>
    <sheetView tabSelected="1" zoomScaleNormal="100" workbookViewId="0">
      <selection activeCell="G8" sqref="G8:H8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36" t="s">
        <v>32</v>
      </c>
      <c r="B1" s="36"/>
      <c r="C1" s="36" t="s">
        <v>49</v>
      </c>
      <c r="D1" s="36"/>
      <c r="E1" s="36" t="s">
        <v>33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4" spans="1:25" x14ac:dyDescent="0.25">
      <c r="A4" s="35" t="s">
        <v>34</v>
      </c>
      <c r="B4" s="35"/>
      <c r="C4" s="35"/>
      <c r="D4" s="35"/>
      <c r="E4" s="35"/>
      <c r="F4" s="35"/>
      <c r="G4" s="13">
        <v>180</v>
      </c>
      <c r="H4" s="14"/>
      <c r="I4" s="3" t="s">
        <v>19</v>
      </c>
      <c r="K4" s="39" t="s">
        <v>21</v>
      </c>
      <c r="L4" s="39"/>
      <c r="M4" s="39"/>
      <c r="N4" s="39"/>
      <c r="O4" s="39"/>
      <c r="P4" s="39"/>
      <c r="R4" s="37" t="s">
        <v>28</v>
      </c>
      <c r="S4" s="37"/>
      <c r="T4" s="37" t="s">
        <v>29</v>
      </c>
      <c r="U4" s="37"/>
      <c r="V4" s="37" t="s">
        <v>30</v>
      </c>
      <c r="W4" s="37"/>
      <c r="X4" s="37" t="s">
        <v>31</v>
      </c>
      <c r="Y4" s="37"/>
    </row>
    <row r="5" spans="1:25" x14ac:dyDescent="0.25">
      <c r="A5" s="10" t="s">
        <v>35</v>
      </c>
      <c r="B5" s="11"/>
      <c r="C5" s="11"/>
      <c r="D5" s="11"/>
      <c r="E5" s="11"/>
      <c r="F5" s="12"/>
      <c r="G5" s="13">
        <v>0</v>
      </c>
      <c r="H5" s="14"/>
      <c r="I5" s="3" t="s">
        <v>19</v>
      </c>
      <c r="K5" s="15" t="s">
        <v>50</v>
      </c>
      <c r="L5" s="16"/>
      <c r="M5" s="16"/>
      <c r="N5" s="16"/>
      <c r="O5" s="16"/>
      <c r="P5" s="17"/>
      <c r="R5" s="37"/>
      <c r="S5" s="37"/>
      <c r="T5" s="37"/>
      <c r="U5" s="37"/>
      <c r="V5" s="37"/>
      <c r="W5" s="37"/>
      <c r="X5" s="37"/>
      <c r="Y5" s="37"/>
    </row>
    <row r="6" spans="1:25" x14ac:dyDescent="0.25">
      <c r="A6" s="35" t="s">
        <v>36</v>
      </c>
      <c r="B6" s="35"/>
      <c r="C6" s="35"/>
      <c r="D6" s="35"/>
      <c r="E6" s="35"/>
      <c r="F6" s="35"/>
      <c r="G6" s="34">
        <v>0</v>
      </c>
      <c r="H6" s="34"/>
      <c r="I6" s="3" t="s">
        <v>27</v>
      </c>
      <c r="K6" s="18"/>
      <c r="L6" s="19"/>
      <c r="M6" s="19"/>
      <c r="N6" s="19"/>
      <c r="O6" s="19"/>
      <c r="P6" s="20"/>
      <c r="R6" s="37"/>
      <c r="S6" s="37"/>
      <c r="T6" s="37"/>
      <c r="U6" s="37"/>
      <c r="V6" s="37"/>
      <c r="W6" s="37"/>
      <c r="X6" s="37"/>
      <c r="Y6" s="37"/>
    </row>
    <row r="7" spans="1:25" ht="15.75" customHeight="1" x14ac:dyDescent="0.25">
      <c r="A7" s="35" t="s">
        <v>16</v>
      </c>
      <c r="B7" s="35"/>
      <c r="C7" s="35"/>
      <c r="D7" s="35"/>
      <c r="E7" s="35"/>
      <c r="F7" s="35"/>
      <c r="G7" s="38">
        <f>360/((23*60*60)+(56*60)+4.09)</f>
        <v>4.1780746480349299E-3</v>
      </c>
      <c r="H7" s="38"/>
      <c r="I7" s="3" t="s">
        <v>17</v>
      </c>
      <c r="K7" s="18"/>
      <c r="L7" s="19"/>
      <c r="M7" s="19"/>
      <c r="N7" s="19"/>
      <c r="O7" s="19"/>
      <c r="P7" s="20"/>
      <c r="R7" s="37"/>
      <c r="S7" s="37"/>
      <c r="T7" s="37"/>
      <c r="U7" s="37"/>
      <c r="V7" s="37"/>
      <c r="W7" s="37"/>
      <c r="X7" s="37"/>
      <c r="Y7" s="37"/>
    </row>
    <row r="8" spans="1:25" x14ac:dyDescent="0.25">
      <c r="A8" s="35" t="s">
        <v>18</v>
      </c>
      <c r="B8" s="35"/>
      <c r="C8" s="35"/>
      <c r="D8" s="35"/>
      <c r="E8" s="35"/>
      <c r="F8" s="35"/>
      <c r="G8" s="34">
        <v>49</v>
      </c>
      <c r="H8" s="34"/>
      <c r="I8" s="3" t="s">
        <v>19</v>
      </c>
      <c r="K8" s="18"/>
      <c r="L8" s="19"/>
      <c r="M8" s="19"/>
      <c r="N8" s="19"/>
      <c r="O8" s="19"/>
      <c r="P8" s="20"/>
      <c r="R8" s="40">
        <f>MIN('T13-4'!R3:R18)</f>
        <v>-2.6970199999999944E-3</v>
      </c>
      <c r="S8" s="40"/>
      <c r="T8" s="40">
        <f>MIN('T13-4'!S3:S18)</f>
        <v>-2.4980200000000174E-3</v>
      </c>
      <c r="U8" s="40"/>
      <c r="V8" s="40">
        <f>MAX('T13-4'!R3:R18)</f>
        <v>3.5744800000000049E-3</v>
      </c>
      <c r="W8" s="40"/>
      <c r="X8" s="40">
        <f>MAX('T13-4'!S3:S18)</f>
        <v>3.8245599999999769E-3</v>
      </c>
      <c r="Y8" s="40"/>
    </row>
    <row r="9" spans="1:25" ht="15.75" customHeight="1" x14ac:dyDescent="0.25">
      <c r="A9" s="29" t="s">
        <v>20</v>
      </c>
      <c r="B9" s="30"/>
      <c r="C9" s="30"/>
      <c r="D9" s="30"/>
      <c r="E9" s="30"/>
      <c r="F9" s="31"/>
      <c r="G9" s="32">
        <f>(COS(RADIANS(G8))*G7)</f>
        <v>2.7410635966396515E-3</v>
      </c>
      <c r="H9" s="33"/>
      <c r="I9" s="4" t="s">
        <v>17</v>
      </c>
      <c r="K9" s="18"/>
      <c r="L9" s="19"/>
      <c r="M9" s="19"/>
      <c r="N9" s="19"/>
      <c r="O9" s="19"/>
      <c r="P9" s="20"/>
      <c r="R9" s="40"/>
      <c r="S9" s="40"/>
      <c r="T9" s="40"/>
      <c r="U9" s="40"/>
      <c r="V9" s="40"/>
      <c r="W9" s="40"/>
      <c r="X9" s="40"/>
      <c r="Y9" s="40"/>
    </row>
    <row r="10" spans="1:25" x14ac:dyDescent="0.25">
      <c r="A10" s="35" t="s">
        <v>37</v>
      </c>
      <c r="B10" s="35"/>
      <c r="C10" s="35"/>
      <c r="D10" s="35"/>
      <c r="E10" s="35"/>
      <c r="F10" s="35"/>
      <c r="G10" s="34">
        <v>22.5</v>
      </c>
      <c r="H10" s="34"/>
      <c r="I10" s="3" t="s">
        <v>19</v>
      </c>
      <c r="K10" s="18"/>
      <c r="L10" s="19"/>
      <c r="M10" s="19"/>
      <c r="N10" s="19"/>
      <c r="O10" s="19"/>
      <c r="P10" s="20"/>
    </row>
    <row r="11" spans="1:25" x14ac:dyDescent="0.25">
      <c r="A11" s="10" t="s">
        <v>38</v>
      </c>
      <c r="B11" s="11"/>
      <c r="C11" s="11"/>
      <c r="D11" s="11"/>
      <c r="E11" s="11"/>
      <c r="F11" s="12"/>
      <c r="G11" s="13">
        <f>360/G10</f>
        <v>16</v>
      </c>
      <c r="H11" s="14"/>
      <c r="I11" s="3"/>
      <c r="K11" s="18"/>
      <c r="L11" s="19"/>
      <c r="M11" s="19"/>
      <c r="N11" s="19"/>
      <c r="O11" s="19"/>
      <c r="P11" s="20"/>
    </row>
    <row r="12" spans="1:25" x14ac:dyDescent="0.25">
      <c r="A12" s="35" t="s">
        <v>22</v>
      </c>
      <c r="B12" s="35"/>
      <c r="C12" s="35"/>
      <c r="D12" s="35"/>
      <c r="E12" s="35"/>
      <c r="F12" s="35"/>
      <c r="G12" s="34" t="s">
        <v>23</v>
      </c>
      <c r="H12" s="34"/>
      <c r="I12" s="3"/>
      <c r="K12" s="18"/>
      <c r="L12" s="19"/>
      <c r="M12" s="19"/>
      <c r="N12" s="19"/>
      <c r="O12" s="19"/>
      <c r="P12" s="20"/>
    </row>
    <row r="13" spans="1:25" x14ac:dyDescent="0.25">
      <c r="A13" s="10" t="s">
        <v>24</v>
      </c>
      <c r="B13" s="11"/>
      <c r="C13" s="11"/>
      <c r="D13" s="11"/>
      <c r="E13" s="11"/>
      <c r="F13" s="12"/>
      <c r="G13" s="13">
        <v>50</v>
      </c>
      <c r="H13" s="14"/>
      <c r="I13" s="3"/>
      <c r="K13" s="18"/>
      <c r="L13" s="19"/>
      <c r="M13" s="19"/>
      <c r="N13" s="19"/>
      <c r="O13" s="19"/>
      <c r="P13" s="20"/>
    </row>
    <row r="14" spans="1:25" x14ac:dyDescent="0.25">
      <c r="A14" s="10" t="s">
        <v>25</v>
      </c>
      <c r="B14" s="11"/>
      <c r="C14" s="11"/>
      <c r="D14" s="11"/>
      <c r="E14" s="11"/>
      <c r="F14" s="12"/>
      <c r="G14" s="13">
        <v>200</v>
      </c>
      <c r="H14" s="14"/>
      <c r="I14" s="3"/>
      <c r="K14" s="18"/>
      <c r="L14" s="19"/>
      <c r="M14" s="19"/>
      <c r="N14" s="19"/>
      <c r="O14" s="19"/>
      <c r="P14" s="20"/>
      <c r="R14" s="42"/>
      <c r="S14" s="42"/>
      <c r="T14" s="42"/>
      <c r="U14" s="42"/>
      <c r="V14" s="42"/>
      <c r="W14" s="42"/>
      <c r="X14" s="42"/>
      <c r="Y14" s="42"/>
    </row>
    <row r="15" spans="1:25" x14ac:dyDescent="0.25">
      <c r="A15" s="10" t="s">
        <v>26</v>
      </c>
      <c r="B15" s="11"/>
      <c r="C15" s="11"/>
      <c r="D15" s="11"/>
      <c r="E15" s="11"/>
      <c r="F15" s="12"/>
      <c r="G15" s="13">
        <v>50</v>
      </c>
      <c r="H15" s="14"/>
      <c r="I15" s="3"/>
      <c r="K15" s="18"/>
      <c r="L15" s="19"/>
      <c r="M15" s="19"/>
      <c r="N15" s="19"/>
      <c r="O15" s="19"/>
      <c r="P15" s="20"/>
      <c r="R15" s="42"/>
      <c r="S15" s="42"/>
      <c r="T15" s="42"/>
      <c r="U15" s="42"/>
      <c r="V15" s="42"/>
      <c r="W15" s="42"/>
      <c r="X15" s="42"/>
      <c r="Y15" s="42"/>
    </row>
    <row r="16" spans="1:25" x14ac:dyDescent="0.25">
      <c r="A16" s="24" t="s">
        <v>40</v>
      </c>
      <c r="B16" s="25"/>
      <c r="C16" s="25"/>
      <c r="D16" s="25"/>
      <c r="E16" s="25"/>
      <c r="F16" s="26"/>
      <c r="G16" s="27">
        <v>365</v>
      </c>
      <c r="H16" s="28"/>
      <c r="I16" s="5" t="s">
        <v>19</v>
      </c>
      <c r="K16" s="18"/>
      <c r="L16" s="19"/>
      <c r="M16" s="19"/>
      <c r="N16" s="19"/>
      <c r="O16" s="19"/>
      <c r="P16" s="20"/>
      <c r="R16" s="41"/>
      <c r="S16" s="41"/>
      <c r="T16" s="42"/>
      <c r="U16" s="42"/>
      <c r="V16" s="42"/>
      <c r="W16" s="42"/>
      <c r="X16" s="42"/>
      <c r="Y16" s="42"/>
    </row>
    <row r="17" spans="1:25" x14ac:dyDescent="0.25">
      <c r="A17" s="24" t="s">
        <v>39</v>
      </c>
      <c r="B17" s="25"/>
      <c r="C17" s="25"/>
      <c r="D17" s="25"/>
      <c r="E17" s="25"/>
      <c r="F17" s="26"/>
      <c r="G17" s="27">
        <f>G11*G13*G14</f>
        <v>160000</v>
      </c>
      <c r="H17" s="28"/>
      <c r="I17" s="3"/>
      <c r="K17" s="21"/>
      <c r="L17" s="22"/>
      <c r="M17" s="22"/>
      <c r="N17" s="22"/>
      <c r="O17" s="22"/>
      <c r="P17" s="23"/>
      <c r="R17" s="41"/>
      <c r="S17" s="41"/>
      <c r="T17" s="42"/>
      <c r="U17" s="42"/>
      <c r="V17" s="42"/>
      <c r="W17" s="42"/>
      <c r="X17" s="42"/>
      <c r="Y17" s="42"/>
    </row>
  </sheetData>
  <mergeCells count="49">
    <mergeCell ref="R16:S17"/>
    <mergeCell ref="T16:U17"/>
    <mergeCell ref="V16:W17"/>
    <mergeCell ref="X16:Y17"/>
    <mergeCell ref="R14:S15"/>
    <mergeCell ref="T14:U15"/>
    <mergeCell ref="V14:W15"/>
    <mergeCell ref="X14:Y15"/>
    <mergeCell ref="A12:F12"/>
    <mergeCell ref="A17:F17"/>
    <mergeCell ref="A13:F13"/>
    <mergeCell ref="A14:F14"/>
    <mergeCell ref="A15:F15"/>
    <mergeCell ref="R8:S9"/>
    <mergeCell ref="T4:U7"/>
    <mergeCell ref="V4:W7"/>
    <mergeCell ref="X4:Y7"/>
    <mergeCell ref="T8:U9"/>
    <mergeCell ref="V8:W9"/>
    <mergeCell ref="X8:Y9"/>
    <mergeCell ref="G4:H4"/>
    <mergeCell ref="A1:B2"/>
    <mergeCell ref="C1:D2"/>
    <mergeCell ref="E1:Y2"/>
    <mergeCell ref="R4:S7"/>
    <mergeCell ref="G7:H7"/>
    <mergeCell ref="A5:F5"/>
    <mergeCell ref="G5:H5"/>
    <mergeCell ref="A6:F6"/>
    <mergeCell ref="G6:H6"/>
    <mergeCell ref="K4:P4"/>
    <mergeCell ref="A4:F4"/>
    <mergeCell ref="A7:F7"/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J41" sqref="J41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41</v>
      </c>
      <c r="V2" s="7" t="s">
        <v>42</v>
      </c>
      <c r="W2" s="7" t="s">
        <v>43</v>
      </c>
      <c r="X2" s="7" t="s">
        <v>44</v>
      </c>
      <c r="Y2" s="7" t="s">
        <v>45</v>
      </c>
      <c r="Z2" s="6" t="s">
        <v>46</v>
      </c>
      <c r="AA2" s="6" t="s">
        <v>47</v>
      </c>
      <c r="AB2" s="6" t="s">
        <v>48</v>
      </c>
    </row>
    <row r="3" spans="1:28" x14ac:dyDescent="0.25">
      <c r="A3">
        <v>1</v>
      </c>
      <c r="B3">
        <v>0</v>
      </c>
      <c r="C3">
        <v>50</v>
      </c>
      <c r="D3" s="1">
        <v>-0.25389605999999998</v>
      </c>
      <c r="E3" s="1">
        <v>-0.25323904000000003</v>
      </c>
      <c r="F3" s="1">
        <v>-6.5702000000000002E-4</v>
      </c>
      <c r="G3" s="1">
        <v>0.45680399999999999</v>
      </c>
      <c r="H3" s="1">
        <v>0.45336399999999999</v>
      </c>
      <c r="I3" s="1">
        <v>3.4400199999999998E-3</v>
      </c>
      <c r="J3" s="1">
        <v>3.9870999999999997E-2</v>
      </c>
      <c r="K3" s="1">
        <v>5.3252140000000003E-2</v>
      </c>
      <c r="L3" s="1">
        <v>-1.338113E-2</v>
      </c>
      <c r="M3" s="1">
        <v>2.566059E-2</v>
      </c>
      <c r="N3" s="1">
        <v>-3.8897460000000002E-2</v>
      </c>
      <c r="O3" s="1">
        <v>6.4558050000000006E-2</v>
      </c>
      <c r="R3">
        <f>(D3-E3)/2</f>
        <v>-3.2850999999997632E-4</v>
      </c>
      <c r="S3">
        <f>(G3-H3)/2</f>
        <v>1.7199999999999993E-3</v>
      </c>
      <c r="U3" s="8">
        <f>J3</f>
        <v>3.9870999999999997E-2</v>
      </c>
      <c r="V3" s="8">
        <f>M3</f>
        <v>2.566059E-2</v>
      </c>
      <c r="W3" s="8">
        <f>K3</f>
        <v>5.3252140000000003E-2</v>
      </c>
      <c r="X3" s="8">
        <f>N3</f>
        <v>-3.8897460000000002E-2</v>
      </c>
      <c r="Y3" s="9">
        <f t="shared" ref="Y3" si="0">IF(U3="","",DEGREES(ASIN(SQRT(U3^2+V3^2))))</f>
        <v>2.717686429535966</v>
      </c>
      <c r="Z3" s="9">
        <f t="shared" ref="Z3" si="1">IF(W3="","",DEGREES(ASIN(SQRT(W3^2+X3^2))))</f>
        <v>3.781140107851769</v>
      </c>
      <c r="AA3" s="9">
        <f t="shared" ref="AA3" si="2">IF(U3="","",MOD(DEGREES(ATAN2(U3,V3)),360))</f>
        <v>32.764940757654188</v>
      </c>
      <c r="AB3" s="9">
        <f t="shared" ref="AB3" si="3">IF(U3="","",MOD(F3+AA3,360))</f>
        <v>32.764283737654189</v>
      </c>
    </row>
    <row r="4" spans="1:28" x14ac:dyDescent="0.25">
      <c r="A4">
        <v>2</v>
      </c>
      <c r="B4">
        <v>22.5</v>
      </c>
      <c r="C4">
        <v>50</v>
      </c>
      <c r="D4" s="1">
        <v>-0.25598300000000002</v>
      </c>
      <c r="E4" s="1">
        <v>-0.25253291999999999</v>
      </c>
      <c r="F4" s="1">
        <v>-3.45007E-3</v>
      </c>
      <c r="G4" s="1">
        <v>0.45677800000000002</v>
      </c>
      <c r="H4" s="1">
        <v>0.45308196000000001</v>
      </c>
      <c r="I4" s="1">
        <v>3.6960500000000002E-3</v>
      </c>
      <c r="J4" s="1">
        <v>5.1674610000000003E-2</v>
      </c>
      <c r="K4" s="1">
        <v>3.8112600000000003E-2</v>
      </c>
      <c r="L4" s="1">
        <v>1.3562009999999999E-2</v>
      </c>
      <c r="M4" s="1">
        <v>2.5652589999999999E-2</v>
      </c>
      <c r="N4" s="1">
        <v>-3.9717330000000002E-2</v>
      </c>
      <c r="O4" s="1">
        <v>6.5369919999999998E-2</v>
      </c>
      <c r="R4">
        <f>(D4-E4)/2</f>
        <v>-1.725040000000011E-3</v>
      </c>
      <c r="S4">
        <f t="shared" ref="S4:S18" si="4">(G4-H4)/2</f>
        <v>1.8480200000000058E-3</v>
      </c>
      <c r="U4" s="8">
        <f t="shared" ref="U4:U18" si="5">J4</f>
        <v>5.1674610000000003E-2</v>
      </c>
      <c r="V4" s="8">
        <f t="shared" ref="V4:V18" si="6">M4</f>
        <v>2.5652589999999999E-2</v>
      </c>
      <c r="W4" s="8">
        <f t="shared" ref="W4:W18" si="7">K4</f>
        <v>3.8112600000000003E-2</v>
      </c>
      <c r="X4" s="8">
        <f t="shared" ref="X4:X18" si="8">N4</f>
        <v>-3.9717330000000002E-2</v>
      </c>
      <c r="Y4" s="9">
        <f t="shared" ref="Y4:Y18" si="9">IF(U4="","",DEGREES(ASIN(SQRT(U4^2+V4^2))))</f>
        <v>3.3073215551881154</v>
      </c>
      <c r="Z4" s="9">
        <f t="shared" ref="Z4:Z18" si="10">IF(W4="","",DEGREES(ASIN(SQRT(W4^2+X4^2))))</f>
        <v>3.1554850991945336</v>
      </c>
      <c r="AA4" s="9">
        <f t="shared" ref="AA4:AA18" si="11">IF(U4="","",MOD(DEGREES(ATAN2(U4,V4)),360))</f>
        <v>26.400970363311917</v>
      </c>
      <c r="AB4" s="9">
        <f t="shared" ref="AB4:AB18" si="12">IF(U4="","",MOD(F4+AA4,360))</f>
        <v>26.397520293311917</v>
      </c>
    </row>
    <row r="5" spans="1:28" x14ac:dyDescent="0.25">
      <c r="A5">
        <v>3</v>
      </c>
      <c r="B5">
        <v>45</v>
      </c>
      <c r="C5">
        <v>50</v>
      </c>
      <c r="D5" s="1">
        <v>-0.25495403999999999</v>
      </c>
      <c r="E5" s="1">
        <v>-0.25309998</v>
      </c>
      <c r="F5" s="1">
        <v>-1.85406E-3</v>
      </c>
      <c r="G5" s="1">
        <v>0.45905207999999997</v>
      </c>
      <c r="H5" s="1">
        <v>0.45140296000000002</v>
      </c>
      <c r="I5" s="1">
        <v>7.6490899999999999E-3</v>
      </c>
      <c r="J5" s="1">
        <v>6.3436759999999995E-2</v>
      </c>
      <c r="K5" s="1">
        <v>2.6759519999999998E-2</v>
      </c>
      <c r="L5" s="1">
        <v>3.667724E-2</v>
      </c>
      <c r="M5" s="1">
        <v>2.0590529999999999E-2</v>
      </c>
      <c r="N5" s="1">
        <v>-3.4695120000000003E-2</v>
      </c>
      <c r="O5" s="1">
        <v>5.5285649999999999E-2</v>
      </c>
      <c r="R5">
        <f t="shared" ref="R5:R18" si="13">(D5-E5)/2</f>
        <v>-9.2702999999999536E-4</v>
      </c>
      <c r="S5">
        <f t="shared" si="4"/>
        <v>3.8245599999999769E-3</v>
      </c>
      <c r="U5" s="8">
        <f t="shared" si="5"/>
        <v>6.3436759999999995E-2</v>
      </c>
      <c r="V5" s="8">
        <f t="shared" si="6"/>
        <v>2.0590529999999999E-2</v>
      </c>
      <c r="W5" s="8">
        <f t="shared" si="7"/>
        <v>2.6759519999999998E-2</v>
      </c>
      <c r="X5" s="8">
        <f t="shared" si="8"/>
        <v>-3.4695120000000003E-2</v>
      </c>
      <c r="Y5" s="9">
        <f t="shared" si="9"/>
        <v>3.8241675662710337</v>
      </c>
      <c r="Z5" s="9">
        <f t="shared" si="10"/>
        <v>2.5112636861489945</v>
      </c>
      <c r="AA5" s="9">
        <f t="shared" si="11"/>
        <v>17.982578674547156</v>
      </c>
      <c r="AB5" s="9">
        <f t="shared" si="12"/>
        <v>17.980724614547157</v>
      </c>
    </row>
    <row r="6" spans="1:28" x14ac:dyDescent="0.25">
      <c r="A6">
        <v>4</v>
      </c>
      <c r="B6">
        <v>67.5</v>
      </c>
      <c r="C6">
        <v>50</v>
      </c>
      <c r="D6" s="1">
        <v>-0.25138196000000002</v>
      </c>
      <c r="E6" s="1">
        <v>-0.253276</v>
      </c>
      <c r="F6" s="1">
        <v>1.8940300000000001E-3</v>
      </c>
      <c r="G6" s="1">
        <v>0.45669095999999998</v>
      </c>
      <c r="H6" s="1">
        <v>0.45131100000000002</v>
      </c>
      <c r="I6" s="1">
        <v>5.3799399999999997E-3</v>
      </c>
      <c r="J6" s="1">
        <v>7.2651170000000001E-2</v>
      </c>
      <c r="K6" s="1">
        <v>1.7390579999999999E-2</v>
      </c>
      <c r="L6" s="1">
        <v>5.52606E-2</v>
      </c>
      <c r="M6" s="1">
        <v>1.135361E-2</v>
      </c>
      <c r="N6" s="1">
        <v>-2.5267379999999999E-2</v>
      </c>
      <c r="O6" s="1">
        <v>3.6621000000000001E-2</v>
      </c>
      <c r="R6">
        <f t="shared" si="13"/>
        <v>9.4701999999999287E-4</v>
      </c>
      <c r="S6">
        <f t="shared" si="4"/>
        <v>2.6899799999999807E-3</v>
      </c>
      <c r="U6" s="8">
        <f t="shared" si="5"/>
        <v>7.2651170000000001E-2</v>
      </c>
      <c r="V6" s="8">
        <f t="shared" si="6"/>
        <v>1.135361E-2</v>
      </c>
      <c r="W6" s="8">
        <f t="shared" si="7"/>
        <v>1.7390579999999999E-2</v>
      </c>
      <c r="X6" s="8">
        <f t="shared" si="8"/>
        <v>-2.5267379999999999E-2</v>
      </c>
      <c r="Y6" s="9">
        <f t="shared" si="9"/>
        <v>4.2169346249469255</v>
      </c>
      <c r="Z6" s="9">
        <f t="shared" si="10"/>
        <v>1.7577463598108496</v>
      </c>
      <c r="AA6" s="9">
        <f t="shared" si="11"/>
        <v>8.8820946691975351</v>
      </c>
      <c r="AB6" s="9">
        <f t="shared" si="12"/>
        <v>8.8839886991975359</v>
      </c>
    </row>
    <row r="7" spans="1:28" x14ac:dyDescent="0.25">
      <c r="A7">
        <v>5</v>
      </c>
      <c r="B7">
        <v>90</v>
      </c>
      <c r="C7">
        <v>50</v>
      </c>
      <c r="D7" s="1">
        <v>-0.25183696</v>
      </c>
      <c r="E7" s="1">
        <v>-0.25655403999999998</v>
      </c>
      <c r="F7" s="1">
        <v>4.7170800000000002E-3</v>
      </c>
      <c r="G7" s="1">
        <v>0.45772299999999999</v>
      </c>
      <c r="H7" s="1">
        <v>0.45266195999999997</v>
      </c>
      <c r="I7" s="1">
        <v>5.06106E-3</v>
      </c>
      <c r="J7" s="1">
        <v>7.7797560000000002E-2</v>
      </c>
      <c r="K7" s="1">
        <v>1.284863E-2</v>
      </c>
      <c r="L7" s="1">
        <v>6.4948919999999993E-2</v>
      </c>
      <c r="M7" s="1">
        <v>-6.5536999999999995E-4</v>
      </c>
      <c r="N7" s="1">
        <v>-1.3182910000000001E-2</v>
      </c>
      <c r="O7" s="1">
        <v>1.252754E-2</v>
      </c>
      <c r="R7">
        <f t="shared" si="13"/>
        <v>2.3585399999999923E-3</v>
      </c>
      <c r="S7">
        <f t="shared" si="4"/>
        <v>2.5305200000000083E-3</v>
      </c>
      <c r="U7" s="8">
        <f t="shared" si="5"/>
        <v>7.7797560000000002E-2</v>
      </c>
      <c r="V7" s="8">
        <f t="shared" si="6"/>
        <v>-6.5536999999999995E-4</v>
      </c>
      <c r="W7" s="8">
        <f t="shared" si="7"/>
        <v>1.284863E-2</v>
      </c>
      <c r="X7" s="8">
        <f t="shared" si="8"/>
        <v>-1.3182910000000001E-2</v>
      </c>
      <c r="Y7" s="9">
        <f t="shared" si="9"/>
        <v>4.462139219683837</v>
      </c>
      <c r="Z7" s="9">
        <f t="shared" si="10"/>
        <v>1.0547944409485299</v>
      </c>
      <c r="AA7" s="9">
        <f t="shared" si="11"/>
        <v>359.51734929964613</v>
      </c>
      <c r="AB7" s="9">
        <f t="shared" si="12"/>
        <v>359.52206637964611</v>
      </c>
    </row>
    <row r="8" spans="1:28" x14ac:dyDescent="0.25">
      <c r="A8">
        <v>6</v>
      </c>
      <c r="B8">
        <v>112.5</v>
      </c>
      <c r="C8">
        <v>50</v>
      </c>
      <c r="D8" s="1">
        <v>-0.24891495999999999</v>
      </c>
      <c r="E8" s="1">
        <v>-0.25596701999999999</v>
      </c>
      <c r="F8" s="1">
        <v>7.0520499999999998E-3</v>
      </c>
      <c r="G8" s="1">
        <v>0.458704</v>
      </c>
      <c r="H8" s="1">
        <v>0.45586900000000002</v>
      </c>
      <c r="I8" s="1">
        <v>2.83504E-3</v>
      </c>
      <c r="J8" s="1">
        <v>7.7333200000000005E-2</v>
      </c>
      <c r="K8" s="1">
        <v>1.2850729999999999E-2</v>
      </c>
      <c r="L8" s="1">
        <v>6.448247E-2</v>
      </c>
      <c r="M8" s="1">
        <v>-1.372861E-2</v>
      </c>
      <c r="N8" s="1">
        <v>-5.0930000000000002E-5</v>
      </c>
      <c r="O8" s="1">
        <v>-1.3677679999999999E-2</v>
      </c>
      <c r="R8">
        <f t="shared" si="13"/>
        <v>3.5260299999999994E-3</v>
      </c>
      <c r="S8">
        <f t="shared" si="4"/>
        <v>1.4174999999999882E-3</v>
      </c>
      <c r="U8" s="8">
        <f t="shared" si="5"/>
        <v>7.7333200000000005E-2</v>
      </c>
      <c r="V8" s="8">
        <f t="shared" si="6"/>
        <v>-1.372861E-2</v>
      </c>
      <c r="W8" s="8">
        <f t="shared" si="7"/>
        <v>1.2850729999999999E-2</v>
      </c>
      <c r="X8" s="8">
        <f t="shared" si="8"/>
        <v>-5.0930000000000002E-5</v>
      </c>
      <c r="Y8" s="9">
        <f t="shared" si="9"/>
        <v>4.504784083495232</v>
      </c>
      <c r="Z8" s="9">
        <f t="shared" si="10"/>
        <v>0.73631864245842449</v>
      </c>
      <c r="AA8" s="9">
        <f t="shared" si="11"/>
        <v>349.93341782589965</v>
      </c>
      <c r="AB8" s="9">
        <f t="shared" si="12"/>
        <v>349.94046987589968</v>
      </c>
    </row>
    <row r="9" spans="1:28" x14ac:dyDescent="0.25">
      <c r="A9">
        <v>7</v>
      </c>
      <c r="B9">
        <v>135</v>
      </c>
      <c r="C9">
        <v>50</v>
      </c>
      <c r="D9" s="1">
        <v>-0.24872806</v>
      </c>
      <c r="E9" s="1">
        <v>-0.25587702000000001</v>
      </c>
      <c r="F9" s="1">
        <v>7.1489500000000003E-3</v>
      </c>
      <c r="G9" s="1">
        <v>0.458152</v>
      </c>
      <c r="H9" s="1">
        <v>0.45607091999999999</v>
      </c>
      <c r="I9" s="1">
        <v>2.08107E-3</v>
      </c>
      <c r="J9" s="1">
        <v>7.2361770000000006E-2</v>
      </c>
      <c r="K9" s="1">
        <v>1.883555E-2</v>
      </c>
      <c r="L9" s="1">
        <v>5.3526219999999999E-2</v>
      </c>
      <c r="M9" s="1">
        <v>-2.574365E-2</v>
      </c>
      <c r="N9" s="1">
        <v>1.164868E-2</v>
      </c>
      <c r="O9" s="1">
        <v>-3.7392330000000001E-2</v>
      </c>
      <c r="R9">
        <f t="shared" si="13"/>
        <v>3.5744800000000049E-3</v>
      </c>
      <c r="S9">
        <f t="shared" si="4"/>
        <v>1.0405400000000065E-3</v>
      </c>
      <c r="U9" s="8">
        <f t="shared" si="5"/>
        <v>7.2361770000000006E-2</v>
      </c>
      <c r="V9" s="8">
        <f t="shared" si="6"/>
        <v>-2.574365E-2</v>
      </c>
      <c r="W9" s="8">
        <f t="shared" si="7"/>
        <v>1.883555E-2</v>
      </c>
      <c r="X9" s="8">
        <f t="shared" si="8"/>
        <v>1.164868E-2</v>
      </c>
      <c r="Y9" s="9">
        <f t="shared" si="9"/>
        <v>4.4049229124080984</v>
      </c>
      <c r="Z9" s="9">
        <f t="shared" si="10"/>
        <v>1.2690076115100071</v>
      </c>
      <c r="AA9" s="9">
        <f t="shared" si="11"/>
        <v>340.41631635716084</v>
      </c>
      <c r="AB9" s="9">
        <f t="shared" si="12"/>
        <v>340.42346530716082</v>
      </c>
    </row>
    <row r="10" spans="1:28" x14ac:dyDescent="0.25">
      <c r="A10">
        <v>8</v>
      </c>
      <c r="B10">
        <v>157.5</v>
      </c>
      <c r="C10">
        <v>50</v>
      </c>
      <c r="D10" s="1">
        <v>-0.25071495999999999</v>
      </c>
      <c r="E10" s="1">
        <v>-0.25544107999999999</v>
      </c>
      <c r="F10" s="1">
        <v>4.7261100000000004E-3</v>
      </c>
      <c r="G10" s="1">
        <v>0.45691208</v>
      </c>
      <c r="H10" s="1">
        <v>0.45820295999999999</v>
      </c>
      <c r="I10" s="1">
        <v>-1.29089E-3</v>
      </c>
      <c r="J10" s="1">
        <v>6.3003619999999996E-2</v>
      </c>
      <c r="K10" s="1">
        <v>2.8063569999999999E-2</v>
      </c>
      <c r="L10" s="1">
        <v>3.4940039999999999E-2</v>
      </c>
      <c r="M10" s="1">
        <v>-3.4898980000000003E-2</v>
      </c>
      <c r="N10" s="1">
        <v>2.085064E-2</v>
      </c>
      <c r="O10" s="1">
        <v>-5.574962E-2</v>
      </c>
      <c r="R10">
        <f>(D10-E10)/2</f>
        <v>2.3630600000000002E-3</v>
      </c>
      <c r="S10">
        <f t="shared" si="4"/>
        <v>-6.4543999999999713E-4</v>
      </c>
      <c r="U10" s="8">
        <f t="shared" si="5"/>
        <v>6.3003619999999996E-2</v>
      </c>
      <c r="V10" s="8">
        <f t="shared" si="6"/>
        <v>-3.4898980000000003E-2</v>
      </c>
      <c r="W10" s="8">
        <f t="shared" si="7"/>
        <v>2.8063569999999999E-2</v>
      </c>
      <c r="X10" s="8">
        <f t="shared" si="8"/>
        <v>2.085064E-2</v>
      </c>
      <c r="Y10" s="9">
        <f t="shared" si="9"/>
        <v>4.1302228186552243</v>
      </c>
      <c r="Z10" s="9">
        <f t="shared" si="10"/>
        <v>2.0035601631453721</v>
      </c>
      <c r="AA10" s="9">
        <f t="shared" si="11"/>
        <v>331.01704422706894</v>
      </c>
      <c r="AB10" s="9">
        <f t="shared" si="12"/>
        <v>331.02177033706892</v>
      </c>
    </row>
    <row r="11" spans="1:28" x14ac:dyDescent="0.25">
      <c r="A11">
        <v>9</v>
      </c>
      <c r="B11">
        <v>180</v>
      </c>
      <c r="C11">
        <v>50</v>
      </c>
      <c r="D11" s="1">
        <v>-0.24859600000000001</v>
      </c>
      <c r="E11" s="1">
        <v>-0.25542695999999998</v>
      </c>
      <c r="F11" s="1">
        <v>6.8309800000000004E-3</v>
      </c>
      <c r="G11" s="1">
        <v>0.45550288</v>
      </c>
      <c r="H11" s="1">
        <v>0.45736179999999999</v>
      </c>
      <c r="I11" s="1">
        <v>-1.8589500000000001E-3</v>
      </c>
      <c r="J11" s="1">
        <v>5.0870739999999998E-2</v>
      </c>
      <c r="K11" s="1">
        <v>3.9471480000000003E-2</v>
      </c>
      <c r="L11" s="1">
        <v>1.139926E-2</v>
      </c>
      <c r="M11" s="1">
        <v>-3.972378E-2</v>
      </c>
      <c r="N11" s="1">
        <v>2.5649209999999999E-2</v>
      </c>
      <c r="O11" s="1">
        <v>-6.5373000000000001E-2</v>
      </c>
      <c r="R11">
        <f t="shared" si="13"/>
        <v>3.4154799999999846E-3</v>
      </c>
      <c r="S11">
        <f t="shared" si="4"/>
        <v>-9.2945999999999307E-4</v>
      </c>
      <c r="U11" s="8">
        <f t="shared" si="5"/>
        <v>5.0870739999999998E-2</v>
      </c>
      <c r="V11" s="8">
        <f t="shared" si="6"/>
        <v>-3.972378E-2</v>
      </c>
      <c r="W11" s="8">
        <f t="shared" si="7"/>
        <v>3.9471480000000003E-2</v>
      </c>
      <c r="X11" s="8">
        <f t="shared" si="8"/>
        <v>2.5649209999999999E-2</v>
      </c>
      <c r="Y11" s="9">
        <f t="shared" si="9"/>
        <v>3.7006192254456773</v>
      </c>
      <c r="Z11" s="9">
        <f t="shared" si="10"/>
        <v>2.6980888284325353</v>
      </c>
      <c r="AA11" s="9">
        <f t="shared" si="11"/>
        <v>322.0145487603499</v>
      </c>
      <c r="AB11" s="9">
        <f t="shared" si="12"/>
        <v>322.02137974034991</v>
      </c>
    </row>
    <row r="12" spans="1:28" x14ac:dyDescent="0.25">
      <c r="A12">
        <v>10</v>
      </c>
      <c r="B12">
        <v>202.5</v>
      </c>
      <c r="C12">
        <v>50</v>
      </c>
      <c r="D12" s="1">
        <v>-0.25072201999999999</v>
      </c>
      <c r="E12" s="1">
        <v>-0.25343198</v>
      </c>
      <c r="F12" s="1">
        <v>2.70995E-3</v>
      </c>
      <c r="G12" s="1">
        <v>0.45415100000000003</v>
      </c>
      <c r="H12" s="1">
        <v>0.45707692</v>
      </c>
      <c r="I12" s="1">
        <v>-2.9259300000000002E-3</v>
      </c>
      <c r="J12" s="1">
        <v>3.7996040000000002E-2</v>
      </c>
      <c r="K12" s="1">
        <v>5.2687489999999997E-2</v>
      </c>
      <c r="L12" s="1">
        <v>-1.469145E-2</v>
      </c>
      <c r="M12" s="1">
        <v>-3.9659670000000001E-2</v>
      </c>
      <c r="N12" s="1">
        <v>2.5646289999999999E-2</v>
      </c>
      <c r="O12" s="1">
        <v>-6.5305959999999996E-2</v>
      </c>
      <c r="R12">
        <f t="shared" si="13"/>
        <v>1.3549800000000056E-3</v>
      </c>
      <c r="S12">
        <f t="shared" si="4"/>
        <v>-1.4629599999999854E-3</v>
      </c>
      <c r="U12" s="8">
        <f t="shared" si="5"/>
        <v>3.7996040000000002E-2</v>
      </c>
      <c r="V12" s="8">
        <f t="shared" si="6"/>
        <v>-3.9659670000000001E-2</v>
      </c>
      <c r="W12" s="8">
        <f t="shared" si="7"/>
        <v>5.2687489999999997E-2</v>
      </c>
      <c r="X12" s="8">
        <f t="shared" si="8"/>
        <v>2.5646289999999999E-2</v>
      </c>
      <c r="Y12" s="9">
        <f t="shared" si="9"/>
        <v>3.1484678024860262</v>
      </c>
      <c r="Z12" s="9">
        <f t="shared" si="10"/>
        <v>3.3593317902580075</v>
      </c>
      <c r="AA12" s="9">
        <f t="shared" si="11"/>
        <v>313.77273159402949</v>
      </c>
      <c r="AB12" s="9">
        <f t="shared" si="12"/>
        <v>313.77544154402949</v>
      </c>
    </row>
    <row r="13" spans="1:28" x14ac:dyDescent="0.25">
      <c r="A13">
        <v>11</v>
      </c>
      <c r="B13">
        <v>225</v>
      </c>
      <c r="C13">
        <v>50</v>
      </c>
      <c r="D13" s="1">
        <v>-0.25205504000000001</v>
      </c>
      <c r="E13" s="1">
        <v>-0.25165799999999999</v>
      </c>
      <c r="F13" s="1">
        <v>-3.9706000000000002E-4</v>
      </c>
      <c r="G13" s="1">
        <v>0.45290599999999998</v>
      </c>
      <c r="H13" s="1">
        <v>0.45775304</v>
      </c>
      <c r="I13" s="1">
        <v>-4.8470199999999996E-3</v>
      </c>
      <c r="J13" s="1">
        <v>2.569302E-2</v>
      </c>
      <c r="K13" s="1">
        <v>6.5383880000000005E-2</v>
      </c>
      <c r="L13" s="1">
        <v>-3.9690860000000001E-2</v>
      </c>
      <c r="M13" s="1">
        <v>-3.461728E-2</v>
      </c>
      <c r="N13" s="1">
        <v>2.0695950000000001E-2</v>
      </c>
      <c r="O13" s="1">
        <v>-5.5313229999999998E-2</v>
      </c>
      <c r="R13">
        <f t="shared" si="13"/>
        <v>-1.9852000000000758E-4</v>
      </c>
      <c r="S13">
        <f t="shared" si="4"/>
        <v>-2.4235200000000123E-3</v>
      </c>
      <c r="U13" s="8">
        <f t="shared" si="5"/>
        <v>2.569302E-2</v>
      </c>
      <c r="V13" s="8">
        <f t="shared" si="6"/>
        <v>-3.461728E-2</v>
      </c>
      <c r="W13" s="8">
        <f t="shared" si="7"/>
        <v>6.5383880000000005E-2</v>
      </c>
      <c r="X13" s="8">
        <f t="shared" si="8"/>
        <v>2.0695950000000001E-2</v>
      </c>
      <c r="Y13" s="9">
        <f t="shared" si="9"/>
        <v>2.4707969172672271</v>
      </c>
      <c r="Z13" s="9">
        <f t="shared" si="10"/>
        <v>3.932497224282502</v>
      </c>
      <c r="AA13" s="9">
        <f t="shared" si="11"/>
        <v>306.58288444344123</v>
      </c>
      <c r="AB13" s="9">
        <f t="shared" si="12"/>
        <v>306.58248738344122</v>
      </c>
    </row>
    <row r="14" spans="1:28" x14ac:dyDescent="0.25">
      <c r="A14">
        <v>12</v>
      </c>
      <c r="B14">
        <v>247.5</v>
      </c>
      <c r="C14">
        <v>50</v>
      </c>
      <c r="D14" s="1">
        <v>-0.25313901999999999</v>
      </c>
      <c r="E14" s="1">
        <v>-0.25071697999999998</v>
      </c>
      <c r="F14" s="1">
        <v>-2.4220299999999999E-3</v>
      </c>
      <c r="G14" s="1">
        <v>0.45194104000000002</v>
      </c>
      <c r="H14" s="1">
        <v>0.45541900000000002</v>
      </c>
      <c r="I14" s="1">
        <v>-3.47796E-3</v>
      </c>
      <c r="J14" s="1">
        <v>1.705835E-2</v>
      </c>
      <c r="K14" s="1">
        <v>7.3937439999999993E-2</v>
      </c>
      <c r="L14" s="1">
        <v>-5.6879100000000002E-2</v>
      </c>
      <c r="M14" s="1">
        <v>-2.532593E-2</v>
      </c>
      <c r="N14" s="1">
        <v>1.1434329999999999E-2</v>
      </c>
      <c r="O14" s="1">
        <v>-3.6760260000000003E-2</v>
      </c>
      <c r="R14">
        <f t="shared" si="13"/>
        <v>-1.2110200000000071E-3</v>
      </c>
      <c r="S14">
        <f t="shared" si="4"/>
        <v>-1.7389800000000011E-3</v>
      </c>
      <c r="U14" s="8">
        <f t="shared" si="5"/>
        <v>1.705835E-2</v>
      </c>
      <c r="V14" s="8">
        <f t="shared" si="6"/>
        <v>-2.532593E-2</v>
      </c>
      <c r="W14" s="8">
        <f t="shared" si="7"/>
        <v>7.3937439999999993E-2</v>
      </c>
      <c r="X14" s="8">
        <f t="shared" si="8"/>
        <v>1.1434329999999999E-2</v>
      </c>
      <c r="Y14" s="9">
        <f t="shared" si="9"/>
        <v>1.7498021902692258</v>
      </c>
      <c r="Z14" s="9">
        <f t="shared" si="10"/>
        <v>4.2906713283896174</v>
      </c>
      <c r="AA14" s="9">
        <f t="shared" si="11"/>
        <v>303.96234594090919</v>
      </c>
      <c r="AB14" s="9">
        <f t="shared" si="12"/>
        <v>303.9599239109092</v>
      </c>
    </row>
    <row r="15" spans="1:28" x14ac:dyDescent="0.25">
      <c r="A15">
        <v>13</v>
      </c>
      <c r="B15">
        <v>270</v>
      </c>
      <c r="C15">
        <v>50</v>
      </c>
      <c r="D15" s="1">
        <v>-0.25595600000000002</v>
      </c>
      <c r="E15" s="1">
        <v>-0.25070100000000001</v>
      </c>
      <c r="F15" s="1">
        <v>-5.2549800000000002E-3</v>
      </c>
      <c r="G15" s="1">
        <v>0.45481403999999998</v>
      </c>
      <c r="H15" s="1">
        <v>0.45981008000000001</v>
      </c>
      <c r="I15" s="1">
        <v>-4.9960300000000003E-3</v>
      </c>
      <c r="J15" s="1">
        <v>1.2211670000000001E-2</v>
      </c>
      <c r="K15" s="1">
        <v>7.9087840000000006E-2</v>
      </c>
      <c r="L15" s="1">
        <v>-6.6876169999999999E-2</v>
      </c>
      <c r="M15" s="1">
        <v>-1.3275830000000001E-2</v>
      </c>
      <c r="N15" s="1">
        <v>-3.3340000000000003E-4</v>
      </c>
      <c r="O15" s="1">
        <v>-1.294243E-2</v>
      </c>
      <c r="R15">
        <f t="shared" si="13"/>
        <v>-2.6275000000000048E-3</v>
      </c>
      <c r="S15">
        <f t="shared" si="4"/>
        <v>-2.4980200000000174E-3</v>
      </c>
      <c r="U15" s="8">
        <f t="shared" si="5"/>
        <v>1.2211670000000001E-2</v>
      </c>
      <c r="V15" s="8">
        <f t="shared" si="6"/>
        <v>-1.3275830000000001E-2</v>
      </c>
      <c r="W15" s="8">
        <f t="shared" si="7"/>
        <v>7.9087840000000006E-2</v>
      </c>
      <c r="X15" s="8">
        <f t="shared" si="8"/>
        <v>-3.3340000000000003E-4</v>
      </c>
      <c r="Y15" s="9">
        <f t="shared" si="9"/>
        <v>1.033562251995922</v>
      </c>
      <c r="Z15" s="9">
        <f t="shared" si="10"/>
        <v>4.5361770771026215</v>
      </c>
      <c r="AA15" s="9">
        <f t="shared" si="11"/>
        <v>312.60916198055605</v>
      </c>
      <c r="AB15" s="9">
        <f t="shared" si="12"/>
        <v>312.60390700055603</v>
      </c>
    </row>
    <row r="16" spans="1:28" x14ac:dyDescent="0.25">
      <c r="A16">
        <v>14</v>
      </c>
      <c r="B16">
        <v>292.5</v>
      </c>
      <c r="C16">
        <v>50</v>
      </c>
      <c r="D16" s="1">
        <v>-0.25576008</v>
      </c>
      <c r="E16" s="1">
        <v>-0.25036604000000001</v>
      </c>
      <c r="F16" s="1">
        <v>-5.3940400000000001E-3</v>
      </c>
      <c r="G16" s="1">
        <v>0.45287907999999999</v>
      </c>
      <c r="H16" s="1">
        <v>0.45351804000000001</v>
      </c>
      <c r="I16" s="1">
        <v>-6.3896000000000005E-4</v>
      </c>
      <c r="J16" s="1">
        <v>1.223642E-2</v>
      </c>
      <c r="K16" s="1">
        <v>7.8739260000000005E-2</v>
      </c>
      <c r="L16" s="1">
        <v>-6.6502839999999994E-2</v>
      </c>
      <c r="M16" s="1">
        <v>-1.9629000000000001E-4</v>
      </c>
      <c r="N16" s="1">
        <v>-1.3443800000000001E-2</v>
      </c>
      <c r="O16" s="1">
        <v>1.3247510000000001E-2</v>
      </c>
      <c r="R16">
        <f t="shared" si="13"/>
        <v>-2.6970199999999944E-3</v>
      </c>
      <c r="S16">
        <f t="shared" si="4"/>
        <v>-3.1948000000001087E-4</v>
      </c>
      <c r="U16" s="8">
        <f t="shared" si="5"/>
        <v>1.223642E-2</v>
      </c>
      <c r="V16" s="8">
        <f t="shared" si="6"/>
        <v>-1.9629000000000001E-4</v>
      </c>
      <c r="W16" s="8">
        <f t="shared" si="7"/>
        <v>7.8739260000000005E-2</v>
      </c>
      <c r="X16" s="8">
        <f t="shared" si="8"/>
        <v>-1.3443800000000001E-2</v>
      </c>
      <c r="Y16" s="9">
        <f t="shared" si="9"/>
        <v>0.70120292613974855</v>
      </c>
      <c r="Z16" s="9">
        <f t="shared" si="10"/>
        <v>4.5815934841192432</v>
      </c>
      <c r="AA16" s="9">
        <f t="shared" si="11"/>
        <v>359.08097106662512</v>
      </c>
      <c r="AB16" s="9">
        <f t="shared" si="12"/>
        <v>359.07557702662513</v>
      </c>
    </row>
    <row r="17" spans="1:28" x14ac:dyDescent="0.25">
      <c r="A17">
        <v>15</v>
      </c>
      <c r="B17">
        <v>315</v>
      </c>
      <c r="C17">
        <v>50</v>
      </c>
      <c r="D17" s="1">
        <v>-0.25581799999999999</v>
      </c>
      <c r="E17" s="1">
        <v>-0.25116796000000002</v>
      </c>
      <c r="F17" s="1">
        <v>-4.6500600000000001E-3</v>
      </c>
      <c r="G17" s="1">
        <v>0.45150104000000002</v>
      </c>
      <c r="H17" s="1">
        <v>0.45400200000000002</v>
      </c>
      <c r="I17" s="1">
        <v>-2.50095E-3</v>
      </c>
      <c r="J17" s="1">
        <v>1.7090279999999999E-2</v>
      </c>
      <c r="K17" s="1">
        <v>7.4033399999999999E-2</v>
      </c>
      <c r="L17" s="1">
        <v>-5.694312E-2</v>
      </c>
      <c r="M17" s="1">
        <v>1.1734329999999999E-2</v>
      </c>
      <c r="N17" s="1">
        <v>-2.5172119999999999E-2</v>
      </c>
      <c r="O17" s="1">
        <v>3.690645E-2</v>
      </c>
      <c r="R17">
        <f t="shared" si="13"/>
        <v>-2.3250199999999832E-3</v>
      </c>
      <c r="S17">
        <f t="shared" si="4"/>
        <v>-1.2504799999999983E-3</v>
      </c>
      <c r="U17" s="8">
        <f t="shared" si="5"/>
        <v>1.7090279999999999E-2</v>
      </c>
      <c r="V17" s="8">
        <f t="shared" si="6"/>
        <v>1.1734329999999999E-2</v>
      </c>
      <c r="W17" s="8">
        <f t="shared" si="7"/>
        <v>7.4033399999999999E-2</v>
      </c>
      <c r="X17" s="8">
        <f t="shared" si="8"/>
        <v>-2.5172119999999999E-2</v>
      </c>
      <c r="Y17" s="9">
        <f t="shared" si="9"/>
        <v>1.1878808755083512</v>
      </c>
      <c r="Z17" s="9">
        <f t="shared" si="10"/>
        <v>4.4848666002630795</v>
      </c>
      <c r="AA17" s="9">
        <f t="shared" si="11"/>
        <v>34.473820026041892</v>
      </c>
      <c r="AB17" s="9">
        <f t="shared" si="12"/>
        <v>34.469169966041889</v>
      </c>
    </row>
    <row r="18" spans="1:28" x14ac:dyDescent="0.25">
      <c r="A18">
        <v>16</v>
      </c>
      <c r="B18">
        <v>337.5</v>
      </c>
      <c r="C18">
        <v>50</v>
      </c>
      <c r="D18" s="1">
        <v>-0.25440099999999999</v>
      </c>
      <c r="E18" s="1">
        <v>-0.25146604</v>
      </c>
      <c r="F18" s="1">
        <v>-2.9349599999999999E-3</v>
      </c>
      <c r="G18" s="1">
        <v>0.45661696000000002</v>
      </c>
      <c r="H18" s="1">
        <v>0.453569</v>
      </c>
      <c r="I18" s="1">
        <v>3.0479700000000001E-3</v>
      </c>
      <c r="J18" s="1">
        <v>2.749395E-2</v>
      </c>
      <c r="K18" s="1">
        <v>6.4843109999999995E-2</v>
      </c>
      <c r="L18" s="1">
        <v>-3.7349159999999999E-2</v>
      </c>
      <c r="M18" s="1">
        <v>2.0841160000000001E-2</v>
      </c>
      <c r="N18" s="1">
        <v>-3.4252980000000002E-2</v>
      </c>
      <c r="O18" s="1">
        <v>5.509414E-2</v>
      </c>
      <c r="R18">
        <f t="shared" si="13"/>
        <v>-1.4674799999999932E-3</v>
      </c>
      <c r="S18">
        <f t="shared" si="4"/>
        <v>1.5239800000000081E-3</v>
      </c>
      <c r="U18" s="8">
        <f t="shared" si="5"/>
        <v>2.749395E-2</v>
      </c>
      <c r="V18" s="8">
        <f t="shared" si="6"/>
        <v>2.0841160000000001E-2</v>
      </c>
      <c r="W18" s="8">
        <f t="shared" si="7"/>
        <v>6.4843109999999995E-2</v>
      </c>
      <c r="X18" s="8">
        <f t="shared" si="8"/>
        <v>-3.4252980000000002E-2</v>
      </c>
      <c r="Y18" s="9">
        <f t="shared" si="9"/>
        <v>1.9771143769740893</v>
      </c>
      <c r="Z18" s="9">
        <f t="shared" si="10"/>
        <v>4.2055117335106722</v>
      </c>
      <c r="AA18" s="9">
        <f t="shared" si="11"/>
        <v>37.163114519757016</v>
      </c>
      <c r="AB18" s="9">
        <f t="shared" si="12"/>
        <v>37.160179559757019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T13-4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2026-08-02T16:45:18Z</dcterms:modified>
</cp:coreProperties>
</file>