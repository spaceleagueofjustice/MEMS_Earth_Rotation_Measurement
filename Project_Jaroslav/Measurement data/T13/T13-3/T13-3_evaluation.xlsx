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ros\Desktop\Rotace země pokus 1\Finální report 1\T13\T13-3\"/>
    </mc:Choice>
  </mc:AlternateContent>
  <xr:revisionPtr revIDLastSave="0" documentId="13_ncr:1_{45DD9242-C282-489C-8849-3CC0A7C82987}" xr6:coauthVersionLast="47" xr6:coauthVersionMax="47" xr10:uidLastSave="{00000000-0000-0000-0000-000000000000}"/>
  <bookViews>
    <workbookView xWindow="3750" yWindow="3870" windowWidth="28800" windowHeight="15345" xr2:uid="{0C4992B2-34A0-4179-B002-07A58BC14391}"/>
  </bookViews>
  <sheets>
    <sheet name="Main" sheetId="2" r:id="rId1"/>
    <sheet name="T13-3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" i="2" l="1"/>
  <c r="X18" i="1"/>
  <c r="W18" i="1"/>
  <c r="V18" i="1"/>
  <c r="U18" i="1"/>
  <c r="X17" i="1"/>
  <c r="W17" i="1"/>
  <c r="Z17" i="1" s="1"/>
  <c r="V17" i="1"/>
  <c r="U17" i="1"/>
  <c r="X16" i="1"/>
  <c r="W16" i="1"/>
  <c r="V16" i="1"/>
  <c r="U16" i="1"/>
  <c r="X15" i="1"/>
  <c r="W15" i="1"/>
  <c r="Z15" i="1" s="1"/>
  <c r="V15" i="1"/>
  <c r="U15" i="1"/>
  <c r="Y15" i="1" s="1"/>
  <c r="X14" i="1"/>
  <c r="W14" i="1"/>
  <c r="Z14" i="1" s="1"/>
  <c r="V14" i="1"/>
  <c r="U14" i="1"/>
  <c r="X13" i="1"/>
  <c r="W13" i="1"/>
  <c r="Z13" i="1" s="1"/>
  <c r="V13" i="1"/>
  <c r="U13" i="1"/>
  <c r="X12" i="1"/>
  <c r="W12" i="1"/>
  <c r="Z12" i="1" s="1"/>
  <c r="V12" i="1"/>
  <c r="U12" i="1"/>
  <c r="Y12" i="1" s="1"/>
  <c r="X11" i="1"/>
  <c r="W11" i="1"/>
  <c r="V11" i="1"/>
  <c r="U11" i="1"/>
  <c r="X10" i="1"/>
  <c r="W10" i="1"/>
  <c r="V10" i="1"/>
  <c r="U10" i="1"/>
  <c r="X9" i="1"/>
  <c r="W9" i="1"/>
  <c r="Z9" i="1" s="1"/>
  <c r="V9" i="1"/>
  <c r="U9" i="1"/>
  <c r="Y9" i="1" s="1"/>
  <c r="X8" i="1"/>
  <c r="W8" i="1"/>
  <c r="V8" i="1"/>
  <c r="U8" i="1"/>
  <c r="X7" i="1"/>
  <c r="W7" i="1"/>
  <c r="V7" i="1"/>
  <c r="U7" i="1"/>
  <c r="X6" i="1"/>
  <c r="W6" i="1"/>
  <c r="Z6" i="1" s="1"/>
  <c r="V6" i="1"/>
  <c r="U6" i="1"/>
  <c r="X5" i="1"/>
  <c r="W5" i="1"/>
  <c r="V5" i="1"/>
  <c r="U5" i="1"/>
  <c r="X4" i="1"/>
  <c r="W4" i="1"/>
  <c r="Z4" i="1" s="1"/>
  <c r="V4" i="1"/>
  <c r="U4" i="1"/>
  <c r="X3" i="1"/>
  <c r="W3" i="1"/>
  <c r="Z3" i="1" s="1"/>
  <c r="V3" i="1"/>
  <c r="U3" i="1"/>
  <c r="AA3" i="1" s="1"/>
  <c r="AB3" i="1" s="1"/>
  <c r="G17" i="2"/>
  <c r="G11" i="2"/>
  <c r="G9" i="2"/>
  <c r="Z5" i="1" l="1"/>
  <c r="Z8" i="1"/>
  <c r="Z11" i="1"/>
  <c r="Z16" i="1"/>
  <c r="Y6" i="1"/>
  <c r="Z7" i="1"/>
  <c r="Z10" i="1"/>
  <c r="Y18" i="1"/>
  <c r="Z18" i="1"/>
  <c r="Y5" i="1"/>
  <c r="Y8" i="1"/>
  <c r="Y11" i="1"/>
  <c r="Y14" i="1"/>
  <c r="Y17" i="1"/>
  <c r="AA5" i="1"/>
  <c r="AB5" i="1" s="1"/>
  <c r="AA8" i="1"/>
  <c r="AB8" i="1" s="1"/>
  <c r="AA11" i="1"/>
  <c r="AB11" i="1" s="1"/>
  <c r="AA14" i="1"/>
  <c r="AB14" i="1" s="1"/>
  <c r="AA17" i="1"/>
  <c r="AB17" i="1" s="1"/>
  <c r="Y4" i="1"/>
  <c r="Y7" i="1"/>
  <c r="Y10" i="1"/>
  <c r="Y13" i="1"/>
  <c r="Y16" i="1"/>
  <c r="AA4" i="1"/>
  <c r="AB4" i="1" s="1"/>
  <c r="AA7" i="1"/>
  <c r="AB7" i="1" s="1"/>
  <c r="AA10" i="1"/>
  <c r="AB10" i="1" s="1"/>
  <c r="AA13" i="1"/>
  <c r="AB13" i="1" s="1"/>
  <c r="AA16" i="1"/>
  <c r="AB16" i="1" s="1"/>
  <c r="AA6" i="1"/>
  <c r="AB6" i="1" s="1"/>
  <c r="AA9" i="1"/>
  <c r="AB9" i="1" s="1"/>
  <c r="AA12" i="1"/>
  <c r="AB12" i="1" s="1"/>
  <c r="AA15" i="1"/>
  <c r="AB15" i="1" s="1"/>
  <c r="AA18" i="1"/>
  <c r="AB18" i="1" s="1"/>
  <c r="Y3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R10" i="1"/>
  <c r="R4" i="1"/>
  <c r="S3" i="1"/>
  <c r="R18" i="1"/>
  <c r="R17" i="1"/>
  <c r="R16" i="1"/>
  <c r="R15" i="1"/>
  <c r="R14" i="1"/>
  <c r="R13" i="1"/>
  <c r="R12" i="1"/>
  <c r="R11" i="1"/>
  <c r="R9" i="1"/>
  <c r="R8" i="1"/>
  <c r="R7" i="1"/>
  <c r="R6" i="1"/>
  <c r="R5" i="1"/>
  <c r="R3" i="1"/>
  <c r="R8" i="2" l="1"/>
  <c r="V8" i="2"/>
  <c r="T8" i="2"/>
  <c r="X8" i="2"/>
</calcChain>
</file>

<file path=xl/sharedStrings.xml><?xml version="1.0" encoding="utf-8"?>
<sst xmlns="http://schemas.openxmlformats.org/spreadsheetml/2006/main" count="56" uniqueCount="51">
  <si>
    <t>azimut</t>
  </si>
  <si>
    <t>n</t>
  </si>
  <si>
    <t>xA_prumer</t>
  </si>
  <si>
    <t>xC_prumer</t>
  </si>
  <si>
    <t>diffx_prumer</t>
  </si>
  <si>
    <t>yA_prumer</t>
  </si>
  <si>
    <t>yC_prumer</t>
  </si>
  <si>
    <t>diffy_prumer</t>
  </si>
  <si>
    <t>axA_prumer</t>
  </si>
  <si>
    <t>axC_prumer</t>
  </si>
  <si>
    <t>diffax_prumer</t>
  </si>
  <si>
    <t>ayA_prumer</t>
  </si>
  <si>
    <t>ayC_prumer</t>
  </si>
  <si>
    <t>diffay_prumer</t>
  </si>
  <si>
    <t>(xA-xC)/2</t>
  </si>
  <si>
    <t>(yA-yC)/2</t>
  </si>
  <si>
    <t>Theoretical earth rotation rate</t>
  </si>
  <si>
    <t>°/s</t>
  </si>
  <si>
    <t>Latitude</t>
  </si>
  <si>
    <t>°</t>
  </si>
  <si>
    <t>Theoretical earth rotation rate at latitude cos(lat)</t>
  </si>
  <si>
    <t>Description:</t>
  </si>
  <si>
    <t>Rotation direction</t>
  </si>
  <si>
    <t>CW</t>
  </si>
  <si>
    <t>Cycles</t>
  </si>
  <si>
    <t>Samples per position</t>
  </si>
  <si>
    <t>Trim</t>
  </si>
  <si>
    <t>°/°</t>
  </si>
  <si>
    <t>min X</t>
  </si>
  <si>
    <t>min Y</t>
  </si>
  <si>
    <t>max X</t>
  </si>
  <si>
    <t>max Y</t>
  </si>
  <si>
    <t>Test ID</t>
  </si>
  <si>
    <t>Azimuth-Dependence Test (Randomized Step Scan, Off-North Start, Tilted Mount)</t>
  </si>
  <si>
    <t>Mount azimuth</t>
  </si>
  <si>
    <t>Arm start azimuth</t>
  </si>
  <si>
    <t>Measuring plane deviation/slope azimuth</t>
  </si>
  <si>
    <t>Azimuth step</t>
  </si>
  <si>
    <t>Azimuth step count</t>
  </si>
  <si>
    <t>Total samples</t>
  </si>
  <si>
    <t>Cable protection</t>
  </si>
  <si>
    <t>axA</t>
  </si>
  <si>
    <t>ayA</t>
  </si>
  <si>
    <t>axC</t>
  </si>
  <si>
    <t>ayC</t>
  </si>
  <si>
    <t>tiltA</t>
  </si>
  <si>
    <t>tiltC</t>
  </si>
  <si>
    <t>směr náklonu A</t>
  </si>
  <si>
    <t>kontrola azimut+směr</t>
  </si>
  <si>
    <t>T13-3</t>
  </si>
  <si>
    <t xml:space="preserve">- 16*22,5° random position, full 360°
- mount azimuth to 315°
- start azimuth 0° (north)
- measuring plane level
- rotation CW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</si>
</sst>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22"/>
      <color theme="1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0" borderId="7" xfId="0" applyFont="1" applyBorder="1" applyAlignment="1">
      <alignment horizontal="left" vertical="center"/>
    </xf>
    <xf numFmtId="0" fontId="1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0" fontId="1" fillId="0" borderId="3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6" xfId="0" applyNumberFormat="1" applyFont="1" applyBorder="1" applyAlignment="1">
      <alignment horizontal="left" vertical="top" wrapText="1"/>
    </xf>
    <xf numFmtId="49" fontId="1" fillId="0" borderId="9" xfId="0" applyNumberFormat="1" applyFont="1" applyBorder="1" applyAlignment="1">
      <alignment horizontal="left" vertical="top" wrapText="1"/>
    </xf>
    <xf numFmtId="49" fontId="1" fillId="0" borderId="0" xfId="0" applyNumberFormat="1" applyFont="1" applyAlignment="1">
      <alignment horizontal="left" vertical="top" wrapText="1"/>
    </xf>
    <xf numFmtId="49" fontId="1" fillId="0" borderId="10" xfId="0" applyNumberFormat="1" applyFont="1" applyBorder="1" applyAlignment="1">
      <alignment horizontal="left" vertical="top" wrapText="1"/>
    </xf>
    <xf numFmtId="49" fontId="1" fillId="0" borderId="11" xfId="0" applyNumberFormat="1" applyFont="1" applyBorder="1" applyAlignment="1">
      <alignment horizontal="left" vertical="top" wrapText="1"/>
    </xf>
    <xf numFmtId="49" fontId="1" fillId="0" borderId="12" xfId="0" applyNumberFormat="1" applyFont="1" applyBorder="1" applyAlignment="1">
      <alignment horizontal="left" vertical="top" wrapText="1"/>
    </xf>
    <xf numFmtId="49" fontId="1" fillId="0" borderId="1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3" fontId="2" fillId="0" borderId="3" xfId="0" applyNumberFormat="1" applyFont="1" applyBorder="1" applyAlignment="1">
      <alignment horizontal="left"/>
    </xf>
    <xf numFmtId="3" fontId="2" fillId="0" borderId="4" xfId="0" applyNumberFormat="1" applyFont="1" applyBorder="1" applyAlignment="1">
      <alignment horizontal="left"/>
    </xf>
    <xf numFmtId="0" fontId="1" fillId="0" borderId="5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164" fontId="2" fillId="0" borderId="5" xfId="0" applyNumberFormat="1" applyFont="1" applyBorder="1" applyAlignment="1">
      <alignment horizontal="left" vertical="center"/>
    </xf>
    <xf numFmtId="164" fontId="2" fillId="0" borderId="6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164" fontId="4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Earth rotation rate gyroscope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'T13-3'!$R$2</c:f>
              <c:strCache>
                <c:ptCount val="1"/>
                <c:pt idx="0">
                  <c:v>(xA-xC)/2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0000"/>
                </a:solidFill>
              </a:ln>
              <a:effectLst/>
            </c:spPr>
          </c:marker>
          <c:cat>
            <c:numRef>
              <c:f>'T13-3'!$B$3:$B$18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'T13-3'!$R$3:$R$18</c:f>
              <c:numCache>
                <c:formatCode>General</c:formatCode>
                <c:ptCount val="16"/>
                <c:pt idx="0">
                  <c:v>-3.7044999999999995E-3</c:v>
                </c:pt>
                <c:pt idx="1">
                  <c:v>-3.1925600000000109E-3</c:v>
                </c:pt>
                <c:pt idx="2">
                  <c:v>-9.1499000000000441E-4</c:v>
                </c:pt>
                <c:pt idx="3">
                  <c:v>-3.56970000000012E-4</c:v>
                </c:pt>
                <c:pt idx="4">
                  <c:v>1.6540499999999903E-3</c:v>
                </c:pt>
                <c:pt idx="5">
                  <c:v>3.0435099999999993E-3</c:v>
                </c:pt>
                <c:pt idx="6">
                  <c:v>2.6090000000000002E-3</c:v>
                </c:pt>
                <c:pt idx="7">
                  <c:v>4.3064799999999737E-3</c:v>
                </c:pt>
                <c:pt idx="8">
                  <c:v>2.8030199999999894E-3</c:v>
                </c:pt>
                <c:pt idx="9">
                  <c:v>2.6000200000000084E-3</c:v>
                </c:pt>
                <c:pt idx="10">
                  <c:v>1.587489999999997E-3</c:v>
                </c:pt>
                <c:pt idx="11">
                  <c:v>4.9601000000001894E-4</c:v>
                </c:pt>
                <c:pt idx="12">
                  <c:v>-8.2999999999999741E-4</c:v>
                </c:pt>
                <c:pt idx="13">
                  <c:v>-3.2365000000000033E-3</c:v>
                </c:pt>
                <c:pt idx="14">
                  <c:v>-3.7365100000000262E-3</c:v>
                </c:pt>
                <c:pt idx="15">
                  <c:v>-4.4885299999999906E-3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AB7-49A3-B47D-D9EEBD6F287D}"/>
            </c:ext>
          </c:extLst>
        </c:ser>
        <c:ser>
          <c:idx val="1"/>
          <c:order val="1"/>
          <c:tx>
            <c:strRef>
              <c:f>'T13-3'!$S$2</c:f>
              <c:strCache>
                <c:ptCount val="1"/>
                <c:pt idx="0">
                  <c:v>(yA-yC)/2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B050"/>
                </a:solidFill>
              </a:ln>
              <a:effectLst/>
            </c:spPr>
          </c:marker>
          <c:dPt>
            <c:idx val="4"/>
            <c:marker>
              <c:symbol val="circle"/>
              <c:size val="5"/>
              <c:spPr>
                <a:noFill/>
                <a:ln w="25400">
                  <a:solidFill>
                    <a:srgbClr val="00B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1839-4B3C-9E09-FB5901B765D7}"/>
              </c:ext>
            </c:extLst>
          </c:dPt>
          <c:cat>
            <c:numRef>
              <c:f>'T13-3'!$B$3:$B$18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'T13-3'!$S$3:$S$18</c:f>
              <c:numCache>
                <c:formatCode>General</c:formatCode>
                <c:ptCount val="16"/>
                <c:pt idx="0">
                  <c:v>1.4535499999999701E-3</c:v>
                </c:pt>
                <c:pt idx="1">
                  <c:v>2.5104500000000529E-3</c:v>
                </c:pt>
                <c:pt idx="2">
                  <c:v>2.5604799999999761E-3</c:v>
                </c:pt>
                <c:pt idx="3">
                  <c:v>3.5990399999999978E-3</c:v>
                </c:pt>
                <c:pt idx="4">
                  <c:v>2.7839800000000192E-3</c:v>
                </c:pt>
                <c:pt idx="5">
                  <c:v>3.1374200000000019E-3</c:v>
                </c:pt>
                <c:pt idx="6">
                  <c:v>1.6774500000000248E-3</c:v>
                </c:pt>
                <c:pt idx="7">
                  <c:v>4.4191999999998455E-4</c:v>
                </c:pt>
                <c:pt idx="8">
                  <c:v>8.7241999999998487E-4</c:v>
                </c:pt>
                <c:pt idx="9">
                  <c:v>-1.0795000000002331E-4</c:v>
                </c:pt>
                <c:pt idx="10">
                  <c:v>-1.7214999999999869E-3</c:v>
                </c:pt>
                <c:pt idx="11">
                  <c:v>-3.3570199999999883E-3</c:v>
                </c:pt>
                <c:pt idx="12">
                  <c:v>-3.0100200000000021E-3</c:v>
                </c:pt>
                <c:pt idx="13">
                  <c:v>-2.7205000000000146E-3</c:v>
                </c:pt>
                <c:pt idx="14">
                  <c:v>-1.5775399999999884E-3</c:v>
                </c:pt>
                <c:pt idx="15">
                  <c:v>-2.1209999999999285E-4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AB7-49A3-B47D-D9EEBD6F2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'T13-3'!$L$2</c15:sqref>
                        </c15:formulaRef>
                      </c:ext>
                    </c:extLst>
                    <c:strCache>
                      <c:ptCount val="1"/>
                      <c:pt idx="0">
                        <c:v>diffax_prumer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ormulaRef>
                          <c15:sqref>'T13-3'!$L$3:$L$18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-4.0268659999999998E-2</c:v>
                      </c:pt>
                      <c:pt idx="1">
                        <c:v>-5.3439199999999999E-2</c:v>
                      </c:pt>
                      <c:pt idx="2">
                        <c:v>-5.939473E-2</c:v>
                      </c:pt>
                      <c:pt idx="3">
                        <c:v>-5.6876259999999998E-2</c:v>
                      </c:pt>
                      <c:pt idx="4">
                        <c:v>-4.560053E-2</c:v>
                      </c:pt>
                      <c:pt idx="5">
                        <c:v>-2.6836809999999999E-2</c:v>
                      </c:pt>
                      <c:pt idx="6">
                        <c:v>-4.6525300000000002E-3</c:v>
                      </c:pt>
                      <c:pt idx="7">
                        <c:v>1.8049519999999999E-2</c:v>
                      </c:pt>
                      <c:pt idx="8">
                        <c:v>3.8073879999999997E-2</c:v>
                      </c:pt>
                      <c:pt idx="9">
                        <c:v>5.2450579999999997E-2</c:v>
                      </c:pt>
                      <c:pt idx="10">
                        <c:v>5.8504889999999997E-2</c:v>
                      </c:pt>
                      <c:pt idx="11">
                        <c:v>5.5423779999999999E-2</c:v>
                      </c:pt>
                      <c:pt idx="12">
                        <c:v>4.388661E-2</c:v>
                      </c:pt>
                      <c:pt idx="13">
                        <c:v>2.5131440000000001E-2</c:v>
                      </c:pt>
                      <c:pt idx="14">
                        <c:v>2.6726499999999999E-3</c:v>
                      </c:pt>
                      <c:pt idx="15">
                        <c:v>-2.0399759999999999E-2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1AB7-49A3-B47D-D9EEBD6F287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'T13-3'!$O$2</c15:sqref>
                        </c15:formulaRef>
                      </c:ext>
                    </c:extLst>
                    <c:strCache>
                      <c:ptCount val="1"/>
                      <c:pt idx="0">
                        <c:v>diffay_prumer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'T13-3'!$O$3:$O$18</c15:sqref>
                        </c15:formulaRef>
                      </c:ext>
                    </c:extLst>
                    <c:numCache>
                      <c:formatCode>0.000000</c:formatCode>
                      <c:ptCount val="16"/>
                      <c:pt idx="0">
                        <c:v>-4.5178070000000001E-2</c:v>
                      </c:pt>
                      <c:pt idx="1">
                        <c:v>-2.7075829999999999E-2</c:v>
                      </c:pt>
                      <c:pt idx="2">
                        <c:v>-4.8298799999999999E-3</c:v>
                      </c:pt>
                      <c:pt idx="3">
                        <c:v>1.817744E-2</c:v>
                      </c:pt>
                      <c:pt idx="4">
                        <c:v>3.831855E-2</c:v>
                      </c:pt>
                      <c:pt idx="5">
                        <c:v>5.2843220000000003E-2</c:v>
                      </c:pt>
                      <c:pt idx="6">
                        <c:v>5.9137549999999997E-2</c:v>
                      </c:pt>
                      <c:pt idx="7">
                        <c:v>5.6342089999999997E-2</c:v>
                      </c:pt>
                      <c:pt idx="8">
                        <c:v>4.5169729999999998E-2</c:v>
                      </c:pt>
                      <c:pt idx="9">
                        <c:v>2.7019049999999999E-2</c:v>
                      </c:pt>
                      <c:pt idx="10">
                        <c:v>4.6066900000000001E-3</c:v>
                      </c:pt>
                      <c:pt idx="11">
                        <c:v>-1.8375579999999999E-2</c:v>
                      </c:pt>
                      <c:pt idx="12">
                        <c:v>-3.840586E-2</c:v>
                      </c:pt>
                      <c:pt idx="13">
                        <c:v>-5.2761330000000002E-2</c:v>
                      </c:pt>
                      <c:pt idx="14">
                        <c:v>-5.8877789999999999E-2</c:v>
                      </c:pt>
                      <c:pt idx="15">
                        <c:v>-5.6330810000000002E-2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1AB7-49A3-B47D-D9EEBD6F287D}"/>
                  </c:ext>
                </c:extLst>
              </c15:ser>
            </c15:filteredLineSeries>
          </c:ext>
        </c:extLst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in val="-6.0000000000000019E-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Measuret rotation rate (°/s)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 b="1"/>
              <a:t>Measuring plane deviation accelerometer 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'T13-3'!$Y$2</c:f>
              <c:strCache>
                <c:ptCount val="1"/>
                <c:pt idx="0">
                  <c:v>tiltA</c:v>
                </c:pt>
              </c:strCache>
            </c:strRef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0070C0"/>
                </a:solidFill>
              </a:ln>
              <a:effectLst/>
            </c:spPr>
          </c:marker>
          <c:cat>
            <c:numRef>
              <c:f>'T13-3'!$B$3:$B$18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'T13-3'!$Y$3:$Y$18</c:f>
              <c:numCache>
                <c:formatCode>0.00</c:formatCode>
                <c:ptCount val="16"/>
                <c:pt idx="0">
                  <c:v>2.2931950486665356</c:v>
                </c:pt>
                <c:pt idx="1">
                  <c:v>1.6201040059752538</c:v>
                </c:pt>
                <c:pt idx="2">
                  <c:v>1.0881604984072715</c:v>
                </c:pt>
                <c:pt idx="3">
                  <c:v>1.0446457188226626</c:v>
                </c:pt>
                <c:pt idx="4">
                  <c:v>1.5278612197670265</c:v>
                </c:pt>
                <c:pt idx="5">
                  <c:v>2.2195485325053692</c:v>
                </c:pt>
                <c:pt idx="6">
                  <c:v>2.8565645857299224</c:v>
                </c:pt>
                <c:pt idx="7">
                  <c:v>3.415585156210569</c:v>
                </c:pt>
                <c:pt idx="8">
                  <c:v>3.8507786938528747</c:v>
                </c:pt>
                <c:pt idx="9">
                  <c:v>4.1883638946464474</c:v>
                </c:pt>
                <c:pt idx="10">
                  <c:v>4.3490036824749891</c:v>
                </c:pt>
                <c:pt idx="11">
                  <c:v>4.3676413534549043</c:v>
                </c:pt>
                <c:pt idx="12">
                  <c:v>4.2164234736433128</c:v>
                </c:pt>
                <c:pt idx="13">
                  <c:v>3.9315000293631739</c:v>
                </c:pt>
                <c:pt idx="14">
                  <c:v>3.4794514889053807</c:v>
                </c:pt>
                <c:pt idx="15">
                  <c:v>2.9280726784498898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5BF-4B9A-9620-C4562C1024A1}"/>
            </c:ext>
          </c:extLst>
        </c:ser>
        <c:ser>
          <c:idx val="1"/>
          <c:order val="1"/>
          <c:tx>
            <c:strRef>
              <c:f>'T13-3'!$Z$2</c:f>
              <c:strCache>
                <c:ptCount val="1"/>
                <c:pt idx="0">
                  <c:v>tiltC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25400">
                <a:solidFill>
                  <a:srgbClr val="FFFF00"/>
                </a:solidFill>
              </a:ln>
              <a:effectLst/>
            </c:spPr>
          </c:marker>
          <c:cat>
            <c:numRef>
              <c:f>'T13-3'!$B$3:$B$18</c:f>
              <c:numCache>
                <c:formatCode>General</c:formatCode>
                <c:ptCount val="16"/>
                <c:pt idx="0">
                  <c:v>0</c:v>
                </c:pt>
                <c:pt idx="1">
                  <c:v>22.5</c:v>
                </c:pt>
                <c:pt idx="2">
                  <c:v>45</c:v>
                </c:pt>
                <c:pt idx="3">
                  <c:v>67.5</c:v>
                </c:pt>
                <c:pt idx="4">
                  <c:v>90</c:v>
                </c:pt>
                <c:pt idx="5">
                  <c:v>112.5</c:v>
                </c:pt>
                <c:pt idx="6">
                  <c:v>135</c:v>
                </c:pt>
                <c:pt idx="7">
                  <c:v>157.5</c:v>
                </c:pt>
                <c:pt idx="8">
                  <c:v>180</c:v>
                </c:pt>
                <c:pt idx="9">
                  <c:v>202.5</c:v>
                </c:pt>
                <c:pt idx="10">
                  <c:v>225</c:v>
                </c:pt>
                <c:pt idx="11">
                  <c:v>247.5</c:v>
                </c:pt>
                <c:pt idx="12">
                  <c:v>270</c:v>
                </c:pt>
                <c:pt idx="13">
                  <c:v>292.5</c:v>
                </c:pt>
                <c:pt idx="14">
                  <c:v>315</c:v>
                </c:pt>
                <c:pt idx="15">
                  <c:v>337.5</c:v>
                </c:pt>
              </c:numCache>
            </c:numRef>
          </c:cat>
          <c:val>
            <c:numRef>
              <c:f>'T13-3'!$Z$3:$Z$18</c:f>
              <c:numCache>
                <c:formatCode>0.00</c:formatCode>
                <c:ptCount val="16"/>
                <c:pt idx="0">
                  <c:v>3.9871467220735557</c:v>
                </c:pt>
                <c:pt idx="1">
                  <c:v>4.2181531759144351</c:v>
                </c:pt>
                <c:pt idx="2">
                  <c:v>4.3703497680463528</c:v>
                </c:pt>
                <c:pt idx="3">
                  <c:v>4.3919398710887849</c:v>
                </c:pt>
                <c:pt idx="4">
                  <c:v>4.2330730660502711</c:v>
                </c:pt>
                <c:pt idx="5">
                  <c:v>3.9342941938486593</c:v>
                </c:pt>
                <c:pt idx="6">
                  <c:v>3.4862726435526454</c:v>
                </c:pt>
                <c:pt idx="7">
                  <c:v>2.9279930282268585</c:v>
                </c:pt>
                <c:pt idx="8">
                  <c:v>2.2824222563867713</c:v>
                </c:pt>
                <c:pt idx="9">
                  <c:v>1.6331410647894191</c:v>
                </c:pt>
                <c:pt idx="10">
                  <c:v>1.1086762104621264</c:v>
                </c:pt>
                <c:pt idx="11">
                  <c:v>1.104053136036147</c:v>
                </c:pt>
                <c:pt idx="12">
                  <c:v>1.6034195965696685</c:v>
                </c:pt>
                <c:pt idx="13">
                  <c:v>2.300215095931184</c:v>
                </c:pt>
                <c:pt idx="14">
                  <c:v>2.9472366977197746</c:v>
                </c:pt>
                <c:pt idx="15">
                  <c:v>3.5323116654605489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BF-4B9A-9620-C4562C1024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88144800"/>
        <c:axId val="1495022160"/>
      </c:lineChart>
      <c:catAx>
        <c:axId val="16881448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Azimuth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495022160"/>
        <c:crosses val="autoZero"/>
        <c:auto val="1"/>
        <c:lblAlgn val="ctr"/>
        <c:lblOffset val="100"/>
        <c:noMultiLvlLbl val="0"/>
      </c:catAx>
      <c:valAx>
        <c:axId val="1495022160"/>
        <c:scaling>
          <c:orientation val="minMax"/>
          <c:max val="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Tilt (°)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168814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18</xdr:row>
      <xdr:rowOff>200024</xdr:rowOff>
    </xdr:from>
    <xdr:to>
      <xdr:col>12</xdr:col>
      <xdr:colOff>0</xdr:colOff>
      <xdr:row>47</xdr:row>
      <xdr:rowOff>200024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3BDD5E-DDA6-CAAF-FB4B-E8CED9E2B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</xdr:colOff>
      <xdr:row>19</xdr:row>
      <xdr:rowOff>0</xdr:rowOff>
    </xdr:from>
    <xdr:to>
      <xdr:col>25</xdr:col>
      <xdr:colOff>1</xdr:colOff>
      <xdr:row>48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C7438E-0EB4-F6E9-C9D9-2732312FF4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8FE68-A055-4662-A0AD-4DC09BF30950}">
  <dimension ref="A1:Y17"/>
  <sheetViews>
    <sheetView tabSelected="1" zoomScaleNormal="100" workbookViewId="0">
      <selection activeCell="G8" sqref="G8:H8"/>
    </sheetView>
  </sheetViews>
  <sheetFormatPr defaultRowHeight="15.75" x14ac:dyDescent="0.25"/>
  <cols>
    <col min="1" max="4" width="9.140625" style="2"/>
    <col min="5" max="6" width="9.140625" style="2" customWidth="1"/>
    <col min="7" max="16384" width="9.140625" style="2"/>
  </cols>
  <sheetData>
    <row r="1" spans="1:25" ht="15.75" customHeight="1" x14ac:dyDescent="0.25">
      <c r="A1" s="36" t="s">
        <v>32</v>
      </c>
      <c r="B1" s="36"/>
      <c r="C1" s="36" t="s">
        <v>49</v>
      </c>
      <c r="D1" s="36"/>
      <c r="E1" s="36" t="s">
        <v>33</v>
      </c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</row>
    <row r="2" spans="1:25" ht="15.75" customHeight="1" x14ac:dyDescent="0.25">
      <c r="A2" s="36"/>
      <c r="B2" s="36"/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</row>
    <row r="4" spans="1:25" x14ac:dyDescent="0.25">
      <c r="A4" s="35" t="s">
        <v>34</v>
      </c>
      <c r="B4" s="35"/>
      <c r="C4" s="35"/>
      <c r="D4" s="35"/>
      <c r="E4" s="35"/>
      <c r="F4" s="35"/>
      <c r="G4" s="13">
        <v>315</v>
      </c>
      <c r="H4" s="14"/>
      <c r="I4" s="3" t="s">
        <v>19</v>
      </c>
      <c r="K4" s="39" t="s">
        <v>21</v>
      </c>
      <c r="L4" s="39"/>
      <c r="M4" s="39"/>
      <c r="N4" s="39"/>
      <c r="O4" s="39"/>
      <c r="P4" s="39"/>
      <c r="R4" s="37" t="s">
        <v>28</v>
      </c>
      <c r="S4" s="37"/>
      <c r="T4" s="37" t="s">
        <v>29</v>
      </c>
      <c r="U4" s="37"/>
      <c r="V4" s="37" t="s">
        <v>30</v>
      </c>
      <c r="W4" s="37"/>
      <c r="X4" s="37" t="s">
        <v>31</v>
      </c>
      <c r="Y4" s="37"/>
    </row>
    <row r="5" spans="1:25" x14ac:dyDescent="0.25">
      <c r="A5" s="10" t="s">
        <v>35</v>
      </c>
      <c r="B5" s="11"/>
      <c r="C5" s="11"/>
      <c r="D5" s="11"/>
      <c r="E5" s="11"/>
      <c r="F5" s="12"/>
      <c r="G5" s="13">
        <v>0</v>
      </c>
      <c r="H5" s="14"/>
      <c r="I5" s="3" t="s">
        <v>19</v>
      </c>
      <c r="K5" s="15" t="s">
        <v>50</v>
      </c>
      <c r="L5" s="16"/>
      <c r="M5" s="16"/>
      <c r="N5" s="16"/>
      <c r="O5" s="16"/>
      <c r="P5" s="17"/>
      <c r="R5" s="37"/>
      <c r="S5" s="37"/>
      <c r="T5" s="37"/>
      <c r="U5" s="37"/>
      <c r="V5" s="37"/>
      <c r="W5" s="37"/>
      <c r="X5" s="37"/>
      <c r="Y5" s="37"/>
    </row>
    <row r="6" spans="1:25" x14ac:dyDescent="0.25">
      <c r="A6" s="35" t="s">
        <v>36</v>
      </c>
      <c r="B6" s="35"/>
      <c r="C6" s="35"/>
      <c r="D6" s="35"/>
      <c r="E6" s="35"/>
      <c r="F6" s="35"/>
      <c r="G6" s="34">
        <v>0</v>
      </c>
      <c r="H6" s="34"/>
      <c r="I6" s="3" t="s">
        <v>27</v>
      </c>
      <c r="K6" s="18"/>
      <c r="L6" s="19"/>
      <c r="M6" s="19"/>
      <c r="N6" s="19"/>
      <c r="O6" s="19"/>
      <c r="P6" s="20"/>
      <c r="R6" s="37"/>
      <c r="S6" s="37"/>
      <c r="T6" s="37"/>
      <c r="U6" s="37"/>
      <c r="V6" s="37"/>
      <c r="W6" s="37"/>
      <c r="X6" s="37"/>
      <c r="Y6" s="37"/>
    </row>
    <row r="7" spans="1:25" ht="15.75" customHeight="1" x14ac:dyDescent="0.25">
      <c r="A7" s="35" t="s">
        <v>16</v>
      </c>
      <c r="B7" s="35"/>
      <c r="C7" s="35"/>
      <c r="D7" s="35"/>
      <c r="E7" s="35"/>
      <c r="F7" s="35"/>
      <c r="G7" s="38">
        <f>360/((23*60*60)+(56*60)+4.09)</f>
        <v>4.1780746480349299E-3</v>
      </c>
      <c r="H7" s="38"/>
      <c r="I7" s="3" t="s">
        <v>17</v>
      </c>
      <c r="K7" s="18"/>
      <c r="L7" s="19"/>
      <c r="M7" s="19"/>
      <c r="N7" s="19"/>
      <c r="O7" s="19"/>
      <c r="P7" s="20"/>
      <c r="R7" s="37"/>
      <c r="S7" s="37"/>
      <c r="T7" s="37"/>
      <c r="U7" s="37"/>
      <c r="V7" s="37"/>
      <c r="W7" s="37"/>
      <c r="X7" s="37"/>
      <c r="Y7" s="37"/>
    </row>
    <row r="8" spans="1:25" x14ac:dyDescent="0.25">
      <c r="A8" s="35" t="s">
        <v>18</v>
      </c>
      <c r="B8" s="35"/>
      <c r="C8" s="35"/>
      <c r="D8" s="35"/>
      <c r="E8" s="35"/>
      <c r="F8" s="35"/>
      <c r="G8" s="34">
        <v>49</v>
      </c>
      <c r="H8" s="34"/>
      <c r="I8" s="3" t="s">
        <v>19</v>
      </c>
      <c r="K8" s="18"/>
      <c r="L8" s="19"/>
      <c r="M8" s="19"/>
      <c r="N8" s="19"/>
      <c r="O8" s="19"/>
      <c r="P8" s="20"/>
      <c r="R8" s="40">
        <f>MIN('T13-3'!R3:R18)</f>
        <v>-4.4885299999999906E-3</v>
      </c>
      <c r="S8" s="40"/>
      <c r="T8" s="40">
        <f>MIN('T13-3'!S3:S18)</f>
        <v>-3.3570199999999883E-3</v>
      </c>
      <c r="U8" s="40"/>
      <c r="V8" s="40">
        <f>MAX('T13-3'!R3:R18)</f>
        <v>4.3064799999999737E-3</v>
      </c>
      <c r="W8" s="40"/>
      <c r="X8" s="40">
        <f>MAX('T13-3'!S3:S18)</f>
        <v>3.5990399999999978E-3</v>
      </c>
      <c r="Y8" s="40"/>
    </row>
    <row r="9" spans="1:25" ht="15.75" customHeight="1" x14ac:dyDescent="0.25">
      <c r="A9" s="29" t="s">
        <v>20</v>
      </c>
      <c r="B9" s="30"/>
      <c r="C9" s="30"/>
      <c r="D9" s="30"/>
      <c r="E9" s="30"/>
      <c r="F9" s="31"/>
      <c r="G9" s="32">
        <f>(COS(RADIANS(G8))*G7)</f>
        <v>2.7410635966396515E-3</v>
      </c>
      <c r="H9" s="33"/>
      <c r="I9" s="4" t="s">
        <v>17</v>
      </c>
      <c r="K9" s="18"/>
      <c r="L9" s="19"/>
      <c r="M9" s="19"/>
      <c r="N9" s="19"/>
      <c r="O9" s="19"/>
      <c r="P9" s="20"/>
      <c r="R9" s="40"/>
      <c r="S9" s="40"/>
      <c r="T9" s="40"/>
      <c r="U9" s="40"/>
      <c r="V9" s="40"/>
      <c r="W9" s="40"/>
      <c r="X9" s="40"/>
      <c r="Y9" s="40"/>
    </row>
    <row r="10" spans="1:25" x14ac:dyDescent="0.25">
      <c r="A10" s="35" t="s">
        <v>37</v>
      </c>
      <c r="B10" s="35"/>
      <c r="C10" s="35"/>
      <c r="D10" s="35"/>
      <c r="E10" s="35"/>
      <c r="F10" s="35"/>
      <c r="G10" s="34">
        <v>22.5</v>
      </c>
      <c r="H10" s="34"/>
      <c r="I10" s="3" t="s">
        <v>19</v>
      </c>
      <c r="K10" s="18"/>
      <c r="L10" s="19"/>
      <c r="M10" s="19"/>
      <c r="N10" s="19"/>
      <c r="O10" s="19"/>
      <c r="P10" s="20"/>
    </row>
    <row r="11" spans="1:25" x14ac:dyDescent="0.25">
      <c r="A11" s="10" t="s">
        <v>38</v>
      </c>
      <c r="B11" s="11"/>
      <c r="C11" s="11"/>
      <c r="D11" s="11"/>
      <c r="E11" s="11"/>
      <c r="F11" s="12"/>
      <c r="G11" s="13">
        <f>360/G10</f>
        <v>16</v>
      </c>
      <c r="H11" s="14"/>
      <c r="I11" s="3"/>
      <c r="K11" s="18"/>
      <c r="L11" s="19"/>
      <c r="M11" s="19"/>
      <c r="N11" s="19"/>
      <c r="O11" s="19"/>
      <c r="P11" s="20"/>
    </row>
    <row r="12" spans="1:25" x14ac:dyDescent="0.25">
      <c r="A12" s="35" t="s">
        <v>22</v>
      </c>
      <c r="B12" s="35"/>
      <c r="C12" s="35"/>
      <c r="D12" s="35"/>
      <c r="E12" s="35"/>
      <c r="F12" s="35"/>
      <c r="G12" s="34" t="s">
        <v>23</v>
      </c>
      <c r="H12" s="34"/>
      <c r="I12" s="3"/>
      <c r="K12" s="18"/>
      <c r="L12" s="19"/>
      <c r="M12" s="19"/>
      <c r="N12" s="19"/>
      <c r="O12" s="19"/>
      <c r="P12" s="20"/>
    </row>
    <row r="13" spans="1:25" x14ac:dyDescent="0.25">
      <c r="A13" s="10" t="s">
        <v>24</v>
      </c>
      <c r="B13" s="11"/>
      <c r="C13" s="11"/>
      <c r="D13" s="11"/>
      <c r="E13" s="11"/>
      <c r="F13" s="12"/>
      <c r="G13" s="13">
        <v>50</v>
      </c>
      <c r="H13" s="14"/>
      <c r="I13" s="3"/>
      <c r="K13" s="18"/>
      <c r="L13" s="19"/>
      <c r="M13" s="19"/>
      <c r="N13" s="19"/>
      <c r="O13" s="19"/>
      <c r="P13" s="20"/>
    </row>
    <row r="14" spans="1:25" x14ac:dyDescent="0.25">
      <c r="A14" s="10" t="s">
        <v>25</v>
      </c>
      <c r="B14" s="11"/>
      <c r="C14" s="11"/>
      <c r="D14" s="11"/>
      <c r="E14" s="11"/>
      <c r="F14" s="12"/>
      <c r="G14" s="13">
        <v>200</v>
      </c>
      <c r="H14" s="14"/>
      <c r="I14" s="3"/>
      <c r="K14" s="18"/>
      <c r="L14" s="19"/>
      <c r="M14" s="19"/>
      <c r="N14" s="19"/>
      <c r="O14" s="19"/>
      <c r="P14" s="20"/>
      <c r="R14" s="42"/>
      <c r="S14" s="42"/>
      <c r="T14" s="42"/>
      <c r="U14" s="42"/>
      <c r="V14" s="42"/>
      <c r="W14" s="42"/>
      <c r="X14" s="42"/>
      <c r="Y14" s="42"/>
    </row>
    <row r="15" spans="1:25" x14ac:dyDescent="0.25">
      <c r="A15" s="10" t="s">
        <v>26</v>
      </c>
      <c r="B15" s="11"/>
      <c r="C15" s="11"/>
      <c r="D15" s="11"/>
      <c r="E15" s="11"/>
      <c r="F15" s="12"/>
      <c r="G15" s="13">
        <v>50</v>
      </c>
      <c r="H15" s="14"/>
      <c r="I15" s="3"/>
      <c r="K15" s="18"/>
      <c r="L15" s="19"/>
      <c r="M15" s="19"/>
      <c r="N15" s="19"/>
      <c r="O15" s="19"/>
      <c r="P15" s="20"/>
      <c r="R15" s="42"/>
      <c r="S15" s="42"/>
      <c r="T15" s="42"/>
      <c r="U15" s="42"/>
      <c r="V15" s="42"/>
      <c r="W15" s="42"/>
      <c r="X15" s="42"/>
      <c r="Y15" s="42"/>
    </row>
    <row r="16" spans="1:25" x14ac:dyDescent="0.25">
      <c r="A16" s="24" t="s">
        <v>40</v>
      </c>
      <c r="B16" s="25"/>
      <c r="C16" s="25"/>
      <c r="D16" s="25"/>
      <c r="E16" s="25"/>
      <c r="F16" s="26"/>
      <c r="G16" s="27">
        <v>365</v>
      </c>
      <c r="H16" s="28"/>
      <c r="I16" s="5" t="s">
        <v>19</v>
      </c>
      <c r="K16" s="18"/>
      <c r="L16" s="19"/>
      <c r="M16" s="19"/>
      <c r="N16" s="19"/>
      <c r="O16" s="19"/>
      <c r="P16" s="20"/>
      <c r="R16" s="41"/>
      <c r="S16" s="41"/>
      <c r="T16" s="42"/>
      <c r="U16" s="42"/>
      <c r="V16" s="42"/>
      <c r="W16" s="42"/>
      <c r="X16" s="42"/>
      <c r="Y16" s="42"/>
    </row>
    <row r="17" spans="1:25" x14ac:dyDescent="0.25">
      <c r="A17" s="24" t="s">
        <v>39</v>
      </c>
      <c r="B17" s="25"/>
      <c r="C17" s="25"/>
      <c r="D17" s="25"/>
      <c r="E17" s="25"/>
      <c r="F17" s="26"/>
      <c r="G17" s="27">
        <f>G11*G13*G14</f>
        <v>160000</v>
      </c>
      <c r="H17" s="28"/>
      <c r="I17" s="3"/>
      <c r="K17" s="21"/>
      <c r="L17" s="22"/>
      <c r="M17" s="22"/>
      <c r="N17" s="22"/>
      <c r="O17" s="22"/>
      <c r="P17" s="23"/>
      <c r="R17" s="41"/>
      <c r="S17" s="41"/>
      <c r="T17" s="42"/>
      <c r="U17" s="42"/>
      <c r="V17" s="42"/>
      <c r="W17" s="42"/>
      <c r="X17" s="42"/>
      <c r="Y17" s="42"/>
    </row>
  </sheetData>
  <mergeCells count="49">
    <mergeCell ref="R16:S17"/>
    <mergeCell ref="T16:U17"/>
    <mergeCell ref="V16:W17"/>
    <mergeCell ref="X16:Y17"/>
    <mergeCell ref="R14:S15"/>
    <mergeCell ref="T14:U15"/>
    <mergeCell ref="V14:W15"/>
    <mergeCell ref="X14:Y15"/>
    <mergeCell ref="A12:F12"/>
    <mergeCell ref="A17:F17"/>
    <mergeCell ref="A13:F13"/>
    <mergeCell ref="A14:F14"/>
    <mergeCell ref="A15:F15"/>
    <mergeCell ref="R8:S9"/>
    <mergeCell ref="T4:U7"/>
    <mergeCell ref="V4:W7"/>
    <mergeCell ref="X4:Y7"/>
    <mergeCell ref="T8:U9"/>
    <mergeCell ref="V8:W9"/>
    <mergeCell ref="X8:Y9"/>
    <mergeCell ref="G4:H4"/>
    <mergeCell ref="A1:B2"/>
    <mergeCell ref="C1:D2"/>
    <mergeCell ref="E1:Y2"/>
    <mergeCell ref="R4:S7"/>
    <mergeCell ref="G7:H7"/>
    <mergeCell ref="A5:F5"/>
    <mergeCell ref="G5:H5"/>
    <mergeCell ref="A6:F6"/>
    <mergeCell ref="G6:H6"/>
    <mergeCell ref="K4:P4"/>
    <mergeCell ref="A4:F4"/>
    <mergeCell ref="A7:F7"/>
    <mergeCell ref="A11:F11"/>
    <mergeCell ref="G11:H11"/>
    <mergeCell ref="K5:P17"/>
    <mergeCell ref="A16:F16"/>
    <mergeCell ref="G16:H16"/>
    <mergeCell ref="G15:H15"/>
    <mergeCell ref="G14:H14"/>
    <mergeCell ref="G13:H13"/>
    <mergeCell ref="G17:H17"/>
    <mergeCell ref="A9:F9"/>
    <mergeCell ref="G9:H9"/>
    <mergeCell ref="G8:H8"/>
    <mergeCell ref="G10:H10"/>
    <mergeCell ref="G12:H12"/>
    <mergeCell ref="A8:F8"/>
    <mergeCell ref="A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13B5D-C28B-4F1E-93CC-398852228A2C}">
  <dimension ref="A1:AB18"/>
  <sheetViews>
    <sheetView workbookViewId="0">
      <selection activeCell="R2" sqref="R2:S18"/>
    </sheetView>
  </sheetViews>
  <sheetFormatPr defaultRowHeight="15" x14ac:dyDescent="0.25"/>
  <cols>
    <col min="4" max="4" width="12.140625" customWidth="1"/>
    <col min="5" max="5" width="12.42578125" customWidth="1"/>
    <col min="6" max="7" width="14.5703125" customWidth="1"/>
    <col min="8" max="8" width="15.42578125" customWidth="1"/>
    <col min="9" max="9" width="13.140625" customWidth="1"/>
    <col min="10" max="10" width="14.42578125" customWidth="1"/>
    <col min="11" max="11" width="12.28515625" customWidth="1"/>
    <col min="12" max="12" width="14.28515625" customWidth="1"/>
    <col min="13" max="13" width="13.140625" customWidth="1"/>
    <col min="14" max="14" width="12.5703125" customWidth="1"/>
    <col min="15" max="15" width="15.28515625" customWidth="1"/>
    <col min="21" max="21" width="11.28515625" customWidth="1"/>
    <col min="22" max="22" width="13.5703125" customWidth="1"/>
    <col min="23" max="23" width="13.28515625" customWidth="1"/>
    <col min="24" max="24" width="12.5703125" customWidth="1"/>
    <col min="27" max="27" width="15.7109375" customWidth="1"/>
    <col min="28" max="28" width="20.85546875" customWidth="1"/>
  </cols>
  <sheetData>
    <row r="1" spans="1:28" x14ac:dyDescent="0.25">
      <c r="U1" s="6"/>
      <c r="V1" s="6"/>
      <c r="W1" s="6"/>
      <c r="X1" s="6"/>
      <c r="Y1" s="6"/>
      <c r="Z1" s="6"/>
      <c r="AA1" s="6"/>
      <c r="AB1" s="6"/>
    </row>
    <row r="2" spans="1:28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  <c r="O2" t="s">
        <v>13</v>
      </c>
      <c r="R2" t="s">
        <v>14</v>
      </c>
      <c r="S2" t="s">
        <v>15</v>
      </c>
      <c r="U2" s="7" t="s">
        <v>41</v>
      </c>
      <c r="V2" s="7" t="s">
        <v>42</v>
      </c>
      <c r="W2" s="7" t="s">
        <v>43</v>
      </c>
      <c r="X2" s="7" t="s">
        <v>44</v>
      </c>
      <c r="Y2" s="7" t="s">
        <v>45</v>
      </c>
      <c r="Z2" s="6" t="s">
        <v>46</v>
      </c>
      <c r="AA2" s="6" t="s">
        <v>47</v>
      </c>
      <c r="AB2" s="6" t="s">
        <v>48</v>
      </c>
    </row>
    <row r="3" spans="1:28" x14ac:dyDescent="0.25">
      <c r="A3">
        <v>1</v>
      </c>
      <c r="B3">
        <v>0</v>
      </c>
      <c r="C3">
        <v>50</v>
      </c>
      <c r="D3" s="1">
        <v>-0.27962300000000001</v>
      </c>
      <c r="E3" s="1">
        <v>-0.27221400000000001</v>
      </c>
      <c r="F3" s="1">
        <v>-7.4090099999999997E-3</v>
      </c>
      <c r="G3" s="1">
        <v>0.52801209999999998</v>
      </c>
      <c r="H3" s="1">
        <v>0.52510500000000004</v>
      </c>
      <c r="I3" s="1">
        <v>2.9071000000000001E-3</v>
      </c>
      <c r="J3" s="1">
        <v>2.739492E-2</v>
      </c>
      <c r="K3" s="1">
        <v>6.7663580000000001E-2</v>
      </c>
      <c r="L3" s="1">
        <v>-4.0268659999999998E-2</v>
      </c>
      <c r="M3" s="1">
        <v>-2.9164499999999999E-2</v>
      </c>
      <c r="N3" s="1">
        <v>1.6013570000000001E-2</v>
      </c>
      <c r="O3" s="1">
        <v>-4.5178070000000001E-2</v>
      </c>
      <c r="R3">
        <f>(D3-E3)/2</f>
        <v>-3.7044999999999995E-3</v>
      </c>
      <c r="S3">
        <f>(G3-H3)/2</f>
        <v>1.4535499999999701E-3</v>
      </c>
      <c r="U3" s="8">
        <f>J3</f>
        <v>2.739492E-2</v>
      </c>
      <c r="V3" s="8">
        <f>M3</f>
        <v>-2.9164499999999999E-2</v>
      </c>
      <c r="W3" s="8">
        <f>K3</f>
        <v>6.7663580000000001E-2</v>
      </c>
      <c r="X3" s="8">
        <f>N3</f>
        <v>1.6013570000000001E-2</v>
      </c>
      <c r="Y3" s="9">
        <f t="shared" ref="Y3" si="0">IF(U3="","",DEGREES(ASIN(SQRT(U3^2+V3^2))))</f>
        <v>2.2931950486665356</v>
      </c>
      <c r="Z3" s="9">
        <f t="shared" ref="Z3" si="1">IF(W3="","",DEGREES(ASIN(SQRT(W3^2+X3^2))))</f>
        <v>3.9871467220735557</v>
      </c>
      <c r="AA3" s="9">
        <f t="shared" ref="AA3" si="2">IF(U3="","",MOD(DEGREES(ATAN2(U3,V3)),360))</f>
        <v>313.20796602686465</v>
      </c>
      <c r="AB3" s="9">
        <f t="shared" ref="AB3" si="3">IF(U3="","",MOD(F3+AA3,360))</f>
        <v>313.20055701686465</v>
      </c>
    </row>
    <row r="4" spans="1:28" x14ac:dyDescent="0.25">
      <c r="A4">
        <v>2</v>
      </c>
      <c r="B4">
        <v>22.5</v>
      </c>
      <c r="C4">
        <v>50</v>
      </c>
      <c r="D4" s="1">
        <v>-0.27954104000000002</v>
      </c>
      <c r="E4" s="1">
        <v>-0.27315592</v>
      </c>
      <c r="F4" s="1">
        <v>-6.3851200000000002E-3</v>
      </c>
      <c r="G4" s="1">
        <v>0.52983100000000005</v>
      </c>
      <c r="H4" s="1">
        <v>0.52481009999999995</v>
      </c>
      <c r="I4" s="1">
        <v>5.0209199999999999E-3</v>
      </c>
      <c r="J4" s="1">
        <v>1.9791900000000001E-2</v>
      </c>
      <c r="K4" s="1">
        <v>7.3231089999999999E-2</v>
      </c>
      <c r="L4" s="1">
        <v>-5.3439199999999999E-2</v>
      </c>
      <c r="M4" s="1">
        <v>-2.0189309999999999E-2</v>
      </c>
      <c r="N4" s="1">
        <v>6.8865200000000001E-3</v>
      </c>
      <c r="O4" s="1">
        <v>-2.7075829999999999E-2</v>
      </c>
      <c r="R4">
        <f>(D4-E4)/2</f>
        <v>-3.1925600000000109E-3</v>
      </c>
      <c r="S4">
        <f t="shared" ref="S4:S18" si="4">(G4-H4)/2</f>
        <v>2.5104500000000529E-3</v>
      </c>
      <c r="U4" s="8">
        <f t="shared" ref="U4:U18" si="5">J4</f>
        <v>1.9791900000000001E-2</v>
      </c>
      <c r="V4" s="8">
        <f t="shared" ref="V4:V18" si="6">M4</f>
        <v>-2.0189309999999999E-2</v>
      </c>
      <c r="W4" s="8">
        <f t="shared" ref="W4:W18" si="7">K4</f>
        <v>7.3231089999999999E-2</v>
      </c>
      <c r="X4" s="8">
        <f t="shared" ref="X4:X18" si="8">N4</f>
        <v>6.8865200000000001E-3</v>
      </c>
      <c r="Y4" s="9">
        <f t="shared" ref="Y4:Y18" si="9">IF(U4="","",DEGREES(ASIN(SQRT(U4^2+V4^2))))</f>
        <v>1.6201040059752538</v>
      </c>
      <c r="Z4" s="9">
        <f t="shared" ref="Z4:Z18" si="10">IF(W4="","",DEGREES(ASIN(SQRT(W4^2+X4^2))))</f>
        <v>4.2181531759144351</v>
      </c>
      <c r="AA4" s="9">
        <f t="shared" ref="AA4:AA18" si="11">IF(U4="","",MOD(DEGREES(ATAN2(U4,V4)),360))</f>
        <v>314.43050333203081</v>
      </c>
      <c r="AB4" s="9">
        <f t="shared" ref="AB4:AB18" si="12">IF(U4="","",MOD(F4+AA4,360))</f>
        <v>314.42411821203081</v>
      </c>
    </row>
    <row r="5" spans="1:28" x14ac:dyDescent="0.25">
      <c r="A5">
        <v>3</v>
      </c>
      <c r="B5">
        <v>45</v>
      </c>
      <c r="C5">
        <v>50</v>
      </c>
      <c r="D5" s="1">
        <v>-0.27766898000000001</v>
      </c>
      <c r="E5" s="1">
        <v>-0.275839</v>
      </c>
      <c r="F5" s="1">
        <v>-1.8299799999999999E-3</v>
      </c>
      <c r="G5" s="1">
        <v>0.529331</v>
      </c>
      <c r="H5" s="1">
        <v>0.52421004000000004</v>
      </c>
      <c r="I5" s="1">
        <v>5.1209899999999997E-3</v>
      </c>
      <c r="J5" s="1">
        <v>1.669087E-2</v>
      </c>
      <c r="K5" s="1">
        <v>7.6085600000000003E-2</v>
      </c>
      <c r="L5" s="1">
        <v>-5.939473E-2</v>
      </c>
      <c r="M5" s="1">
        <v>-9.0590800000000006E-3</v>
      </c>
      <c r="N5" s="1">
        <v>-4.2291999999999998E-3</v>
      </c>
      <c r="O5" s="1">
        <v>-4.8298799999999999E-3</v>
      </c>
      <c r="R5">
        <f t="shared" ref="R5:R18" si="13">(D5-E5)/2</f>
        <v>-9.1499000000000441E-4</v>
      </c>
      <c r="S5">
        <f t="shared" si="4"/>
        <v>2.5604799999999761E-3</v>
      </c>
      <c r="U5" s="8">
        <f t="shared" si="5"/>
        <v>1.669087E-2</v>
      </c>
      <c r="V5" s="8">
        <f t="shared" si="6"/>
        <v>-9.0590800000000006E-3</v>
      </c>
      <c r="W5" s="8">
        <f t="shared" si="7"/>
        <v>7.6085600000000003E-2</v>
      </c>
      <c r="X5" s="8">
        <f t="shared" si="8"/>
        <v>-4.2291999999999998E-3</v>
      </c>
      <c r="Y5" s="9">
        <f t="shared" si="9"/>
        <v>1.0881604984072715</v>
      </c>
      <c r="Z5" s="9">
        <f t="shared" si="10"/>
        <v>4.3703497680463528</v>
      </c>
      <c r="AA5" s="9">
        <f t="shared" si="11"/>
        <v>331.50881063193322</v>
      </c>
      <c r="AB5" s="9">
        <f t="shared" si="12"/>
        <v>331.50698065193319</v>
      </c>
    </row>
    <row r="6" spans="1:28" x14ac:dyDescent="0.25">
      <c r="A6">
        <v>4</v>
      </c>
      <c r="B6">
        <v>67.5</v>
      </c>
      <c r="C6">
        <v>50</v>
      </c>
      <c r="D6" s="1">
        <v>-0.27677694000000003</v>
      </c>
      <c r="E6" s="1">
        <v>-0.276063</v>
      </c>
      <c r="F6" s="1">
        <v>-7.1394000000000004E-4</v>
      </c>
      <c r="G6" s="1">
        <v>0.53035100000000002</v>
      </c>
      <c r="H6" s="1">
        <v>0.52315292000000002</v>
      </c>
      <c r="I6" s="1">
        <v>7.1980400000000002E-3</v>
      </c>
      <c r="J6" s="1">
        <v>1.8067679999999999E-2</v>
      </c>
      <c r="K6" s="1">
        <v>7.4943940000000001E-2</v>
      </c>
      <c r="L6" s="1">
        <v>-5.6876259999999998E-2</v>
      </c>
      <c r="M6" s="1">
        <v>2.43853E-3</v>
      </c>
      <c r="N6" s="1">
        <v>-1.5738909999999998E-2</v>
      </c>
      <c r="O6" s="1">
        <v>1.817744E-2</v>
      </c>
      <c r="R6">
        <f t="shared" si="13"/>
        <v>-3.56970000000012E-4</v>
      </c>
      <c r="S6">
        <f t="shared" si="4"/>
        <v>3.5990399999999978E-3</v>
      </c>
      <c r="U6" s="8">
        <f t="shared" si="5"/>
        <v>1.8067679999999999E-2</v>
      </c>
      <c r="V6" s="8">
        <f t="shared" si="6"/>
        <v>2.43853E-3</v>
      </c>
      <c r="W6" s="8">
        <f t="shared" si="7"/>
        <v>7.4943940000000001E-2</v>
      </c>
      <c r="X6" s="8">
        <f t="shared" si="8"/>
        <v>-1.5738909999999998E-2</v>
      </c>
      <c r="Y6" s="9">
        <f t="shared" si="9"/>
        <v>1.0446457188226626</v>
      </c>
      <c r="Z6" s="9">
        <f t="shared" si="10"/>
        <v>4.3919398710887849</v>
      </c>
      <c r="AA6" s="9">
        <f t="shared" si="11"/>
        <v>7.6865579344488895</v>
      </c>
      <c r="AB6" s="9">
        <f t="shared" si="12"/>
        <v>7.6858439944488897</v>
      </c>
    </row>
    <row r="7" spans="1:28" x14ac:dyDescent="0.25">
      <c r="A7">
        <v>5</v>
      </c>
      <c r="B7">
        <v>90</v>
      </c>
      <c r="C7">
        <v>50</v>
      </c>
      <c r="D7" s="1">
        <v>-0.27561298000000001</v>
      </c>
      <c r="E7" s="1">
        <v>-0.27892107999999999</v>
      </c>
      <c r="F7" s="1">
        <v>3.3080900000000001E-3</v>
      </c>
      <c r="G7" s="1">
        <v>0.53061796000000006</v>
      </c>
      <c r="H7" s="1">
        <v>0.52505000000000002</v>
      </c>
      <c r="I7" s="1">
        <v>5.5679700000000002E-3</v>
      </c>
      <c r="J7" s="1">
        <v>2.3550979999999999E-2</v>
      </c>
      <c r="K7" s="1">
        <v>6.9151500000000005E-2</v>
      </c>
      <c r="L7" s="1">
        <v>-4.560053E-2</v>
      </c>
      <c r="M7" s="1">
        <v>1.250078E-2</v>
      </c>
      <c r="N7" s="1">
        <v>-2.581777E-2</v>
      </c>
      <c r="O7" s="1">
        <v>3.831855E-2</v>
      </c>
      <c r="R7">
        <f t="shared" si="13"/>
        <v>1.6540499999999903E-3</v>
      </c>
      <c r="S7">
        <f t="shared" si="4"/>
        <v>2.7839800000000192E-3</v>
      </c>
      <c r="U7" s="8">
        <f t="shared" si="5"/>
        <v>2.3550979999999999E-2</v>
      </c>
      <c r="V7" s="8">
        <f t="shared" si="6"/>
        <v>1.250078E-2</v>
      </c>
      <c r="W7" s="8">
        <f t="shared" si="7"/>
        <v>6.9151500000000005E-2</v>
      </c>
      <c r="X7" s="8">
        <f t="shared" si="8"/>
        <v>-2.581777E-2</v>
      </c>
      <c r="Y7" s="9">
        <f t="shared" si="9"/>
        <v>1.5278612197670265</v>
      </c>
      <c r="Z7" s="9">
        <f t="shared" si="10"/>
        <v>4.2330730660502711</v>
      </c>
      <c r="AA7" s="9">
        <f t="shared" si="11"/>
        <v>27.959210375579758</v>
      </c>
      <c r="AB7" s="9">
        <f t="shared" si="12"/>
        <v>27.962518465579759</v>
      </c>
    </row>
    <row r="8" spans="1:28" x14ac:dyDescent="0.25">
      <c r="A8">
        <v>6</v>
      </c>
      <c r="B8">
        <v>112.5</v>
      </c>
      <c r="C8">
        <v>50</v>
      </c>
      <c r="D8" s="1">
        <v>-0.27459398000000002</v>
      </c>
      <c r="E8" s="1">
        <v>-0.28068100000000001</v>
      </c>
      <c r="F8" s="1">
        <v>6.0870400000000002E-3</v>
      </c>
      <c r="G8" s="1">
        <v>0.53078791999999997</v>
      </c>
      <c r="H8" s="1">
        <v>0.52451307999999996</v>
      </c>
      <c r="I8" s="1">
        <v>6.27488E-3</v>
      </c>
      <c r="J8" s="1">
        <v>3.3289989999999998E-2</v>
      </c>
      <c r="K8" s="1">
        <v>6.0126800000000001E-2</v>
      </c>
      <c r="L8" s="1">
        <v>-2.6836809999999999E-2</v>
      </c>
      <c r="M8" s="1">
        <v>1.979121E-2</v>
      </c>
      <c r="N8" s="1">
        <v>-3.3051999999999998E-2</v>
      </c>
      <c r="O8" s="1">
        <v>5.2843220000000003E-2</v>
      </c>
      <c r="R8">
        <f t="shared" si="13"/>
        <v>3.0435099999999993E-3</v>
      </c>
      <c r="S8">
        <f t="shared" si="4"/>
        <v>3.1374200000000019E-3</v>
      </c>
      <c r="U8" s="8">
        <f t="shared" si="5"/>
        <v>3.3289989999999998E-2</v>
      </c>
      <c r="V8" s="8">
        <f t="shared" si="6"/>
        <v>1.979121E-2</v>
      </c>
      <c r="W8" s="8">
        <f t="shared" si="7"/>
        <v>6.0126800000000001E-2</v>
      </c>
      <c r="X8" s="8">
        <f t="shared" si="8"/>
        <v>-3.3051999999999998E-2</v>
      </c>
      <c r="Y8" s="9">
        <f t="shared" si="9"/>
        <v>2.2195485325053692</v>
      </c>
      <c r="Z8" s="9">
        <f t="shared" si="10"/>
        <v>3.9342941938486593</v>
      </c>
      <c r="AA8" s="9">
        <f t="shared" si="11"/>
        <v>30.731878740865653</v>
      </c>
      <c r="AB8" s="9">
        <f t="shared" si="12"/>
        <v>30.737965780865654</v>
      </c>
    </row>
    <row r="9" spans="1:28" x14ac:dyDescent="0.25">
      <c r="A9">
        <v>7</v>
      </c>
      <c r="B9">
        <v>135</v>
      </c>
      <c r="C9">
        <v>50</v>
      </c>
      <c r="D9" s="1">
        <v>-0.27412900000000001</v>
      </c>
      <c r="E9" s="1">
        <v>-0.27934700000000001</v>
      </c>
      <c r="F9" s="1">
        <v>5.2180000000000004E-3</v>
      </c>
      <c r="G9" s="1">
        <v>0.52920800000000001</v>
      </c>
      <c r="H9" s="1">
        <v>0.52585309999999996</v>
      </c>
      <c r="I9" s="1">
        <v>3.35491E-3</v>
      </c>
      <c r="J9" s="1">
        <v>4.4228759999999999E-2</v>
      </c>
      <c r="K9" s="1">
        <v>4.8881300000000003E-2</v>
      </c>
      <c r="L9" s="1">
        <v>-4.6525300000000002E-3</v>
      </c>
      <c r="M9" s="1">
        <v>2.2965719999999998E-2</v>
      </c>
      <c r="N9" s="1">
        <v>-3.6171830000000002E-2</v>
      </c>
      <c r="O9" s="1">
        <v>5.9137549999999997E-2</v>
      </c>
      <c r="R9">
        <f t="shared" si="13"/>
        <v>2.6090000000000002E-3</v>
      </c>
      <c r="S9">
        <f t="shared" si="4"/>
        <v>1.6774500000000248E-3</v>
      </c>
      <c r="U9" s="8">
        <f t="shared" si="5"/>
        <v>4.4228759999999999E-2</v>
      </c>
      <c r="V9" s="8">
        <f t="shared" si="6"/>
        <v>2.2965719999999998E-2</v>
      </c>
      <c r="W9" s="8">
        <f t="shared" si="7"/>
        <v>4.8881300000000003E-2</v>
      </c>
      <c r="X9" s="8">
        <f t="shared" si="8"/>
        <v>-3.6171830000000002E-2</v>
      </c>
      <c r="Y9" s="9">
        <f t="shared" si="9"/>
        <v>2.8565645857299224</v>
      </c>
      <c r="Z9" s="9">
        <f t="shared" si="10"/>
        <v>3.4862726435526454</v>
      </c>
      <c r="AA9" s="9">
        <f t="shared" si="11"/>
        <v>27.440530882246453</v>
      </c>
      <c r="AB9" s="9">
        <f t="shared" si="12"/>
        <v>27.445748882246452</v>
      </c>
    </row>
    <row r="10" spans="1:28" x14ac:dyDescent="0.25">
      <c r="A10">
        <v>8</v>
      </c>
      <c r="B10">
        <v>157.5</v>
      </c>
      <c r="C10">
        <v>50</v>
      </c>
      <c r="D10" s="1">
        <v>-0.27239600000000003</v>
      </c>
      <c r="E10" s="1">
        <v>-0.28100895999999997</v>
      </c>
      <c r="F10" s="1">
        <v>8.6129599999999994E-3</v>
      </c>
      <c r="G10" s="1">
        <v>0.52795599999999998</v>
      </c>
      <c r="H10" s="1">
        <v>0.52707216000000001</v>
      </c>
      <c r="I10" s="1">
        <v>8.8387999999999997E-4</v>
      </c>
      <c r="J10" s="1">
        <v>5.5516070000000001E-2</v>
      </c>
      <c r="K10" s="1">
        <v>3.7466550000000001E-2</v>
      </c>
      <c r="L10" s="1">
        <v>1.8049519999999999E-2</v>
      </c>
      <c r="M10" s="1">
        <v>2.1621580000000001E-2</v>
      </c>
      <c r="N10" s="1">
        <v>-3.4720510000000003E-2</v>
      </c>
      <c r="O10" s="1">
        <v>5.6342089999999997E-2</v>
      </c>
      <c r="R10">
        <f>(D10-E10)/2</f>
        <v>4.3064799999999737E-3</v>
      </c>
      <c r="S10">
        <f t="shared" si="4"/>
        <v>4.4191999999998455E-4</v>
      </c>
      <c r="U10" s="8">
        <f t="shared" si="5"/>
        <v>5.5516070000000001E-2</v>
      </c>
      <c r="V10" s="8">
        <f t="shared" si="6"/>
        <v>2.1621580000000001E-2</v>
      </c>
      <c r="W10" s="8">
        <f t="shared" si="7"/>
        <v>3.7466550000000001E-2</v>
      </c>
      <c r="X10" s="8">
        <f t="shared" si="8"/>
        <v>-3.4720510000000003E-2</v>
      </c>
      <c r="Y10" s="9">
        <f t="shared" si="9"/>
        <v>3.415585156210569</v>
      </c>
      <c r="Z10" s="9">
        <f t="shared" si="10"/>
        <v>2.9279930282268585</v>
      </c>
      <c r="AA10" s="9">
        <f t="shared" si="11"/>
        <v>21.279184757182968</v>
      </c>
      <c r="AB10" s="9">
        <f t="shared" si="12"/>
        <v>21.287797717182968</v>
      </c>
    </row>
    <row r="11" spans="1:28" x14ac:dyDescent="0.25">
      <c r="A11">
        <v>9</v>
      </c>
      <c r="B11">
        <v>180</v>
      </c>
      <c r="C11">
        <v>50</v>
      </c>
      <c r="D11" s="1">
        <v>-0.274592</v>
      </c>
      <c r="E11" s="1">
        <v>-0.28019803999999998</v>
      </c>
      <c r="F11" s="1">
        <v>5.6060299999999997E-3</v>
      </c>
      <c r="G11" s="1">
        <v>0.52859</v>
      </c>
      <c r="H11" s="1">
        <v>0.52684516000000003</v>
      </c>
      <c r="I11" s="1">
        <v>1.7448699999999999E-3</v>
      </c>
      <c r="J11" s="1">
        <v>6.5217629999999999E-2</v>
      </c>
      <c r="K11" s="1">
        <v>2.7143750000000001E-2</v>
      </c>
      <c r="L11" s="1">
        <v>3.8073879999999997E-2</v>
      </c>
      <c r="M11" s="1">
        <v>1.602754E-2</v>
      </c>
      <c r="N11" s="1">
        <v>-2.9142189999999998E-2</v>
      </c>
      <c r="O11" s="1">
        <v>4.5169729999999998E-2</v>
      </c>
      <c r="R11">
        <f t="shared" si="13"/>
        <v>2.8030199999999894E-3</v>
      </c>
      <c r="S11">
        <f t="shared" si="4"/>
        <v>8.7241999999998487E-4</v>
      </c>
      <c r="U11" s="8">
        <f t="shared" si="5"/>
        <v>6.5217629999999999E-2</v>
      </c>
      <c r="V11" s="8">
        <f t="shared" si="6"/>
        <v>1.602754E-2</v>
      </c>
      <c r="W11" s="8">
        <f t="shared" si="7"/>
        <v>2.7143750000000001E-2</v>
      </c>
      <c r="X11" s="8">
        <f t="shared" si="8"/>
        <v>-2.9142189999999998E-2</v>
      </c>
      <c r="Y11" s="9">
        <f t="shared" si="9"/>
        <v>3.8507786938528747</v>
      </c>
      <c r="Z11" s="9">
        <f t="shared" si="10"/>
        <v>2.2824222563867713</v>
      </c>
      <c r="AA11" s="9">
        <f t="shared" si="11"/>
        <v>13.807086865683067</v>
      </c>
      <c r="AB11" s="9">
        <f t="shared" si="12"/>
        <v>13.812692895683066</v>
      </c>
    </row>
    <row r="12" spans="1:28" x14ac:dyDescent="0.25">
      <c r="A12">
        <v>10</v>
      </c>
      <c r="B12">
        <v>202.5</v>
      </c>
      <c r="C12">
        <v>50</v>
      </c>
      <c r="D12" s="1">
        <v>-0.27407895999999998</v>
      </c>
      <c r="E12" s="1">
        <v>-0.279279</v>
      </c>
      <c r="F12" s="1">
        <v>5.2000299999999996E-3</v>
      </c>
      <c r="G12" s="1">
        <v>0.52646009999999999</v>
      </c>
      <c r="H12" s="1">
        <v>0.52667600000000003</v>
      </c>
      <c r="I12" s="1">
        <v>-2.1588999999999999E-4</v>
      </c>
      <c r="J12" s="1">
        <v>7.2702619999999996E-2</v>
      </c>
      <c r="K12" s="1">
        <v>2.0252050000000001E-2</v>
      </c>
      <c r="L12" s="1">
        <v>5.2450579999999997E-2</v>
      </c>
      <c r="M12" s="1">
        <v>6.9667499999999999E-3</v>
      </c>
      <c r="N12" s="1">
        <v>-2.0052299999999999E-2</v>
      </c>
      <c r="O12" s="1">
        <v>2.7019049999999999E-2</v>
      </c>
      <c r="R12">
        <f t="shared" si="13"/>
        <v>2.6000200000000084E-3</v>
      </c>
      <c r="S12">
        <f t="shared" si="4"/>
        <v>-1.0795000000002331E-4</v>
      </c>
      <c r="U12" s="8">
        <f t="shared" si="5"/>
        <v>7.2702619999999996E-2</v>
      </c>
      <c r="V12" s="8">
        <f t="shared" si="6"/>
        <v>6.9667499999999999E-3</v>
      </c>
      <c r="W12" s="8">
        <f t="shared" si="7"/>
        <v>2.0252050000000001E-2</v>
      </c>
      <c r="X12" s="8">
        <f t="shared" si="8"/>
        <v>-2.0052299999999999E-2</v>
      </c>
      <c r="Y12" s="9">
        <f t="shared" si="9"/>
        <v>4.1883638946464474</v>
      </c>
      <c r="Z12" s="9">
        <f t="shared" si="10"/>
        <v>1.6331410647894191</v>
      </c>
      <c r="AA12" s="9">
        <f t="shared" si="11"/>
        <v>5.4736718221618812</v>
      </c>
      <c r="AB12" s="9">
        <f t="shared" si="12"/>
        <v>5.4788718521618813</v>
      </c>
    </row>
    <row r="13" spans="1:28" x14ac:dyDescent="0.25">
      <c r="A13">
        <v>11</v>
      </c>
      <c r="B13">
        <v>225</v>
      </c>
      <c r="C13">
        <v>50</v>
      </c>
      <c r="D13" s="1">
        <v>-0.27454299999999998</v>
      </c>
      <c r="E13" s="1">
        <v>-0.27771797999999998</v>
      </c>
      <c r="F13" s="1">
        <v>3.1749899999999999E-3</v>
      </c>
      <c r="G13" s="1">
        <v>0.52547792000000004</v>
      </c>
      <c r="H13" s="1">
        <v>0.52892092000000002</v>
      </c>
      <c r="I13" s="1">
        <v>-3.4429999999999999E-3</v>
      </c>
      <c r="J13" s="1">
        <v>7.5712950000000001E-2</v>
      </c>
      <c r="K13" s="1">
        <v>1.7208060000000001E-2</v>
      </c>
      <c r="L13" s="1">
        <v>5.8504889999999997E-2</v>
      </c>
      <c r="M13" s="1">
        <v>-4.2397900000000002E-3</v>
      </c>
      <c r="N13" s="1">
        <v>-8.8464900000000003E-3</v>
      </c>
      <c r="O13" s="1">
        <v>4.6066900000000001E-3</v>
      </c>
      <c r="R13">
        <f t="shared" si="13"/>
        <v>1.587489999999997E-3</v>
      </c>
      <c r="S13">
        <f t="shared" si="4"/>
        <v>-1.7214999999999869E-3</v>
      </c>
      <c r="U13" s="8">
        <f t="shared" si="5"/>
        <v>7.5712950000000001E-2</v>
      </c>
      <c r="V13" s="8">
        <f t="shared" si="6"/>
        <v>-4.2397900000000002E-3</v>
      </c>
      <c r="W13" s="8">
        <f t="shared" si="7"/>
        <v>1.7208060000000001E-2</v>
      </c>
      <c r="X13" s="8">
        <f t="shared" si="8"/>
        <v>-8.8464900000000003E-3</v>
      </c>
      <c r="Y13" s="9">
        <f t="shared" si="9"/>
        <v>4.3490036824749891</v>
      </c>
      <c r="Z13" s="9">
        <f t="shared" si="10"/>
        <v>1.1086762104621264</v>
      </c>
      <c r="AA13" s="9">
        <f t="shared" si="11"/>
        <v>356.79488606175562</v>
      </c>
      <c r="AB13" s="9">
        <f t="shared" si="12"/>
        <v>356.79806105175561</v>
      </c>
    </row>
    <row r="14" spans="1:28" x14ac:dyDescent="0.25">
      <c r="A14">
        <v>12</v>
      </c>
      <c r="B14">
        <v>247.5</v>
      </c>
      <c r="C14">
        <v>50</v>
      </c>
      <c r="D14" s="1">
        <v>-0.27609097999999999</v>
      </c>
      <c r="E14" s="1">
        <v>-0.27708300000000002</v>
      </c>
      <c r="F14" s="1">
        <v>9.9203000000000008E-4</v>
      </c>
      <c r="G14" s="1">
        <v>0.52547896000000005</v>
      </c>
      <c r="H14" s="1">
        <v>0.53219300000000003</v>
      </c>
      <c r="I14" s="1">
        <v>-6.7140500000000001E-3</v>
      </c>
      <c r="J14" s="1">
        <v>7.4511129999999995E-2</v>
      </c>
      <c r="K14" s="1">
        <v>1.9087360000000001E-2</v>
      </c>
      <c r="L14" s="1">
        <v>5.5423779999999999E-2</v>
      </c>
      <c r="M14" s="1">
        <v>-1.5742140000000002E-2</v>
      </c>
      <c r="N14" s="1">
        <v>2.6334499999999999E-3</v>
      </c>
      <c r="O14" s="1">
        <v>-1.8375579999999999E-2</v>
      </c>
      <c r="R14">
        <f t="shared" si="13"/>
        <v>4.9601000000001894E-4</v>
      </c>
      <c r="S14">
        <f t="shared" si="4"/>
        <v>-3.3570199999999883E-3</v>
      </c>
      <c r="U14" s="8">
        <f t="shared" si="5"/>
        <v>7.4511129999999995E-2</v>
      </c>
      <c r="V14" s="8">
        <f t="shared" si="6"/>
        <v>-1.5742140000000002E-2</v>
      </c>
      <c r="W14" s="8">
        <f t="shared" si="7"/>
        <v>1.9087360000000001E-2</v>
      </c>
      <c r="X14" s="8">
        <f t="shared" si="8"/>
        <v>2.6334499999999999E-3</v>
      </c>
      <c r="Y14" s="9">
        <f t="shared" si="9"/>
        <v>4.3676413534549043</v>
      </c>
      <c r="Z14" s="9">
        <f t="shared" si="10"/>
        <v>1.104053136036147</v>
      </c>
      <c r="AA14" s="9">
        <f t="shared" si="11"/>
        <v>348.07041873624155</v>
      </c>
      <c r="AB14" s="9">
        <f t="shared" si="12"/>
        <v>348.07141076624157</v>
      </c>
    </row>
    <row r="15" spans="1:28" x14ac:dyDescent="0.25">
      <c r="A15">
        <v>13</v>
      </c>
      <c r="B15">
        <v>270</v>
      </c>
      <c r="C15">
        <v>50</v>
      </c>
      <c r="D15" s="1">
        <v>-0.27656700000000001</v>
      </c>
      <c r="E15" s="1">
        <v>-0.27490700000000001</v>
      </c>
      <c r="F15" s="1">
        <v>-1.6600199999999999E-3</v>
      </c>
      <c r="G15" s="1">
        <v>0.52525500000000003</v>
      </c>
      <c r="H15" s="1">
        <v>0.53127504000000003</v>
      </c>
      <c r="I15" s="1">
        <v>-6.0200100000000001E-3</v>
      </c>
      <c r="J15" s="1">
        <v>6.8856730000000005E-2</v>
      </c>
      <c r="K15" s="1">
        <v>2.4970119999999998E-2</v>
      </c>
      <c r="L15" s="1">
        <v>4.388661E-2</v>
      </c>
      <c r="M15" s="1">
        <v>-2.5778659999999998E-2</v>
      </c>
      <c r="N15" s="1">
        <v>1.26272E-2</v>
      </c>
      <c r="O15" s="1">
        <v>-3.840586E-2</v>
      </c>
      <c r="R15">
        <f t="shared" si="13"/>
        <v>-8.2999999999999741E-4</v>
      </c>
      <c r="S15">
        <f t="shared" si="4"/>
        <v>-3.0100200000000021E-3</v>
      </c>
      <c r="U15" s="8">
        <f t="shared" si="5"/>
        <v>6.8856730000000005E-2</v>
      </c>
      <c r="V15" s="8">
        <f t="shared" si="6"/>
        <v>-2.5778659999999998E-2</v>
      </c>
      <c r="W15" s="8">
        <f t="shared" si="7"/>
        <v>2.4970119999999998E-2</v>
      </c>
      <c r="X15" s="8">
        <f t="shared" si="8"/>
        <v>1.26272E-2</v>
      </c>
      <c r="Y15" s="9">
        <f t="shared" si="9"/>
        <v>4.2164234736433128</v>
      </c>
      <c r="Z15" s="9">
        <f t="shared" si="10"/>
        <v>1.6034195965696685</v>
      </c>
      <c r="AA15" s="9">
        <f t="shared" si="11"/>
        <v>339.47504841112243</v>
      </c>
      <c r="AB15" s="9">
        <f t="shared" si="12"/>
        <v>339.47338839112246</v>
      </c>
    </row>
    <row r="16" spans="1:28" x14ac:dyDescent="0.25">
      <c r="A16">
        <v>14</v>
      </c>
      <c r="B16">
        <v>292.5</v>
      </c>
      <c r="C16">
        <v>50</v>
      </c>
      <c r="D16" s="1">
        <v>-0.27893403999999999</v>
      </c>
      <c r="E16" s="1">
        <v>-0.27246103999999999</v>
      </c>
      <c r="F16" s="1">
        <v>-6.4729999999999996E-3</v>
      </c>
      <c r="G16" s="1">
        <v>0.52645500000000001</v>
      </c>
      <c r="H16" s="1">
        <v>0.53189600000000004</v>
      </c>
      <c r="I16" s="1">
        <v>-5.4410099999999996E-3</v>
      </c>
      <c r="J16" s="1">
        <v>6.0082660000000003E-2</v>
      </c>
      <c r="K16" s="1">
        <v>3.4951219999999998E-2</v>
      </c>
      <c r="L16" s="1">
        <v>2.5131440000000001E-2</v>
      </c>
      <c r="M16" s="1">
        <v>-3.30313E-2</v>
      </c>
      <c r="N16" s="1">
        <v>1.9730029999999999E-2</v>
      </c>
      <c r="O16" s="1">
        <v>-5.2761330000000002E-2</v>
      </c>
      <c r="R16">
        <f t="shared" si="13"/>
        <v>-3.2365000000000033E-3</v>
      </c>
      <c r="S16">
        <f t="shared" si="4"/>
        <v>-2.7205000000000146E-3</v>
      </c>
      <c r="U16" s="8">
        <f t="shared" si="5"/>
        <v>6.0082660000000003E-2</v>
      </c>
      <c r="V16" s="8">
        <f t="shared" si="6"/>
        <v>-3.30313E-2</v>
      </c>
      <c r="W16" s="8">
        <f t="shared" si="7"/>
        <v>3.4951219999999998E-2</v>
      </c>
      <c r="X16" s="8">
        <f t="shared" si="8"/>
        <v>1.9730029999999999E-2</v>
      </c>
      <c r="Y16" s="9">
        <f t="shared" si="9"/>
        <v>3.9315000293631739</v>
      </c>
      <c r="Z16" s="9">
        <f t="shared" si="10"/>
        <v>2.300215095931184</v>
      </c>
      <c r="AA16" s="9">
        <f t="shared" si="11"/>
        <v>331.19957662651802</v>
      </c>
      <c r="AB16" s="9">
        <f t="shared" si="12"/>
        <v>331.193103626518</v>
      </c>
    </row>
    <row r="17" spans="1:28" x14ac:dyDescent="0.25">
      <c r="A17">
        <v>15</v>
      </c>
      <c r="B17">
        <v>315</v>
      </c>
      <c r="C17">
        <v>50</v>
      </c>
      <c r="D17" s="1">
        <v>-0.27983200000000003</v>
      </c>
      <c r="E17" s="1">
        <v>-0.27235897999999997</v>
      </c>
      <c r="F17" s="1">
        <v>-7.4730200000000004E-3</v>
      </c>
      <c r="G17" s="1">
        <v>0.52533892000000004</v>
      </c>
      <c r="H17" s="1">
        <v>0.52849400000000002</v>
      </c>
      <c r="I17" s="1">
        <v>-3.15505E-3</v>
      </c>
      <c r="J17" s="1">
        <v>4.8775640000000002E-2</v>
      </c>
      <c r="K17" s="1">
        <v>4.6102980000000002E-2</v>
      </c>
      <c r="L17" s="1">
        <v>2.6726499999999999E-3</v>
      </c>
      <c r="M17" s="1">
        <v>-3.6114840000000002E-2</v>
      </c>
      <c r="N17" s="1">
        <v>2.2762939999999999E-2</v>
      </c>
      <c r="O17" s="1">
        <v>-5.8877789999999999E-2</v>
      </c>
      <c r="R17">
        <f t="shared" si="13"/>
        <v>-3.7365100000000262E-3</v>
      </c>
      <c r="S17">
        <f t="shared" si="4"/>
        <v>-1.5775399999999884E-3</v>
      </c>
      <c r="U17" s="8">
        <f t="shared" si="5"/>
        <v>4.8775640000000002E-2</v>
      </c>
      <c r="V17" s="8">
        <f t="shared" si="6"/>
        <v>-3.6114840000000002E-2</v>
      </c>
      <c r="W17" s="8">
        <f t="shared" si="7"/>
        <v>4.6102980000000002E-2</v>
      </c>
      <c r="X17" s="8">
        <f t="shared" si="8"/>
        <v>2.2762939999999999E-2</v>
      </c>
      <c r="Y17" s="9">
        <f t="shared" si="9"/>
        <v>3.4794514889053807</v>
      </c>
      <c r="Z17" s="9">
        <f t="shared" si="10"/>
        <v>2.9472366977197746</v>
      </c>
      <c r="AA17" s="9">
        <f t="shared" si="11"/>
        <v>323.48272382280334</v>
      </c>
      <c r="AB17" s="9">
        <f t="shared" si="12"/>
        <v>323.47525080280332</v>
      </c>
    </row>
    <row r="18" spans="1:28" x14ac:dyDescent="0.25">
      <c r="A18">
        <v>16</v>
      </c>
      <c r="B18">
        <v>337.5</v>
      </c>
      <c r="C18">
        <v>50</v>
      </c>
      <c r="D18" s="1">
        <v>-0.28132605999999999</v>
      </c>
      <c r="E18" s="1">
        <v>-0.27234900000000001</v>
      </c>
      <c r="F18" s="1">
        <v>-8.9770600000000002E-3</v>
      </c>
      <c r="G18" s="1">
        <v>0.52806090000000006</v>
      </c>
      <c r="H18" s="1">
        <v>0.52848510000000004</v>
      </c>
      <c r="I18" s="1">
        <v>-4.2421000000000001E-4</v>
      </c>
      <c r="J18" s="1">
        <v>3.734639E-2</v>
      </c>
      <c r="K18" s="1">
        <v>5.7746150000000003E-2</v>
      </c>
      <c r="L18" s="1">
        <v>-2.0399759999999999E-2</v>
      </c>
      <c r="M18" s="1">
        <v>-3.4851760000000002E-2</v>
      </c>
      <c r="N18" s="1">
        <v>2.147905E-2</v>
      </c>
      <c r="O18" s="1">
        <v>-5.6330810000000002E-2</v>
      </c>
      <c r="R18">
        <f t="shared" si="13"/>
        <v>-4.4885299999999906E-3</v>
      </c>
      <c r="S18">
        <f t="shared" si="4"/>
        <v>-2.1209999999999285E-4</v>
      </c>
      <c r="U18" s="8">
        <f t="shared" si="5"/>
        <v>3.734639E-2</v>
      </c>
      <c r="V18" s="8">
        <f t="shared" si="6"/>
        <v>-3.4851760000000002E-2</v>
      </c>
      <c r="W18" s="8">
        <f t="shared" si="7"/>
        <v>5.7746150000000003E-2</v>
      </c>
      <c r="X18" s="8">
        <f t="shared" si="8"/>
        <v>2.147905E-2</v>
      </c>
      <c r="Y18" s="9">
        <f t="shared" si="9"/>
        <v>2.9280726784498898</v>
      </c>
      <c r="Z18" s="9">
        <f t="shared" si="10"/>
        <v>3.5323116654605489</v>
      </c>
      <c r="AA18" s="9">
        <f t="shared" si="11"/>
        <v>316.97892785480008</v>
      </c>
      <c r="AB18" s="9">
        <f t="shared" si="12"/>
        <v>316.96995079480007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T13-3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Jaroslav Polame</dc:creator>
  <cp:lastModifiedBy>Jaroslav Polame</cp:lastModifiedBy>
  <dcterms:created xsi:type="dcterms:W3CDTF">2026-07-11T08:35:59Z</dcterms:created>
  <dcterms:modified xsi:type="dcterms:W3CDTF">2026-08-02T16:45:05Z</dcterms:modified>
</cp:coreProperties>
</file>