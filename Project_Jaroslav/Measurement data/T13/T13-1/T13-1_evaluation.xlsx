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3\T13-1\"/>
    </mc:Choice>
  </mc:AlternateContent>
  <xr:revisionPtr revIDLastSave="0" documentId="13_ncr:1_{F7E91CD8-08DA-4028-9C23-24F0AB0A1F6A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3-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9" i="2"/>
  <c r="S21" i="1"/>
  <c r="S20" i="1"/>
  <c r="R20" i="1"/>
  <c r="R21" i="1"/>
  <c r="Z18" i="1"/>
  <c r="Y18" i="1"/>
  <c r="X18" i="1"/>
  <c r="W18" i="1"/>
  <c r="V18" i="1"/>
  <c r="U18" i="1"/>
  <c r="Z17" i="1"/>
  <c r="X17" i="1"/>
  <c r="W17" i="1"/>
  <c r="V17" i="1"/>
  <c r="U17" i="1"/>
  <c r="X16" i="1"/>
  <c r="W16" i="1"/>
  <c r="Z16" i="1" s="1"/>
  <c r="V16" i="1"/>
  <c r="U16" i="1"/>
  <c r="Z15" i="1"/>
  <c r="Y15" i="1"/>
  <c r="X15" i="1"/>
  <c r="W15" i="1"/>
  <c r="V15" i="1"/>
  <c r="U15" i="1"/>
  <c r="Z14" i="1"/>
  <c r="X14" i="1"/>
  <c r="W14" i="1"/>
  <c r="V14" i="1"/>
  <c r="U14" i="1"/>
  <c r="X13" i="1"/>
  <c r="W13" i="1"/>
  <c r="Z13" i="1" s="1"/>
  <c r="V13" i="1"/>
  <c r="U13" i="1"/>
  <c r="Z12" i="1"/>
  <c r="Y12" i="1"/>
  <c r="X12" i="1"/>
  <c r="W12" i="1"/>
  <c r="V12" i="1"/>
  <c r="U12" i="1"/>
  <c r="Z11" i="1"/>
  <c r="X11" i="1"/>
  <c r="W11" i="1"/>
  <c r="V11" i="1"/>
  <c r="U11" i="1"/>
  <c r="X10" i="1"/>
  <c r="W10" i="1"/>
  <c r="Z10" i="1" s="1"/>
  <c r="V10" i="1"/>
  <c r="U10" i="1"/>
  <c r="Z9" i="1"/>
  <c r="Y9" i="1"/>
  <c r="X9" i="1"/>
  <c r="W9" i="1"/>
  <c r="V9" i="1"/>
  <c r="U9" i="1"/>
  <c r="Z8" i="1"/>
  <c r="X8" i="1"/>
  <c r="W8" i="1"/>
  <c r="V8" i="1"/>
  <c r="U8" i="1"/>
  <c r="X7" i="1"/>
  <c r="W7" i="1"/>
  <c r="Z7" i="1" s="1"/>
  <c r="V7" i="1"/>
  <c r="U7" i="1"/>
  <c r="Z6" i="1"/>
  <c r="Y6" i="1"/>
  <c r="X6" i="1"/>
  <c r="W6" i="1"/>
  <c r="V6" i="1"/>
  <c r="U6" i="1"/>
  <c r="Z5" i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7" i="2"/>
  <c r="G11" i="2"/>
  <c r="AB17" i="1" l="1"/>
  <c r="AB18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8" i="2" l="1"/>
  <c r="V8" i="2"/>
  <c r="T8" i="2"/>
  <c r="X8" i="2"/>
</calcChain>
</file>

<file path=xl/sharedStrings.xml><?xml version="1.0" encoding="utf-8"?>
<sst xmlns="http://schemas.openxmlformats.org/spreadsheetml/2006/main" count="56" uniqueCount="51">
  <si>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</si>
  <si>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</si>
  <si>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</si>
  <si>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</si>
  <si>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</si>
  <si>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</si>
  <si>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</si>
  <si>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</si>
  <si>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</si>
  <si>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</si>
  <si>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</si>
  <si>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</si>
  <si>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</si>
  <si>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</si>
  <si>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</si>
  <si>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</si>
  <si>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</si>
  <si>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</si>
  <si>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</si>
  <si>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</si>
  <si>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</si>
  <si>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Description:</t>
  </si>
  <si>
    <t>Rotation direction</t>
  </si>
  <si>
    <t>CW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</si>
  <si>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</si>
  <si>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</si>
  <si>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</si>
  <si>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</si>
  <si>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</si>
  <si>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</si>
  <si>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</si>
  <si>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</si>
  <si>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 xml:space="preserve">- 16*22,5° random position, full 360°
- start azimuth 0° (north)
- measuring plane level
- rotation CW
</t>
  </si>
  <si>
    <t>Test ID</t>
  </si>
  <si>
    <t>T13-1</t>
  </si>
  <si>
    <t>Azimuth-Dependence Test (Randomized Step Scan, Off-North Start, Tilted Mount)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</si>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</sst>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'T13-1'!$R$2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'T13-1'!$B$3:$B$18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'T13-1'!$R$3:$R$18</c:f>
              <c:numCache>
                <c:formatCode>General</c:formatCode>
                <c:ptCount val="16"/>
                <c:pt idx="0">
                  <c:v>-2.9214899999999988E-3</c:v>
                </c:pt>
                <c:pt idx="1">
                  <c:v>-3.0699799999999999E-3</c:v>
                </c:pt>
                <c:pt idx="2">
                  <c:v>-3.7785400000000108E-3</c:v>
                </c:pt>
                <c:pt idx="3">
                  <c:v>-1.0639900000000008E-3</c:v>
                </c:pt>
                <c:pt idx="4">
                  <c:v>7.9248000000001206E-4</c:v>
                </c:pt>
                <c:pt idx="5">
                  <c:v>1.6325199999999984E-3</c:v>
                </c:pt>
                <c:pt idx="6">
                  <c:v>3.2604900000000048E-3</c:v>
                </c:pt>
                <c:pt idx="7">
                  <c:v>3.1815199999999932E-3</c:v>
                </c:pt>
                <c:pt idx="8">
                  <c:v>3.1695000000000056E-3</c:v>
                </c:pt>
                <c:pt idx="9">
                  <c:v>2.1334799999999932E-3</c:v>
                </c:pt>
                <c:pt idx="10">
                  <c:v>1.7854900000000007E-3</c:v>
                </c:pt>
                <c:pt idx="11">
                  <c:v>7.3352000000000139E-4</c:v>
                </c:pt>
                <c:pt idx="12">
                  <c:v>8.4303999999998935E-4</c:v>
                </c:pt>
                <c:pt idx="13">
                  <c:v>-1.2164900000000006E-3</c:v>
                </c:pt>
                <c:pt idx="14">
                  <c:v>-1.9784899999999994E-3</c:v>
                </c:pt>
                <c:pt idx="15">
                  <c:v>-2.6305199999999973E-3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'T13-1'!$S$2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'T13-1'!$B$3:$B$18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'T13-1'!$S$3:$S$18</c:f>
              <c:numCache>
                <c:formatCode>General</c:formatCode>
                <c:ptCount val="16"/>
                <c:pt idx="0">
                  <c:v>1.3890200000000186E-3</c:v>
                </c:pt>
                <c:pt idx="1">
                  <c:v>2.7600799999999981E-3</c:v>
                </c:pt>
                <c:pt idx="2">
                  <c:v>3.4505199999999847E-3</c:v>
                </c:pt>
                <c:pt idx="3">
                  <c:v>3.0074400000000001E-3</c:v>
                </c:pt>
                <c:pt idx="4">
                  <c:v>4.28400000000001E-3</c:v>
                </c:pt>
                <c:pt idx="5">
                  <c:v>2.8429899999999897E-3</c:v>
                </c:pt>
                <c:pt idx="6">
                  <c:v>2.8714800000000096E-3</c:v>
                </c:pt>
                <c:pt idx="7">
                  <c:v>-2.7947999999999862E-4</c:v>
                </c:pt>
                <c:pt idx="8">
                  <c:v>-2.7151999999999732E-4</c:v>
                </c:pt>
                <c:pt idx="9">
                  <c:v>-9.4949999999999202E-4</c:v>
                </c:pt>
                <c:pt idx="10">
                  <c:v>-2.2115199999999946E-3</c:v>
                </c:pt>
                <c:pt idx="11">
                  <c:v>-1.743019999999984E-3</c:v>
                </c:pt>
                <c:pt idx="12">
                  <c:v>-3.2450200000000151E-3</c:v>
                </c:pt>
                <c:pt idx="13">
                  <c:v>-1.8015000000000114E-3</c:v>
                </c:pt>
                <c:pt idx="14">
                  <c:v>-9.0953999999998647E-4</c:v>
                </c:pt>
                <c:pt idx="15">
                  <c:v>-8.4354000000000373E-4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'T13-1'!$L$2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'T13-1'!$L$3:$L$18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4.4755400000000001E-3</c:v>
                      </c:pt>
                      <c:pt idx="1">
                        <c:v>-1.031491E-2</c:v>
                      </c:pt>
                      <c:pt idx="2">
                        <c:v>-2.3756010000000001E-2</c:v>
                      </c:pt>
                      <c:pt idx="3">
                        <c:v>-3.3202870000000002E-2</c:v>
                      </c:pt>
                      <c:pt idx="4">
                        <c:v>-3.8380909999999997E-2</c:v>
                      </c:pt>
                      <c:pt idx="5">
                        <c:v>-3.6903520000000002E-2</c:v>
                      </c:pt>
                      <c:pt idx="6">
                        <c:v>-2.974386E-2</c:v>
                      </c:pt>
                      <c:pt idx="7">
                        <c:v>-1.8695119999999999E-2</c:v>
                      </c:pt>
                      <c:pt idx="8">
                        <c:v>-4.8147900000000002E-3</c:v>
                      </c:pt>
                      <c:pt idx="9">
                        <c:v>1.002521E-2</c:v>
                      </c:pt>
                      <c:pt idx="10">
                        <c:v>2.307416E-2</c:v>
                      </c:pt>
                      <c:pt idx="11">
                        <c:v>3.2826380000000002E-2</c:v>
                      </c:pt>
                      <c:pt idx="12">
                        <c:v>3.6456540000000003E-2</c:v>
                      </c:pt>
                      <c:pt idx="13">
                        <c:v>3.6145459999999997E-2</c:v>
                      </c:pt>
                      <c:pt idx="14">
                        <c:v>2.9506310000000001E-2</c:v>
                      </c:pt>
                      <c:pt idx="15">
                        <c:v>1.8383340000000001E-2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'T13-1'!$O$2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'T13-1'!$O$3:$O$18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-3.7684670000000003E-2</c:v>
                      </c:pt>
                      <c:pt idx="1">
                        <c:v>-3.6560450000000001E-2</c:v>
                      </c:pt>
                      <c:pt idx="2">
                        <c:v>-2.9999950000000001E-2</c:v>
                      </c:pt>
                      <c:pt idx="3">
                        <c:v>-1.8819530000000001E-2</c:v>
                      </c:pt>
                      <c:pt idx="4">
                        <c:v>-4.8643999999999996E-3</c:v>
                      </c:pt>
                      <c:pt idx="5">
                        <c:v>1.010547E-2</c:v>
                      </c:pt>
                      <c:pt idx="6">
                        <c:v>2.3229300000000001E-2</c:v>
                      </c:pt>
                      <c:pt idx="7">
                        <c:v>3.2906829999999998E-2</c:v>
                      </c:pt>
                      <c:pt idx="8">
                        <c:v>3.7613430000000003E-2</c:v>
                      </c:pt>
                      <c:pt idx="9">
                        <c:v>3.6815569999999999E-2</c:v>
                      </c:pt>
                      <c:pt idx="10">
                        <c:v>3.0156789999999999E-2</c:v>
                      </c:pt>
                      <c:pt idx="11">
                        <c:v>1.8798140000000001E-2</c:v>
                      </c:pt>
                      <c:pt idx="12">
                        <c:v>4.7479000000000002E-3</c:v>
                      </c:pt>
                      <c:pt idx="13">
                        <c:v>-1.016211E-2</c:v>
                      </c:pt>
                      <c:pt idx="14">
                        <c:v>-2.3459569999999999E-2</c:v>
                      </c:pt>
                      <c:pt idx="15">
                        <c:v>-3.3091889999999999E-2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'T13-1'!$Y$2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'T13-1'!$B$3:$B$18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'T13-1'!$Y$3:$Y$18</c:f>
              <c:numCache>
                <c:formatCode>0.00</c:formatCode>
                <c:ptCount val="16"/>
                <c:pt idx="0">
                  <c:v>3.0630427101113451</c:v>
                </c:pt>
                <c:pt idx="1">
                  <c:v>2.6814200645721007</c:v>
                </c:pt>
                <c:pt idx="2">
                  <c:v>2.2600221223618631</c:v>
                </c:pt>
                <c:pt idx="3">
                  <c:v>1.8575746037096998</c:v>
                </c:pt>
                <c:pt idx="4">
                  <c:v>1.5655192076261226</c:v>
                </c:pt>
                <c:pt idx="5">
                  <c:v>1.493330767446712</c:v>
                </c:pt>
                <c:pt idx="6">
                  <c:v>1.7178573509154531</c:v>
                </c:pt>
                <c:pt idx="7">
                  <c:v>2.0798003154455569</c:v>
                </c:pt>
                <c:pt idx="8">
                  <c:v>2.4883441519209084</c:v>
                </c:pt>
                <c:pt idx="9">
                  <c:v>2.8861497831744742</c:v>
                </c:pt>
                <c:pt idx="10">
                  <c:v>3.2258251571023884</c:v>
                </c:pt>
                <c:pt idx="11">
                  <c:v>3.4679080641127173</c:v>
                </c:pt>
                <c:pt idx="12">
                  <c:v>3.6075271437121872</c:v>
                </c:pt>
                <c:pt idx="13">
                  <c:v>3.6383559290656882</c:v>
                </c:pt>
                <c:pt idx="14">
                  <c:v>3.5453521034275415</c:v>
                </c:pt>
                <c:pt idx="15">
                  <c:v>3.3567610298799084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'T13-1'!$Z$2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'T13-1'!$B$3:$B$18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'T13-1'!$Z$3:$Z$18</c:f>
              <c:numCache>
                <c:formatCode>0.00</c:formatCode>
                <c:ptCount val="16"/>
                <c:pt idx="0">
                  <c:v>2.4920171819116796</c:v>
                </c:pt>
                <c:pt idx="1">
                  <c:v>2.8919272764600712</c:v>
                </c:pt>
                <c:pt idx="2">
                  <c:v>3.2462337818496132</c:v>
                </c:pt>
                <c:pt idx="3">
                  <c:v>3.490476155370136</c:v>
                </c:pt>
                <c:pt idx="4">
                  <c:v>3.6723748070625142</c:v>
                </c:pt>
                <c:pt idx="5">
                  <c:v>3.6738508467154163</c:v>
                </c:pt>
                <c:pt idx="6">
                  <c:v>3.5774402461497945</c:v>
                </c:pt>
                <c:pt idx="7">
                  <c:v>3.3759572890483147</c:v>
                </c:pt>
                <c:pt idx="8">
                  <c:v>3.0704506796571587</c:v>
                </c:pt>
                <c:pt idx="9">
                  <c:v>2.689473139230369</c:v>
                </c:pt>
                <c:pt idx="10">
                  <c:v>2.2758206655500381</c:v>
                </c:pt>
                <c:pt idx="11">
                  <c:v>1.8546245081739872</c:v>
                </c:pt>
                <c:pt idx="12">
                  <c:v>1.6079680596540524</c:v>
                </c:pt>
                <c:pt idx="13">
                  <c:v>1.4995205336065069</c:v>
                </c:pt>
                <c:pt idx="14">
                  <c:v>1.696776823667119</c:v>
                </c:pt>
                <c:pt idx="15">
                  <c:v>2.0715249447749713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12</xdr:col>
      <xdr:colOff>0</xdr:colOff>
      <xdr:row>47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19</xdr:row>
      <xdr:rowOff>0</xdr:rowOff>
    </xdr:from>
    <xdr:to>
      <xdr:col>25</xdr:col>
      <xdr:colOff>1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7"/>
  <sheetViews>
    <sheetView tabSelected="1" zoomScaleNormal="100" workbookViewId="0">
      <selection activeCell="S17" sqref="S17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23" t="s">
        <v>33</v>
      </c>
      <c r="B1" s="23"/>
      <c r="C1" s="23" t="s">
        <v>34</v>
      </c>
      <c r="D1" s="23"/>
      <c r="E1" s="23" t="s">
        <v>35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5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4" spans="1:25" x14ac:dyDescent="0.25">
      <c r="A4" s="12" t="s">
        <v>36</v>
      </c>
      <c r="B4" s="12"/>
      <c r="C4" s="12"/>
      <c r="D4" s="12"/>
      <c r="E4" s="12"/>
      <c r="F4" s="12"/>
      <c r="G4" s="21">
        <v>0</v>
      </c>
      <c r="H4" s="22"/>
      <c r="I4" s="3" t="s">
        <v>19</v>
      </c>
      <c r="K4" s="26" t="s">
        <v>21</v>
      </c>
      <c r="L4" s="26"/>
      <c r="M4" s="26"/>
      <c r="N4" s="26"/>
      <c r="O4" s="26"/>
      <c r="P4" s="26"/>
      <c r="R4" s="20" t="s">
        <v>28</v>
      </c>
      <c r="S4" s="20"/>
      <c r="T4" s="20" t="s">
        <v>29</v>
      </c>
      <c r="U4" s="20"/>
      <c r="V4" s="20" t="s">
        <v>30</v>
      </c>
      <c r="W4" s="20"/>
      <c r="X4" s="20" t="s">
        <v>31</v>
      </c>
      <c r="Y4" s="20"/>
    </row>
    <row r="5" spans="1:25" x14ac:dyDescent="0.25">
      <c r="A5" s="16" t="s">
        <v>37</v>
      </c>
      <c r="B5" s="17"/>
      <c r="C5" s="17"/>
      <c r="D5" s="17"/>
      <c r="E5" s="17"/>
      <c r="F5" s="18"/>
      <c r="G5" s="21">
        <v>0</v>
      </c>
      <c r="H5" s="22"/>
      <c r="I5" s="3" t="s">
        <v>19</v>
      </c>
      <c r="K5" s="27" t="s">
        <v>32</v>
      </c>
      <c r="L5" s="28"/>
      <c r="M5" s="28"/>
      <c r="N5" s="28"/>
      <c r="O5" s="28"/>
      <c r="P5" s="29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12" t="s">
        <v>38</v>
      </c>
      <c r="B6" s="12"/>
      <c r="C6" s="12"/>
      <c r="D6" s="12"/>
      <c r="E6" s="12"/>
      <c r="F6" s="12"/>
      <c r="G6" s="25">
        <v>0</v>
      </c>
      <c r="H6" s="25"/>
      <c r="I6" s="3" t="s">
        <v>27</v>
      </c>
      <c r="K6" s="30"/>
      <c r="L6" s="31"/>
      <c r="M6" s="31"/>
      <c r="N6" s="31"/>
      <c r="O6" s="31"/>
      <c r="P6" s="32"/>
      <c r="R6" s="20"/>
      <c r="S6" s="20"/>
      <c r="T6" s="20"/>
      <c r="U6" s="20"/>
      <c r="V6" s="20"/>
      <c r="W6" s="20"/>
      <c r="X6" s="20"/>
      <c r="Y6" s="20"/>
    </row>
    <row r="7" spans="1:25" ht="15.75" customHeight="1" x14ac:dyDescent="0.25">
      <c r="A7" s="12" t="s">
        <v>16</v>
      </c>
      <c r="B7" s="12"/>
      <c r="C7" s="12"/>
      <c r="D7" s="12"/>
      <c r="E7" s="12"/>
      <c r="F7" s="12"/>
      <c r="G7" s="24">
        <f>360/((23*60*60)+(56*60)+4.09)</f>
        <v>4.1780746480349299E-3</v>
      </c>
      <c r="H7" s="24"/>
      <c r="I7" s="3" t="s">
        <v>17</v>
      </c>
      <c r="K7" s="30"/>
      <c r="L7" s="31"/>
      <c r="M7" s="31"/>
      <c r="N7" s="31"/>
      <c r="O7" s="31"/>
      <c r="P7" s="32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12" t="s">
        <v>18</v>
      </c>
      <c r="B8" s="12"/>
      <c r="C8" s="12"/>
      <c r="D8" s="12"/>
      <c r="E8" s="12"/>
      <c r="F8" s="12"/>
      <c r="G8" s="25">
        <v>49</v>
      </c>
      <c r="H8" s="25"/>
      <c r="I8" s="3" t="s">
        <v>19</v>
      </c>
      <c r="K8" s="30"/>
      <c r="L8" s="31"/>
      <c r="M8" s="31"/>
      <c r="N8" s="31"/>
      <c r="O8" s="31"/>
      <c r="P8" s="32"/>
      <c r="R8" s="19">
        <f>MIN('T13-1'!R3:R18)</f>
        <v>-3.7785400000000108E-3</v>
      </c>
      <c r="S8" s="19"/>
      <c r="T8" s="19">
        <f>MIN('T13-1'!S3:S18)</f>
        <v>-3.2450200000000151E-3</v>
      </c>
      <c r="U8" s="19"/>
      <c r="V8" s="19">
        <f>MAX('T13-1'!R3:R18)</f>
        <v>3.2604900000000048E-3</v>
      </c>
      <c r="W8" s="19"/>
      <c r="X8" s="19">
        <f>MAX('T13-1'!S3:S18)</f>
        <v>4.28400000000001E-3</v>
      </c>
      <c r="Y8" s="19"/>
    </row>
    <row r="9" spans="1:25" ht="15.75" customHeight="1" x14ac:dyDescent="0.25">
      <c r="A9" s="38" t="s">
        <v>20</v>
      </c>
      <c r="B9" s="39"/>
      <c r="C9" s="39"/>
      <c r="D9" s="39"/>
      <c r="E9" s="39"/>
      <c r="F9" s="40"/>
      <c r="G9" s="41">
        <f>(COS(RADIANS(G8))*G7)</f>
        <v>2.7410635966396515E-3</v>
      </c>
      <c r="H9" s="42"/>
      <c r="I9" s="4" t="s">
        <v>17</v>
      </c>
      <c r="K9" s="30"/>
      <c r="L9" s="31"/>
      <c r="M9" s="31"/>
      <c r="N9" s="31"/>
      <c r="O9" s="31"/>
      <c r="P9" s="32"/>
      <c r="R9" s="19"/>
      <c r="S9" s="19"/>
      <c r="T9" s="19"/>
      <c r="U9" s="19"/>
      <c r="V9" s="19"/>
      <c r="W9" s="19"/>
      <c r="X9" s="19"/>
      <c r="Y9" s="19"/>
    </row>
    <row r="10" spans="1:25" x14ac:dyDescent="0.25">
      <c r="A10" s="12" t="s">
        <v>39</v>
      </c>
      <c r="B10" s="12"/>
      <c r="C10" s="12"/>
      <c r="D10" s="12"/>
      <c r="E10" s="12"/>
      <c r="F10" s="12"/>
      <c r="G10" s="25">
        <v>22.5</v>
      </c>
      <c r="H10" s="25"/>
      <c r="I10" s="3" t="s">
        <v>19</v>
      </c>
      <c r="K10" s="30"/>
      <c r="L10" s="31"/>
      <c r="M10" s="31"/>
      <c r="N10" s="31"/>
      <c r="O10" s="31"/>
      <c r="P10" s="32"/>
    </row>
    <row r="11" spans="1:25" x14ac:dyDescent="0.25">
      <c r="A11" s="16" t="s">
        <v>40</v>
      </c>
      <c r="B11" s="17"/>
      <c r="C11" s="17"/>
      <c r="D11" s="17"/>
      <c r="E11" s="17"/>
      <c r="F11" s="18"/>
      <c r="G11" s="21">
        <f>360/G10</f>
        <v>16</v>
      </c>
      <c r="H11" s="22"/>
      <c r="I11" s="3"/>
      <c r="K11" s="30"/>
      <c r="L11" s="31"/>
      <c r="M11" s="31"/>
      <c r="N11" s="31"/>
      <c r="O11" s="31"/>
      <c r="P11" s="32"/>
      <c r="R11" s="11"/>
      <c r="S11" s="11"/>
      <c r="T11" s="11"/>
      <c r="U11" s="11"/>
      <c r="V11" s="11"/>
      <c r="W11" s="11"/>
      <c r="X11" s="11"/>
      <c r="Y11" s="11"/>
    </row>
    <row r="12" spans="1:25" x14ac:dyDescent="0.25">
      <c r="A12" s="12" t="s">
        <v>22</v>
      </c>
      <c r="B12" s="12"/>
      <c r="C12" s="12"/>
      <c r="D12" s="12"/>
      <c r="E12" s="12"/>
      <c r="F12" s="12"/>
      <c r="G12" s="25" t="s">
        <v>23</v>
      </c>
      <c r="H12" s="25"/>
      <c r="I12" s="3"/>
      <c r="K12" s="30"/>
      <c r="L12" s="31"/>
      <c r="M12" s="31"/>
      <c r="N12" s="31"/>
      <c r="O12" s="31"/>
      <c r="P12" s="32"/>
      <c r="R12" s="11"/>
      <c r="S12" s="11"/>
      <c r="T12" s="11"/>
      <c r="U12" s="11"/>
      <c r="V12" s="11"/>
      <c r="W12" s="11"/>
      <c r="X12" s="11"/>
      <c r="Y12" s="11"/>
    </row>
    <row r="13" spans="1:25" x14ac:dyDescent="0.25">
      <c r="A13" s="16" t="s">
        <v>24</v>
      </c>
      <c r="B13" s="17"/>
      <c r="C13" s="17"/>
      <c r="D13" s="17"/>
      <c r="E13" s="17"/>
      <c r="F13" s="18"/>
      <c r="G13" s="21">
        <v>50</v>
      </c>
      <c r="H13" s="22"/>
      <c r="I13" s="3"/>
      <c r="K13" s="30"/>
      <c r="L13" s="31"/>
      <c r="M13" s="31"/>
      <c r="N13" s="31"/>
      <c r="O13" s="31"/>
      <c r="P13" s="32"/>
      <c r="R13" s="10"/>
      <c r="S13" s="10"/>
      <c r="T13" s="10"/>
      <c r="U13" s="10"/>
      <c r="V13" s="10"/>
      <c r="W13" s="10"/>
      <c r="X13" s="10"/>
      <c r="Y13" s="10"/>
    </row>
    <row r="14" spans="1:25" ht="15.75" customHeight="1" x14ac:dyDescent="0.25">
      <c r="A14" s="16" t="s">
        <v>25</v>
      </c>
      <c r="B14" s="17"/>
      <c r="C14" s="17"/>
      <c r="D14" s="17"/>
      <c r="E14" s="17"/>
      <c r="F14" s="18"/>
      <c r="G14" s="21">
        <v>200</v>
      </c>
      <c r="H14" s="22"/>
      <c r="I14" s="3"/>
      <c r="K14" s="30"/>
      <c r="L14" s="31"/>
      <c r="M14" s="31"/>
      <c r="N14" s="31"/>
      <c r="O14" s="31"/>
      <c r="P14" s="32"/>
      <c r="R14" s="10"/>
      <c r="S14" s="10"/>
      <c r="T14" s="10"/>
      <c r="U14" s="10"/>
      <c r="V14" s="10"/>
      <c r="W14" s="10"/>
      <c r="X14" s="10"/>
      <c r="Y14" s="10"/>
    </row>
    <row r="15" spans="1:25" ht="15.75" customHeight="1" x14ac:dyDescent="0.25">
      <c r="A15" s="16" t="s">
        <v>26</v>
      </c>
      <c r="B15" s="17"/>
      <c r="C15" s="17"/>
      <c r="D15" s="17"/>
      <c r="E15" s="17"/>
      <c r="F15" s="18"/>
      <c r="G15" s="21">
        <v>50</v>
      </c>
      <c r="H15" s="22"/>
      <c r="I15" s="3"/>
      <c r="K15" s="30"/>
      <c r="L15" s="31"/>
      <c r="M15" s="31"/>
      <c r="N15" s="31"/>
      <c r="O15" s="31"/>
      <c r="P15" s="32"/>
    </row>
    <row r="16" spans="1:25" x14ac:dyDescent="0.25">
      <c r="A16" s="13" t="s">
        <v>42</v>
      </c>
      <c r="B16" s="14"/>
      <c r="C16" s="14"/>
      <c r="D16" s="14"/>
      <c r="E16" s="14"/>
      <c r="F16" s="15"/>
      <c r="G16" s="36">
        <v>200</v>
      </c>
      <c r="H16" s="37"/>
      <c r="I16" s="5" t="s">
        <v>19</v>
      </c>
      <c r="K16" s="30"/>
      <c r="L16" s="31"/>
      <c r="M16" s="31"/>
      <c r="N16" s="31"/>
      <c r="O16" s="31"/>
      <c r="P16" s="32"/>
    </row>
    <row r="17" spans="1:16" x14ac:dyDescent="0.25">
      <c r="A17" s="13" t="s">
        <v>41</v>
      </c>
      <c r="B17" s="14"/>
      <c r="C17" s="14"/>
      <c r="D17" s="14"/>
      <c r="E17" s="14"/>
      <c r="F17" s="15"/>
      <c r="G17" s="36">
        <f>G11*G13*G14</f>
        <v>160000</v>
      </c>
      <c r="H17" s="37"/>
      <c r="I17" s="3"/>
      <c r="K17" s="33"/>
      <c r="L17" s="34"/>
      <c r="M17" s="34"/>
      <c r="N17" s="34"/>
      <c r="O17" s="34"/>
      <c r="P17" s="35"/>
    </row>
  </sheetData>
  <mergeCells count="46"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  <mergeCell ref="G4:H4"/>
    <mergeCell ref="A1:B2"/>
    <mergeCell ref="C1:D2"/>
    <mergeCell ref="E1:Y2"/>
    <mergeCell ref="R4:S7"/>
    <mergeCell ref="G7:H7"/>
    <mergeCell ref="A5:F5"/>
    <mergeCell ref="G5:H5"/>
    <mergeCell ref="A6:F6"/>
    <mergeCell ref="G6:H6"/>
    <mergeCell ref="K4:P4"/>
    <mergeCell ref="A4:F4"/>
    <mergeCell ref="A7:F7"/>
    <mergeCell ref="R8:S9"/>
    <mergeCell ref="T4:U7"/>
    <mergeCell ref="V4:W7"/>
    <mergeCell ref="X4:Y7"/>
    <mergeCell ref="T8:U9"/>
    <mergeCell ref="V8:W9"/>
    <mergeCell ref="X8:Y9"/>
    <mergeCell ref="A12:F12"/>
    <mergeCell ref="A17:F17"/>
    <mergeCell ref="A13:F13"/>
    <mergeCell ref="A14:F14"/>
    <mergeCell ref="A15:F15"/>
    <mergeCell ref="V13:W14"/>
    <mergeCell ref="X13:Y14"/>
    <mergeCell ref="R13:S14"/>
    <mergeCell ref="T13:U14"/>
    <mergeCell ref="R11:Y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21"/>
  <sheetViews>
    <sheetView workbookViewId="0">
      <selection activeCell="L39" sqref="L39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43</v>
      </c>
      <c r="V2" s="7" t="s">
        <v>44</v>
      </c>
      <c r="W2" s="7" t="s">
        <v>45</v>
      </c>
      <c r="X2" s="7" t="s">
        <v>46</v>
      </c>
      <c r="Y2" s="7" t="s">
        <v>47</v>
      </c>
      <c r="Z2" s="6" t="s">
        <v>48</v>
      </c>
      <c r="AA2" s="6" t="s">
        <v>49</v>
      </c>
      <c r="AB2" s="6" t="s">
        <v>50</v>
      </c>
    </row>
    <row r="3" spans="1:28" x14ac:dyDescent="0.25">
      <c r="A3">
        <v>1</v>
      </c>
      <c r="B3">
        <v>0</v>
      </c>
      <c r="C3">
        <v>50</v>
      </c>
      <c r="D3" s="1">
        <v>-0.22268595999999999</v>
      </c>
      <c r="E3" s="1">
        <v>-0.21684297999999999</v>
      </c>
      <c r="F3" s="1">
        <v>-5.8429700000000003E-3</v>
      </c>
      <c r="G3" s="1">
        <v>0.43940704000000003</v>
      </c>
      <c r="H3" s="1">
        <v>0.43662899999999999</v>
      </c>
      <c r="I3" s="1">
        <v>2.7780499999999998E-3</v>
      </c>
      <c r="J3" s="1">
        <v>4.646318E-2</v>
      </c>
      <c r="K3" s="1">
        <v>4.198764E-2</v>
      </c>
      <c r="L3" s="1">
        <v>4.4755400000000001E-3</v>
      </c>
      <c r="M3" s="1">
        <v>-2.6390190000000001E-2</v>
      </c>
      <c r="N3" s="1">
        <v>1.1294480000000001E-2</v>
      </c>
      <c r="O3" s="1">
        <v>-3.7684670000000003E-2</v>
      </c>
      <c r="R3">
        <f>(D3-E3)/2</f>
        <v>-2.9214899999999988E-3</v>
      </c>
      <c r="S3">
        <f>(G3-H3)/2</f>
        <v>1.3890200000000186E-3</v>
      </c>
      <c r="U3" s="8">
        <f>J3</f>
        <v>4.646318E-2</v>
      </c>
      <c r="V3" s="8">
        <f>M3</f>
        <v>-2.6390190000000001E-2</v>
      </c>
      <c r="W3" s="8">
        <f>K3</f>
        <v>4.198764E-2</v>
      </c>
      <c r="X3" s="8">
        <f>N3</f>
        <v>1.1294480000000001E-2</v>
      </c>
      <c r="Y3" s="9">
        <f t="shared" ref="Y3" si="0">IF(U3="","",DEGREES(ASIN(SQRT(U3^2+V3^2))))</f>
        <v>3.0630427101113451</v>
      </c>
      <c r="Z3" s="9">
        <f t="shared" ref="Z3" si="1">IF(W3="","",DEGREES(ASIN(SQRT(W3^2+X3^2))))</f>
        <v>2.4920171819116796</v>
      </c>
      <c r="AA3" s="9">
        <f t="shared" ref="AA3" si="2">IF(U3="","",MOD(DEGREES(ATAN2(U3,V3)),360))</f>
        <v>330.40426057553867</v>
      </c>
      <c r="AB3" s="9">
        <f t="shared" ref="AB3" si="3">IF(U3="","",MOD(F3+AA3,360))</f>
        <v>330.39841760553867</v>
      </c>
    </row>
    <row r="4" spans="1:28" x14ac:dyDescent="0.25">
      <c r="A4">
        <v>2</v>
      </c>
      <c r="B4">
        <v>22.5</v>
      </c>
      <c r="C4">
        <v>50</v>
      </c>
      <c r="D4" s="1">
        <v>-0.22348398</v>
      </c>
      <c r="E4" s="1">
        <v>-0.21734402</v>
      </c>
      <c r="F4" s="1">
        <v>-6.1399599999999999E-3</v>
      </c>
      <c r="G4" s="1">
        <v>0.43838408000000001</v>
      </c>
      <c r="H4" s="1">
        <v>0.43286392000000001</v>
      </c>
      <c r="I4" s="1">
        <v>5.5201399999999998E-3</v>
      </c>
      <c r="J4" s="1">
        <v>3.8988519999999999E-2</v>
      </c>
      <c r="K4" s="1">
        <v>4.9303430000000002E-2</v>
      </c>
      <c r="L4" s="1">
        <v>-1.031491E-2</v>
      </c>
      <c r="M4" s="1">
        <v>-2.5855369999999999E-2</v>
      </c>
      <c r="N4" s="1">
        <v>1.070508E-2</v>
      </c>
      <c r="O4" s="1">
        <v>-3.6560450000000001E-2</v>
      </c>
      <c r="R4">
        <f>(D4-E4)/2</f>
        <v>-3.0699799999999999E-3</v>
      </c>
      <c r="S4">
        <f t="shared" ref="S4:S18" si="4">(G4-H4)/2</f>
        <v>2.7600799999999981E-3</v>
      </c>
      <c r="U4" s="8">
        <f t="shared" ref="U4:U18" si="5">J4</f>
        <v>3.8988519999999999E-2</v>
      </c>
      <c r="V4" s="8">
        <f t="shared" ref="V4:V18" si="6">M4</f>
        <v>-2.5855369999999999E-2</v>
      </c>
      <c r="W4" s="8">
        <f t="shared" ref="W4:W18" si="7">K4</f>
        <v>4.9303430000000002E-2</v>
      </c>
      <c r="X4" s="8">
        <f t="shared" ref="X4:X18" si="8">N4</f>
        <v>1.070508E-2</v>
      </c>
      <c r="Y4" s="9">
        <f t="shared" ref="Y4:Y18" si="9">IF(U4="","",DEGREES(ASIN(SQRT(U4^2+V4^2))))</f>
        <v>2.6814200645721007</v>
      </c>
      <c r="Z4" s="9">
        <f t="shared" ref="Z4:Z18" si="10">IF(W4="","",DEGREES(ASIN(SQRT(W4^2+X4^2))))</f>
        <v>2.8919272764600712</v>
      </c>
      <c r="AA4" s="9">
        <f t="shared" ref="AA4:AA18" si="11">IF(U4="","",MOD(DEGREES(ATAN2(U4,V4)),360))</f>
        <v>326.44951644696584</v>
      </c>
      <c r="AB4" s="9">
        <f t="shared" ref="AB4:AB18" si="12">IF(U4="","",MOD(F4+AA4,360))</f>
        <v>326.44337648696586</v>
      </c>
    </row>
    <row r="5" spans="1:28" x14ac:dyDescent="0.25">
      <c r="A5">
        <v>3</v>
      </c>
      <c r="B5">
        <v>45</v>
      </c>
      <c r="C5">
        <v>50</v>
      </c>
      <c r="D5" s="1">
        <v>-0.22519004000000001</v>
      </c>
      <c r="E5" s="1">
        <v>-0.21763295999999999</v>
      </c>
      <c r="F5" s="1">
        <v>-7.55706E-3</v>
      </c>
      <c r="G5" s="1">
        <v>0.43981903999999999</v>
      </c>
      <c r="H5" s="1">
        <v>0.43291800000000003</v>
      </c>
      <c r="I5" s="1">
        <v>6.9010599999999997E-3</v>
      </c>
      <c r="J5" s="1">
        <v>3.2374460000000001E-2</v>
      </c>
      <c r="K5" s="1">
        <v>5.6130470000000002E-2</v>
      </c>
      <c r="L5" s="1">
        <v>-2.3756010000000001E-2</v>
      </c>
      <c r="M5" s="1">
        <v>-2.251626E-2</v>
      </c>
      <c r="N5" s="1">
        <v>7.4836900000000003E-3</v>
      </c>
      <c r="O5" s="1">
        <v>-2.9999950000000001E-2</v>
      </c>
      <c r="R5">
        <f t="shared" ref="R5:R18" si="13">(D5-E5)/2</f>
        <v>-3.7785400000000108E-3</v>
      </c>
      <c r="S5">
        <f t="shared" si="4"/>
        <v>3.4505199999999847E-3</v>
      </c>
      <c r="U5" s="8">
        <f t="shared" si="5"/>
        <v>3.2374460000000001E-2</v>
      </c>
      <c r="V5" s="8">
        <f t="shared" si="6"/>
        <v>-2.251626E-2</v>
      </c>
      <c r="W5" s="8">
        <f t="shared" si="7"/>
        <v>5.6130470000000002E-2</v>
      </c>
      <c r="X5" s="8">
        <f t="shared" si="8"/>
        <v>7.4836900000000003E-3</v>
      </c>
      <c r="Y5" s="9">
        <f t="shared" si="9"/>
        <v>2.2600221223618631</v>
      </c>
      <c r="Z5" s="9">
        <f t="shared" si="10"/>
        <v>3.2462337818496132</v>
      </c>
      <c r="AA5" s="9">
        <f t="shared" si="11"/>
        <v>325.18159785952071</v>
      </c>
      <c r="AB5" s="9">
        <f t="shared" si="12"/>
        <v>325.1740407995207</v>
      </c>
    </row>
    <row r="6" spans="1:28" x14ac:dyDescent="0.25">
      <c r="A6">
        <v>4</v>
      </c>
      <c r="B6">
        <v>67.5</v>
      </c>
      <c r="C6">
        <v>50</v>
      </c>
      <c r="D6" s="1">
        <v>-0.22325700000000001</v>
      </c>
      <c r="E6" s="1">
        <v>-0.22112902000000001</v>
      </c>
      <c r="F6" s="1">
        <v>-2.1279799999999998E-3</v>
      </c>
      <c r="G6" s="1">
        <v>0.43976991999999998</v>
      </c>
      <c r="H6" s="1">
        <v>0.43375503999999998</v>
      </c>
      <c r="I6" s="1">
        <v>6.0148800000000002E-3</v>
      </c>
      <c r="J6" s="1">
        <v>2.7650049999999999E-2</v>
      </c>
      <c r="K6" s="1">
        <v>6.0852919999999998E-2</v>
      </c>
      <c r="L6" s="1">
        <v>-3.3202870000000002E-2</v>
      </c>
      <c r="M6" s="1">
        <v>-1.6917870000000002E-2</v>
      </c>
      <c r="N6" s="1">
        <v>1.9016599999999999E-3</v>
      </c>
      <c r="O6" s="1">
        <v>-1.8819530000000001E-2</v>
      </c>
      <c r="R6">
        <f t="shared" si="13"/>
        <v>-1.0639900000000008E-3</v>
      </c>
      <c r="S6">
        <f t="shared" si="4"/>
        <v>3.0074400000000001E-3</v>
      </c>
      <c r="U6" s="8">
        <f t="shared" si="5"/>
        <v>2.7650049999999999E-2</v>
      </c>
      <c r="V6" s="8">
        <f t="shared" si="6"/>
        <v>-1.6917870000000002E-2</v>
      </c>
      <c r="W6" s="8">
        <f t="shared" si="7"/>
        <v>6.0852919999999998E-2</v>
      </c>
      <c r="X6" s="8">
        <f t="shared" si="8"/>
        <v>1.9016599999999999E-3</v>
      </c>
      <c r="Y6" s="9">
        <f t="shared" si="9"/>
        <v>1.8575746037096998</v>
      </c>
      <c r="Z6" s="9">
        <f t="shared" si="10"/>
        <v>3.490476155370136</v>
      </c>
      <c r="AA6" s="9">
        <f t="shared" si="11"/>
        <v>328.53933886992439</v>
      </c>
      <c r="AB6" s="9">
        <f t="shared" si="12"/>
        <v>328.53721088992438</v>
      </c>
    </row>
    <row r="7" spans="1:28" x14ac:dyDescent="0.25">
      <c r="A7">
        <v>5</v>
      </c>
      <c r="B7">
        <v>90</v>
      </c>
      <c r="C7">
        <v>50</v>
      </c>
      <c r="D7" s="1">
        <v>-0.22024701999999999</v>
      </c>
      <c r="E7" s="1">
        <v>-0.22183198000000001</v>
      </c>
      <c r="F7" s="1">
        <v>1.5849600000000001E-3</v>
      </c>
      <c r="G7" s="1">
        <v>0.44153900000000001</v>
      </c>
      <c r="H7" s="1">
        <v>0.43297099999999999</v>
      </c>
      <c r="I7" s="1">
        <v>8.5679899999999993E-3</v>
      </c>
      <c r="J7" s="1">
        <v>2.5474219999999999E-2</v>
      </c>
      <c r="K7" s="1">
        <v>6.3855129999999996E-2</v>
      </c>
      <c r="L7" s="1">
        <v>-3.8380909999999997E-2</v>
      </c>
      <c r="M7" s="1">
        <v>-9.8716800000000007E-3</v>
      </c>
      <c r="N7" s="1">
        <v>-5.0072800000000002E-3</v>
      </c>
      <c r="O7" s="1">
        <v>-4.8643999999999996E-3</v>
      </c>
      <c r="R7">
        <f t="shared" si="13"/>
        <v>7.9248000000001206E-4</v>
      </c>
      <c r="S7">
        <f t="shared" si="4"/>
        <v>4.28400000000001E-3</v>
      </c>
      <c r="U7" s="8">
        <f t="shared" si="5"/>
        <v>2.5474219999999999E-2</v>
      </c>
      <c r="V7" s="8">
        <f t="shared" si="6"/>
        <v>-9.8716800000000007E-3</v>
      </c>
      <c r="W7" s="8">
        <f t="shared" si="7"/>
        <v>6.3855129999999996E-2</v>
      </c>
      <c r="X7" s="8">
        <f t="shared" si="8"/>
        <v>-5.0072800000000002E-3</v>
      </c>
      <c r="Y7" s="9">
        <f t="shared" si="9"/>
        <v>1.5655192076261226</v>
      </c>
      <c r="Z7" s="9">
        <f t="shared" si="10"/>
        <v>3.6723748070625142</v>
      </c>
      <c r="AA7" s="9">
        <f t="shared" si="11"/>
        <v>338.81782966979699</v>
      </c>
      <c r="AB7" s="9">
        <f t="shared" si="12"/>
        <v>338.819414629797</v>
      </c>
    </row>
    <row r="8" spans="1:28" x14ac:dyDescent="0.25">
      <c r="A8">
        <v>6</v>
      </c>
      <c r="B8">
        <v>112.5</v>
      </c>
      <c r="C8">
        <v>50</v>
      </c>
      <c r="D8" s="1">
        <v>-0.21940696000000001</v>
      </c>
      <c r="E8" s="1">
        <v>-0.22267200000000001</v>
      </c>
      <c r="F8" s="1">
        <v>3.2650399999999999E-3</v>
      </c>
      <c r="G8" s="1">
        <v>0.4399499</v>
      </c>
      <c r="H8" s="1">
        <v>0.43426392000000003</v>
      </c>
      <c r="I8" s="1">
        <v>5.6859600000000003E-3</v>
      </c>
      <c r="J8" s="1">
        <v>2.5957170000000002E-2</v>
      </c>
      <c r="K8" s="1">
        <v>6.2860700000000005E-2</v>
      </c>
      <c r="L8" s="1">
        <v>-3.6903520000000002E-2</v>
      </c>
      <c r="M8" s="1">
        <v>-2.3193900000000002E-3</v>
      </c>
      <c r="N8" s="1">
        <v>-1.2424849999999999E-2</v>
      </c>
      <c r="O8" s="1">
        <v>1.010547E-2</v>
      </c>
      <c r="R8">
        <f t="shared" si="13"/>
        <v>1.6325199999999984E-3</v>
      </c>
      <c r="S8">
        <f t="shared" si="4"/>
        <v>2.8429899999999897E-3</v>
      </c>
      <c r="U8" s="8">
        <f t="shared" si="5"/>
        <v>2.5957170000000002E-2</v>
      </c>
      <c r="V8" s="8">
        <f t="shared" si="6"/>
        <v>-2.3193900000000002E-3</v>
      </c>
      <c r="W8" s="8">
        <f t="shared" si="7"/>
        <v>6.2860700000000005E-2</v>
      </c>
      <c r="X8" s="8">
        <f t="shared" si="8"/>
        <v>-1.2424849999999999E-2</v>
      </c>
      <c r="Y8" s="9">
        <f t="shared" si="9"/>
        <v>1.493330767446712</v>
      </c>
      <c r="Z8" s="9">
        <f t="shared" si="10"/>
        <v>3.6738508467154163</v>
      </c>
      <c r="AA8" s="9">
        <f t="shared" si="11"/>
        <v>354.89392469374678</v>
      </c>
      <c r="AB8" s="9">
        <f t="shared" si="12"/>
        <v>354.89718973374676</v>
      </c>
    </row>
    <row r="9" spans="1:28" x14ac:dyDescent="0.25">
      <c r="A9">
        <v>7</v>
      </c>
      <c r="B9">
        <v>135</v>
      </c>
      <c r="C9">
        <v>50</v>
      </c>
      <c r="D9" s="1">
        <v>-0.21823598</v>
      </c>
      <c r="E9" s="1">
        <v>-0.22475696000000001</v>
      </c>
      <c r="F9" s="1">
        <v>6.5209899999999999E-3</v>
      </c>
      <c r="G9" s="1">
        <v>0.44250096</v>
      </c>
      <c r="H9" s="1">
        <v>0.43675799999999998</v>
      </c>
      <c r="I9" s="1">
        <v>5.7429400000000002E-3</v>
      </c>
      <c r="J9" s="1">
        <v>2.9681829999999999E-2</v>
      </c>
      <c r="K9" s="1">
        <v>5.9425690000000003E-2</v>
      </c>
      <c r="L9" s="1">
        <v>-2.974386E-2</v>
      </c>
      <c r="M9" s="1">
        <v>4.2018999999999997E-3</v>
      </c>
      <c r="N9" s="1">
        <v>-1.9027390000000002E-2</v>
      </c>
      <c r="O9" s="1">
        <v>2.3229300000000001E-2</v>
      </c>
      <c r="R9">
        <f t="shared" si="13"/>
        <v>3.2604900000000048E-3</v>
      </c>
      <c r="S9">
        <f t="shared" si="4"/>
        <v>2.8714800000000096E-3</v>
      </c>
      <c r="U9" s="8">
        <f t="shared" si="5"/>
        <v>2.9681829999999999E-2</v>
      </c>
      <c r="V9" s="8">
        <f t="shared" si="6"/>
        <v>4.2018999999999997E-3</v>
      </c>
      <c r="W9" s="8">
        <f t="shared" si="7"/>
        <v>5.9425690000000003E-2</v>
      </c>
      <c r="X9" s="8">
        <f t="shared" si="8"/>
        <v>-1.9027390000000002E-2</v>
      </c>
      <c r="Y9" s="9">
        <f t="shared" si="9"/>
        <v>1.7178573509154531</v>
      </c>
      <c r="Z9" s="9">
        <f t="shared" si="10"/>
        <v>3.5774402461497945</v>
      </c>
      <c r="AA9" s="9">
        <f t="shared" si="11"/>
        <v>8.0575199812755969</v>
      </c>
      <c r="AB9" s="9">
        <f t="shared" si="12"/>
        <v>8.0640409712755972</v>
      </c>
    </row>
    <row r="10" spans="1:28" x14ac:dyDescent="0.25">
      <c r="A10">
        <v>8</v>
      </c>
      <c r="B10">
        <v>157.5</v>
      </c>
      <c r="C10">
        <v>50</v>
      </c>
      <c r="D10" s="1">
        <v>-0.21835196000000001</v>
      </c>
      <c r="E10" s="1">
        <v>-0.224715</v>
      </c>
      <c r="F10" s="1">
        <v>6.3630500000000003E-3</v>
      </c>
      <c r="G10" s="1">
        <v>0.43868800000000002</v>
      </c>
      <c r="H10" s="1">
        <v>0.43924696000000002</v>
      </c>
      <c r="I10" s="1">
        <v>-5.5897E-4</v>
      </c>
      <c r="J10" s="1">
        <v>3.5144340000000003E-2</v>
      </c>
      <c r="K10" s="1">
        <v>5.3839459999999999E-2</v>
      </c>
      <c r="L10" s="1">
        <v>-1.8695119999999999E-2</v>
      </c>
      <c r="M10" s="1">
        <v>9.0521000000000004E-3</v>
      </c>
      <c r="N10" s="1">
        <v>-2.3854730000000001E-2</v>
      </c>
      <c r="O10" s="1">
        <v>3.2906829999999998E-2</v>
      </c>
      <c r="R10">
        <f>(D10-E10)/2</f>
        <v>3.1815199999999932E-3</v>
      </c>
      <c r="S10">
        <f t="shared" si="4"/>
        <v>-2.7947999999999862E-4</v>
      </c>
      <c r="U10" s="8">
        <f t="shared" si="5"/>
        <v>3.5144340000000003E-2</v>
      </c>
      <c r="V10" s="8">
        <f t="shared" si="6"/>
        <v>9.0521000000000004E-3</v>
      </c>
      <c r="W10" s="8">
        <f t="shared" si="7"/>
        <v>5.3839459999999999E-2</v>
      </c>
      <c r="X10" s="8">
        <f t="shared" si="8"/>
        <v>-2.3854730000000001E-2</v>
      </c>
      <c r="Y10" s="9">
        <f t="shared" si="9"/>
        <v>2.0798003154455569</v>
      </c>
      <c r="Z10" s="9">
        <f t="shared" si="10"/>
        <v>3.3759572890483147</v>
      </c>
      <c r="AA10" s="9">
        <f t="shared" si="11"/>
        <v>14.443684084780056</v>
      </c>
      <c r="AB10" s="9">
        <f t="shared" si="12"/>
        <v>14.450047134780055</v>
      </c>
    </row>
    <row r="11" spans="1:28" x14ac:dyDescent="0.25">
      <c r="A11">
        <v>9</v>
      </c>
      <c r="B11">
        <v>180</v>
      </c>
      <c r="C11">
        <v>50</v>
      </c>
      <c r="D11" s="1">
        <v>-0.21787798</v>
      </c>
      <c r="E11" s="1">
        <v>-0.22421698000000001</v>
      </c>
      <c r="F11" s="1">
        <v>6.339E-3</v>
      </c>
      <c r="G11" s="1">
        <v>0.43807096000000001</v>
      </c>
      <c r="H11" s="1">
        <v>0.438614</v>
      </c>
      <c r="I11" s="1">
        <v>-5.4303000000000001E-4</v>
      </c>
      <c r="J11" s="1">
        <v>4.1893949999999999E-2</v>
      </c>
      <c r="K11" s="1">
        <v>4.6708739999999999E-2</v>
      </c>
      <c r="L11" s="1">
        <v>-4.8147900000000002E-3</v>
      </c>
      <c r="M11" s="1">
        <v>1.1395560000000001E-2</v>
      </c>
      <c r="N11" s="1">
        <v>-2.6217879999999999E-2</v>
      </c>
      <c r="O11" s="1">
        <v>3.7613430000000003E-2</v>
      </c>
      <c r="R11">
        <f t="shared" si="13"/>
        <v>3.1695000000000056E-3</v>
      </c>
      <c r="S11">
        <f t="shared" si="4"/>
        <v>-2.7151999999999732E-4</v>
      </c>
      <c r="U11" s="8">
        <f t="shared" si="5"/>
        <v>4.1893949999999999E-2</v>
      </c>
      <c r="V11" s="8">
        <f t="shared" si="6"/>
        <v>1.1395560000000001E-2</v>
      </c>
      <c r="W11" s="8">
        <f t="shared" si="7"/>
        <v>4.6708739999999999E-2</v>
      </c>
      <c r="X11" s="8">
        <f t="shared" si="8"/>
        <v>-2.6217879999999999E-2</v>
      </c>
      <c r="Y11" s="9">
        <f t="shared" si="9"/>
        <v>2.4883441519209084</v>
      </c>
      <c r="Z11" s="9">
        <f t="shared" si="10"/>
        <v>3.0704506796571587</v>
      </c>
      <c r="AA11" s="9">
        <f t="shared" si="11"/>
        <v>15.216843212102136</v>
      </c>
      <c r="AB11" s="9">
        <f t="shared" si="12"/>
        <v>15.223182212102136</v>
      </c>
    </row>
    <row r="12" spans="1:28" x14ac:dyDescent="0.25">
      <c r="A12">
        <v>10</v>
      </c>
      <c r="B12">
        <v>202.5</v>
      </c>
      <c r="C12">
        <v>50</v>
      </c>
      <c r="D12" s="1">
        <v>-0.22074398000000001</v>
      </c>
      <c r="E12" s="1">
        <v>-0.22501093999999999</v>
      </c>
      <c r="F12" s="1">
        <v>4.2669600000000002E-3</v>
      </c>
      <c r="G12" s="1">
        <v>0.43699704</v>
      </c>
      <c r="H12" s="1">
        <v>0.43889603999999999</v>
      </c>
      <c r="I12" s="1">
        <v>-1.8990000000000001E-3</v>
      </c>
      <c r="J12" s="1">
        <v>4.9153719999999998E-2</v>
      </c>
      <c r="K12" s="1">
        <v>3.9128499999999997E-2</v>
      </c>
      <c r="L12" s="1">
        <v>1.002521E-2</v>
      </c>
      <c r="M12" s="1">
        <v>1.091728E-2</v>
      </c>
      <c r="N12" s="1">
        <v>-2.5898290000000001E-2</v>
      </c>
      <c r="O12" s="1">
        <v>3.6815569999999999E-2</v>
      </c>
      <c r="R12">
        <f t="shared" si="13"/>
        <v>2.1334799999999932E-3</v>
      </c>
      <c r="S12">
        <f t="shared" si="4"/>
        <v>-9.4949999999999202E-4</v>
      </c>
      <c r="U12" s="8">
        <f t="shared" si="5"/>
        <v>4.9153719999999998E-2</v>
      </c>
      <c r="V12" s="8">
        <f t="shared" si="6"/>
        <v>1.091728E-2</v>
      </c>
      <c r="W12" s="8">
        <f t="shared" si="7"/>
        <v>3.9128499999999997E-2</v>
      </c>
      <c r="X12" s="8">
        <f t="shared" si="8"/>
        <v>-2.5898290000000001E-2</v>
      </c>
      <c r="Y12" s="9">
        <f t="shared" si="9"/>
        <v>2.8861497831744742</v>
      </c>
      <c r="Z12" s="9">
        <f t="shared" si="10"/>
        <v>2.689473139230369</v>
      </c>
      <c r="AA12" s="9">
        <f t="shared" si="11"/>
        <v>12.522399520318706</v>
      </c>
      <c r="AB12" s="9">
        <f t="shared" si="12"/>
        <v>12.526666480318706</v>
      </c>
    </row>
    <row r="13" spans="1:28" x14ac:dyDescent="0.25">
      <c r="A13">
        <v>11</v>
      </c>
      <c r="B13">
        <v>225</v>
      </c>
      <c r="C13">
        <v>50</v>
      </c>
      <c r="D13" s="1">
        <v>-0.21986501999999999</v>
      </c>
      <c r="E13" s="1">
        <v>-0.223436</v>
      </c>
      <c r="F13" s="1">
        <v>3.5709700000000001E-3</v>
      </c>
      <c r="G13" s="1">
        <v>0.43526999999999999</v>
      </c>
      <c r="H13" s="1">
        <v>0.43969303999999998</v>
      </c>
      <c r="I13" s="1">
        <v>-4.4230199999999997E-3</v>
      </c>
      <c r="J13" s="1">
        <v>5.5755909999999999E-2</v>
      </c>
      <c r="K13" s="1">
        <v>3.2681740000000001E-2</v>
      </c>
      <c r="L13" s="1">
        <v>2.307416E-2</v>
      </c>
      <c r="M13" s="1">
        <v>7.6002400000000003E-3</v>
      </c>
      <c r="N13" s="1">
        <v>-2.255654E-2</v>
      </c>
      <c r="O13" s="1">
        <v>3.0156789999999999E-2</v>
      </c>
      <c r="R13">
        <f t="shared" si="13"/>
        <v>1.7854900000000007E-3</v>
      </c>
      <c r="S13">
        <f t="shared" si="4"/>
        <v>-2.2115199999999946E-3</v>
      </c>
      <c r="U13" s="8">
        <f t="shared" si="5"/>
        <v>5.5755909999999999E-2</v>
      </c>
      <c r="V13" s="8">
        <f t="shared" si="6"/>
        <v>7.6002400000000003E-3</v>
      </c>
      <c r="W13" s="8">
        <f t="shared" si="7"/>
        <v>3.2681740000000001E-2</v>
      </c>
      <c r="X13" s="8">
        <f t="shared" si="8"/>
        <v>-2.255654E-2</v>
      </c>
      <c r="Y13" s="9">
        <f t="shared" si="9"/>
        <v>3.2258251571023884</v>
      </c>
      <c r="Z13" s="9">
        <f t="shared" si="10"/>
        <v>2.2758206655500381</v>
      </c>
      <c r="AA13" s="9">
        <f t="shared" si="11"/>
        <v>7.7623022170852041</v>
      </c>
      <c r="AB13" s="9">
        <f t="shared" si="12"/>
        <v>7.7658731870852042</v>
      </c>
    </row>
    <row r="14" spans="1:28" x14ac:dyDescent="0.25">
      <c r="A14">
        <v>12</v>
      </c>
      <c r="B14">
        <v>247.5</v>
      </c>
      <c r="C14">
        <v>50</v>
      </c>
      <c r="D14" s="1">
        <v>-0.22186496</v>
      </c>
      <c r="E14" s="1">
        <v>-0.223332</v>
      </c>
      <c r="F14" s="1">
        <v>1.46703E-3</v>
      </c>
      <c r="G14" s="1">
        <v>0.43450596000000002</v>
      </c>
      <c r="H14" s="1">
        <v>0.43799199999999999</v>
      </c>
      <c r="I14" s="1">
        <v>-3.4860400000000001E-3</v>
      </c>
      <c r="J14" s="1">
        <v>6.0458060000000001E-2</v>
      </c>
      <c r="K14" s="1">
        <v>2.7631679999999999E-2</v>
      </c>
      <c r="L14" s="1">
        <v>3.2826380000000002E-2</v>
      </c>
      <c r="M14" s="1">
        <v>1.94893E-3</v>
      </c>
      <c r="N14" s="1">
        <v>-1.6849220000000002E-2</v>
      </c>
      <c r="O14" s="1">
        <v>1.8798140000000001E-2</v>
      </c>
      <c r="R14">
        <f t="shared" si="13"/>
        <v>7.3352000000000139E-4</v>
      </c>
      <c r="S14">
        <f t="shared" si="4"/>
        <v>-1.743019999999984E-3</v>
      </c>
      <c r="U14" s="8">
        <f t="shared" si="5"/>
        <v>6.0458060000000001E-2</v>
      </c>
      <c r="V14" s="8">
        <f t="shared" si="6"/>
        <v>1.94893E-3</v>
      </c>
      <c r="W14" s="8">
        <f t="shared" si="7"/>
        <v>2.7631679999999999E-2</v>
      </c>
      <c r="X14" s="8">
        <f t="shared" si="8"/>
        <v>-1.6849220000000002E-2</v>
      </c>
      <c r="Y14" s="9">
        <f t="shared" si="9"/>
        <v>3.4679080641127173</v>
      </c>
      <c r="Z14" s="9">
        <f t="shared" si="10"/>
        <v>1.8546245081739872</v>
      </c>
      <c r="AA14" s="9">
        <f t="shared" si="11"/>
        <v>1.8463511414509906</v>
      </c>
      <c r="AB14" s="9">
        <f t="shared" si="12"/>
        <v>1.8478181714509905</v>
      </c>
    </row>
    <row r="15" spans="1:28" x14ac:dyDescent="0.25">
      <c r="A15">
        <v>13</v>
      </c>
      <c r="B15">
        <v>270</v>
      </c>
      <c r="C15">
        <v>50</v>
      </c>
      <c r="D15" s="1">
        <v>-0.22146798000000001</v>
      </c>
      <c r="E15" s="1">
        <v>-0.22315405999999999</v>
      </c>
      <c r="F15" s="1">
        <v>1.68607E-3</v>
      </c>
      <c r="G15" s="1">
        <v>0.43424195999999998</v>
      </c>
      <c r="H15" s="1">
        <v>0.44073200000000001</v>
      </c>
      <c r="I15" s="1">
        <v>-6.4900499999999998E-3</v>
      </c>
      <c r="J15" s="1">
        <v>6.2709669999999995E-2</v>
      </c>
      <c r="K15" s="1">
        <v>2.625313E-2</v>
      </c>
      <c r="L15" s="1">
        <v>3.6456540000000003E-2</v>
      </c>
      <c r="M15" s="1">
        <v>-5.1603500000000002E-3</v>
      </c>
      <c r="N15" s="1">
        <v>-9.9082500000000004E-3</v>
      </c>
      <c r="O15" s="1">
        <v>4.7479000000000002E-3</v>
      </c>
      <c r="R15">
        <f t="shared" si="13"/>
        <v>8.4303999999998935E-4</v>
      </c>
      <c r="S15">
        <f t="shared" si="4"/>
        <v>-3.2450200000000151E-3</v>
      </c>
      <c r="U15" s="8">
        <f t="shared" si="5"/>
        <v>6.2709669999999995E-2</v>
      </c>
      <c r="V15" s="8">
        <f t="shared" si="6"/>
        <v>-5.1603500000000002E-3</v>
      </c>
      <c r="W15" s="8">
        <f t="shared" si="7"/>
        <v>2.625313E-2</v>
      </c>
      <c r="X15" s="8">
        <f t="shared" si="8"/>
        <v>-9.9082500000000004E-3</v>
      </c>
      <c r="Y15" s="9">
        <f t="shared" si="9"/>
        <v>3.6075271437121872</v>
      </c>
      <c r="Z15" s="9">
        <f t="shared" si="10"/>
        <v>1.6079680596540524</v>
      </c>
      <c r="AA15" s="9">
        <f t="shared" si="11"/>
        <v>355.29575583096778</v>
      </c>
      <c r="AB15" s="9">
        <f t="shared" si="12"/>
        <v>355.29744190096778</v>
      </c>
    </row>
    <row r="16" spans="1:28" x14ac:dyDescent="0.25">
      <c r="A16">
        <v>14</v>
      </c>
      <c r="B16">
        <v>292.5</v>
      </c>
      <c r="C16">
        <v>50</v>
      </c>
      <c r="D16" s="1">
        <v>-0.22268995999999999</v>
      </c>
      <c r="E16" s="1">
        <v>-0.22025697999999999</v>
      </c>
      <c r="F16" s="1">
        <v>-2.43297E-3</v>
      </c>
      <c r="G16" s="1">
        <v>0.43574099999999999</v>
      </c>
      <c r="H16" s="1">
        <v>0.43934400000000001</v>
      </c>
      <c r="I16" s="1">
        <v>-3.60298E-3</v>
      </c>
      <c r="J16" s="1">
        <v>6.2204540000000003E-2</v>
      </c>
      <c r="K16" s="1">
        <v>2.6059079999999998E-2</v>
      </c>
      <c r="L16" s="1">
        <v>3.6145459999999997E-2</v>
      </c>
      <c r="M16" s="1">
        <v>-1.255356E-2</v>
      </c>
      <c r="N16" s="1">
        <v>-2.3914600000000002E-3</v>
      </c>
      <c r="O16" s="1">
        <v>-1.016211E-2</v>
      </c>
      <c r="R16">
        <f t="shared" si="13"/>
        <v>-1.2164900000000006E-3</v>
      </c>
      <c r="S16">
        <f t="shared" si="4"/>
        <v>-1.8015000000000114E-3</v>
      </c>
      <c r="U16" s="8">
        <f t="shared" si="5"/>
        <v>6.2204540000000003E-2</v>
      </c>
      <c r="V16" s="8">
        <f t="shared" si="6"/>
        <v>-1.255356E-2</v>
      </c>
      <c r="W16" s="8">
        <f t="shared" si="7"/>
        <v>2.6059079999999998E-2</v>
      </c>
      <c r="X16" s="8">
        <f t="shared" si="8"/>
        <v>-2.3914600000000002E-3</v>
      </c>
      <c r="Y16" s="9">
        <f t="shared" si="9"/>
        <v>3.6383559290656882</v>
      </c>
      <c r="Z16" s="9">
        <f t="shared" si="10"/>
        <v>1.4995205336065069</v>
      </c>
      <c r="AA16" s="9">
        <f t="shared" si="11"/>
        <v>348.59033095021306</v>
      </c>
      <c r="AB16" s="9">
        <f t="shared" si="12"/>
        <v>348.58789798021309</v>
      </c>
    </row>
    <row r="17" spans="1:28" x14ac:dyDescent="0.25">
      <c r="A17">
        <v>15</v>
      </c>
      <c r="B17">
        <v>315</v>
      </c>
      <c r="C17">
        <v>50</v>
      </c>
      <c r="D17" s="1">
        <v>-0.22351794</v>
      </c>
      <c r="E17" s="1">
        <v>-0.21956096</v>
      </c>
      <c r="F17" s="1">
        <v>-3.9569699999999998E-3</v>
      </c>
      <c r="G17" s="1">
        <v>0.43736296000000002</v>
      </c>
      <c r="H17" s="1">
        <v>0.43918204</v>
      </c>
      <c r="I17" s="1">
        <v>-1.8190700000000001E-3</v>
      </c>
      <c r="J17" s="1">
        <v>5.88003E-2</v>
      </c>
      <c r="K17" s="1">
        <v>2.9294000000000001E-2</v>
      </c>
      <c r="L17" s="1">
        <v>2.9506310000000001E-2</v>
      </c>
      <c r="M17" s="1">
        <v>-1.9145120000000002E-2</v>
      </c>
      <c r="N17" s="1">
        <v>4.3144500000000001E-3</v>
      </c>
      <c r="O17" s="1">
        <v>-2.3459569999999999E-2</v>
      </c>
      <c r="R17">
        <f t="shared" si="13"/>
        <v>-1.9784899999999994E-3</v>
      </c>
      <c r="S17">
        <f t="shared" si="4"/>
        <v>-9.0953999999998647E-4</v>
      </c>
      <c r="U17" s="8">
        <f t="shared" si="5"/>
        <v>5.88003E-2</v>
      </c>
      <c r="V17" s="8">
        <f t="shared" si="6"/>
        <v>-1.9145120000000002E-2</v>
      </c>
      <c r="W17" s="8">
        <f t="shared" si="7"/>
        <v>2.9294000000000001E-2</v>
      </c>
      <c r="X17" s="8">
        <f t="shared" si="8"/>
        <v>4.3144500000000001E-3</v>
      </c>
      <c r="Y17" s="9">
        <f t="shared" si="9"/>
        <v>3.5453521034275415</v>
      </c>
      <c r="Z17" s="9">
        <f t="shared" si="10"/>
        <v>1.696776823667119</v>
      </c>
      <c r="AA17" s="9">
        <f t="shared" si="11"/>
        <v>341.96497765580477</v>
      </c>
      <c r="AB17" s="9">
        <f t="shared" si="12"/>
        <v>341.96102068580478</v>
      </c>
    </row>
    <row r="18" spans="1:28" x14ac:dyDescent="0.25">
      <c r="A18">
        <v>16</v>
      </c>
      <c r="B18">
        <v>337.5</v>
      </c>
      <c r="C18">
        <v>50</v>
      </c>
      <c r="D18" s="1">
        <v>-0.22367000000000001</v>
      </c>
      <c r="E18" s="1">
        <v>-0.21840896000000001</v>
      </c>
      <c r="F18" s="1">
        <v>-5.2610199999999999E-3</v>
      </c>
      <c r="G18" s="1">
        <v>0.43512000000000001</v>
      </c>
      <c r="H18" s="1">
        <v>0.43680708000000001</v>
      </c>
      <c r="I18" s="1">
        <v>-1.6870800000000001E-3</v>
      </c>
      <c r="J18" s="1">
        <v>5.3382949999999998E-2</v>
      </c>
      <c r="K18" s="1">
        <v>3.4999599999999999E-2</v>
      </c>
      <c r="L18" s="1">
        <v>1.8383340000000001E-2</v>
      </c>
      <c r="M18" s="1">
        <v>-2.4056540000000001E-2</v>
      </c>
      <c r="N18" s="1">
        <v>9.0353499999999993E-3</v>
      </c>
      <c r="O18" s="1">
        <v>-3.3091889999999999E-2</v>
      </c>
      <c r="R18">
        <f t="shared" si="13"/>
        <v>-2.6305199999999973E-3</v>
      </c>
      <c r="S18">
        <f t="shared" si="4"/>
        <v>-8.4354000000000373E-4</v>
      </c>
      <c r="U18" s="8">
        <f t="shared" si="5"/>
        <v>5.3382949999999998E-2</v>
      </c>
      <c r="V18" s="8">
        <f t="shared" si="6"/>
        <v>-2.4056540000000001E-2</v>
      </c>
      <c r="W18" s="8">
        <f t="shared" si="7"/>
        <v>3.4999599999999999E-2</v>
      </c>
      <c r="X18" s="8">
        <f t="shared" si="8"/>
        <v>9.0353499999999993E-3</v>
      </c>
      <c r="Y18" s="9">
        <f t="shared" si="9"/>
        <v>3.3567610298799084</v>
      </c>
      <c r="Z18" s="9">
        <f t="shared" si="10"/>
        <v>2.0715249447749713</v>
      </c>
      <c r="AA18" s="9">
        <f t="shared" si="11"/>
        <v>335.74172546959414</v>
      </c>
      <c r="AB18" s="9">
        <f t="shared" si="12"/>
        <v>335.73646444959417</v>
      </c>
    </row>
    <row r="20" spans="1:28" x14ac:dyDescent="0.25">
      <c r="Q20">
        <v>45</v>
      </c>
      <c r="R20">
        <f>MIN(R3:R18)</f>
        <v>-3.7785400000000108E-3</v>
      </c>
      <c r="S20">
        <f>MIN(S3:S18)</f>
        <v>-3.2450200000000151E-3</v>
      </c>
      <c r="T20">
        <v>270</v>
      </c>
    </row>
    <row r="21" spans="1:28" x14ac:dyDescent="0.25">
      <c r="Q21">
        <v>135</v>
      </c>
      <c r="R21">
        <f>MAX(R3:R18)</f>
        <v>3.2604900000000048E-3</v>
      </c>
      <c r="S21">
        <f>MAX(S3:S18)</f>
        <v>4.28400000000001E-3</v>
      </c>
      <c r="T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2026-08-02T16:44:37Z</dcterms:modified>
</cp:coreProperties>
</file>