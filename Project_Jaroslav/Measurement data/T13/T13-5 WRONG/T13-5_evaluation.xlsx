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3\T13-5 WRONG\"/>
    </mc:Choice>
  </mc:AlternateContent>
  <xr:revisionPtr revIDLastSave="0" documentId="13_ncr:1_{64CEF643-1352-4DC1-8FEF-6BA3094E947C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3-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X18" i="1"/>
  <c r="W18" i="1"/>
  <c r="V18" i="1"/>
  <c r="U18" i="1"/>
  <c r="X17" i="1"/>
  <c r="W17" i="1"/>
  <c r="V17" i="1"/>
  <c r="U17" i="1"/>
  <c r="X16" i="1"/>
  <c r="W16" i="1"/>
  <c r="V16" i="1"/>
  <c r="U16" i="1"/>
  <c r="X15" i="1"/>
  <c r="W15" i="1"/>
  <c r="Z15" i="1" s="1"/>
  <c r="V15" i="1"/>
  <c r="U15" i="1"/>
  <c r="Y15" i="1" s="1"/>
  <c r="X14" i="1"/>
  <c r="W14" i="1"/>
  <c r="Z14" i="1" s="1"/>
  <c r="V14" i="1"/>
  <c r="U14" i="1"/>
  <c r="X13" i="1"/>
  <c r="W13" i="1"/>
  <c r="V13" i="1"/>
  <c r="U13" i="1"/>
  <c r="X12" i="1"/>
  <c r="W12" i="1"/>
  <c r="Z12" i="1" s="1"/>
  <c r="V12" i="1"/>
  <c r="U12" i="1"/>
  <c r="Y12" i="1" s="1"/>
  <c r="X11" i="1"/>
  <c r="W11" i="1"/>
  <c r="V11" i="1"/>
  <c r="U11" i="1"/>
  <c r="X10" i="1"/>
  <c r="W10" i="1"/>
  <c r="V10" i="1"/>
  <c r="U10" i="1"/>
  <c r="X9" i="1"/>
  <c r="W9" i="1"/>
  <c r="Z9" i="1" s="1"/>
  <c r="V9" i="1"/>
  <c r="U9" i="1"/>
  <c r="Y9" i="1" s="1"/>
  <c r="X8" i="1"/>
  <c r="W8" i="1"/>
  <c r="V8" i="1"/>
  <c r="U8" i="1"/>
  <c r="X7" i="1"/>
  <c r="W7" i="1"/>
  <c r="V7" i="1"/>
  <c r="U7" i="1"/>
  <c r="X6" i="1"/>
  <c r="W6" i="1"/>
  <c r="Z6" i="1" s="1"/>
  <c r="V6" i="1"/>
  <c r="U6" i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7" i="2"/>
  <c r="G11" i="2"/>
  <c r="G9" i="2"/>
  <c r="Z13" i="1" l="1"/>
  <c r="Z17" i="1"/>
  <c r="Z5" i="1"/>
  <c r="Z8" i="1"/>
  <c r="Z11" i="1"/>
  <c r="Z16" i="1"/>
  <c r="Y6" i="1"/>
  <c r="Z7" i="1"/>
  <c r="Z10" i="1"/>
  <c r="Y18" i="1"/>
  <c r="Z18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AB18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8" i="2" l="1"/>
  <c r="V8" i="2"/>
  <c r="T8" i="2"/>
  <c r="X8" i="2"/>
</calcChain>
</file>

<file path=xl/sharedStrings.xml><?xml version="1.0" encoding="utf-8"?>
<sst xmlns="http://schemas.openxmlformats.org/spreadsheetml/2006/main" count="56" uniqueCount="51">
  <si>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</si>
  <si>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</si>
  <si>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</si>
  <si>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</si>
  <si>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</si>
  <si>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</si>
  <si>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</si>
  <si>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</si>
  <si>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</si>
  <si>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</si>
  <si>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</si>
  <si>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</si>
  <si>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</si>
  <si>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</si>
  <si>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</si>
  <si>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</si>
  <si>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</si>
  <si>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</si>
  <si>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</si>
  <si>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</si>
  <si>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</si>
  <si>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Description: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</si>
  <si>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</si>
  <si>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</si>
  <si>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</si>
  <si>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</si>
  <si>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</si>
  <si>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</si>
  <si>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</si>
  <si>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</si>
  <si>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</si>
  <si>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</si>
  <si>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Azimuth-Dependence Test (Randomized Step Scan, Off-North Start, Tilted Mount)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</si>
  <si>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</si>
  <si>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</si>
  <si>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</si>
  <si>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</si>
  <si>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</si>
  <si>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</si>
  <si>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</si>
  <si>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</si>
  <si>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</si>
  <si>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</si>
  <si>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</si>
  <si>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</si>
  <si>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</si>
  <si>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</si>
  <si>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</si>
  <si>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T13-5</t>
  </si>
  <si>
    <t>CCW</t>
  </si>
  <si>
    <t xml:space="preserve">- 16*22,5° random position, full 360°
- mount azimuth to 90°
- start azimuth 0° (north)
- measuring plane level
- rotation CCW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</si>
</sst>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'T13-5'!$R$2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'T13-5'!$B$3:$B$18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'T13-5'!$R$3:$R$18</c:f>
              <c:numCache>
                <c:formatCode>General</c:formatCode>
                <c:ptCount val="16"/>
                <c:pt idx="0">
                  <c:v>-3.7635399999999819E-3</c:v>
                </c:pt>
                <c:pt idx="1">
                  <c:v>-4.0359799999999946E-3</c:v>
                </c:pt>
                <c:pt idx="2">
                  <c:v>-3.3835000000000115E-3</c:v>
                </c:pt>
                <c:pt idx="3">
                  <c:v>-3.5790099999999936E-3</c:v>
                </c:pt>
                <c:pt idx="4">
                  <c:v>-1.561029999999991E-3</c:v>
                </c:pt>
                <c:pt idx="5">
                  <c:v>-8.1248000000000431E-4</c:v>
                </c:pt>
                <c:pt idx="6">
                  <c:v>1.6335299999999942E-3</c:v>
                </c:pt>
                <c:pt idx="7">
                  <c:v>2.3225199999999946E-3</c:v>
                </c:pt>
                <c:pt idx="8">
                  <c:v>2.5375400000000048E-3</c:v>
                </c:pt>
                <c:pt idx="9">
                  <c:v>4.2324799999999829E-3</c:v>
                </c:pt>
                <c:pt idx="10">
                  <c:v>3.2505099999999842E-3</c:v>
                </c:pt>
                <c:pt idx="11">
                  <c:v>3.3254799999999918E-3</c:v>
                </c:pt>
                <c:pt idx="12">
                  <c:v>1.8349799999999861E-3</c:v>
                </c:pt>
                <c:pt idx="13">
                  <c:v>6.2401000000000817E-4</c:v>
                </c:pt>
                <c:pt idx="14">
                  <c:v>-1.4009799999999961E-3</c:v>
                </c:pt>
                <c:pt idx="15">
                  <c:v>-2.2754999999999859E-3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'T13-5'!$S$2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'T13-5'!$B$3:$B$18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'T13-5'!$S$3:$S$18</c:f>
              <c:numCache>
                <c:formatCode>General</c:formatCode>
                <c:ptCount val="16"/>
                <c:pt idx="0">
                  <c:v>-1.2304999999999677E-3</c:v>
                </c:pt>
                <c:pt idx="1">
                  <c:v>-2.5609799999999905E-3</c:v>
                </c:pt>
                <c:pt idx="2">
                  <c:v>-2.6260399999999962E-3</c:v>
                </c:pt>
                <c:pt idx="3">
                  <c:v>-3.201490000000029E-3</c:v>
                </c:pt>
                <c:pt idx="4">
                  <c:v>-4.833960000000026E-3</c:v>
                </c:pt>
                <c:pt idx="5">
                  <c:v>-4.7335199999999911E-3</c:v>
                </c:pt>
                <c:pt idx="6">
                  <c:v>-2.3849899999999757E-3</c:v>
                </c:pt>
                <c:pt idx="7">
                  <c:v>-2.9294400000000054E-3</c:v>
                </c:pt>
                <c:pt idx="8">
                  <c:v>-1.9044400000000072E-3</c:v>
                </c:pt>
                <c:pt idx="9">
                  <c:v>1.2503999999996518E-4</c:v>
                </c:pt>
                <c:pt idx="10">
                  <c:v>1.8109300000000439E-3</c:v>
                </c:pt>
                <c:pt idx="11">
                  <c:v>4.195049999999978E-3</c:v>
                </c:pt>
                <c:pt idx="12">
                  <c:v>4.6894799999999681E-3</c:v>
                </c:pt>
                <c:pt idx="13">
                  <c:v>3.9994799999999997E-3</c:v>
                </c:pt>
                <c:pt idx="14">
                  <c:v>3.2828999999999775E-3</c:v>
                </c:pt>
                <c:pt idx="15">
                  <c:v>1.6725000000000212E-3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'T13-5'!$L$2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'T13-5'!$L$3:$L$18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3.6503920000000002E-2</c:v>
                      </c:pt>
                      <c:pt idx="1">
                        <c:v>2.6408439999999998E-2</c:v>
                      </c:pt>
                      <c:pt idx="2">
                        <c:v>1.166387E-2</c:v>
                      </c:pt>
                      <c:pt idx="3">
                        <c:v>-4.3689499999999999E-3</c:v>
                      </c:pt>
                      <c:pt idx="4">
                        <c:v>-1.9742869999999999E-2</c:v>
                      </c:pt>
                      <c:pt idx="5">
                        <c:v>-3.2135780000000003E-2</c:v>
                      </c:pt>
                      <c:pt idx="6">
                        <c:v>-3.8552360000000001E-2</c:v>
                      </c:pt>
                      <c:pt idx="7">
                        <c:v>-3.9998140000000001E-2</c:v>
                      </c:pt>
                      <c:pt idx="8">
                        <c:v>-3.4264999999999997E-2</c:v>
                      </c:pt>
                      <c:pt idx="9">
                        <c:v>-2.388359E-2</c:v>
                      </c:pt>
                      <c:pt idx="10">
                        <c:v>-8.7897900000000005E-3</c:v>
                      </c:pt>
                      <c:pt idx="11">
                        <c:v>7.6140699999999997E-3</c:v>
                      </c:pt>
                      <c:pt idx="12">
                        <c:v>2.4287349999999999E-2</c:v>
                      </c:pt>
                      <c:pt idx="13">
                        <c:v>3.5043119999999997E-2</c:v>
                      </c:pt>
                      <c:pt idx="14">
                        <c:v>4.2064480000000001E-2</c:v>
                      </c:pt>
                      <c:pt idx="15">
                        <c:v>4.2334480000000001E-2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'T13-5'!$O$2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'T13-5'!$O$3:$O$18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2.0869479999999999E-2</c:v>
                      </c:pt>
                      <c:pt idx="1">
                        <c:v>3.3662360000000002E-2</c:v>
                      </c:pt>
                      <c:pt idx="2">
                        <c:v>4.1113280000000002E-2</c:v>
                      </c:pt>
                      <c:pt idx="3">
                        <c:v>4.2293360000000002E-2</c:v>
                      </c:pt>
                      <c:pt idx="4">
                        <c:v>3.715098E-2</c:v>
                      </c:pt>
                      <c:pt idx="5">
                        <c:v>2.618496E-2</c:v>
                      </c:pt>
                      <c:pt idx="6">
                        <c:v>1.139453E-2</c:v>
                      </c:pt>
                      <c:pt idx="7">
                        <c:v>-5.2945300000000004E-3</c:v>
                      </c:pt>
                      <c:pt idx="8">
                        <c:v>-2.0790530000000002E-2</c:v>
                      </c:pt>
                      <c:pt idx="9">
                        <c:v>-3.3381010000000003E-2</c:v>
                      </c:pt>
                      <c:pt idx="10">
                        <c:v>-4.0864549999999999E-2</c:v>
                      </c:pt>
                      <c:pt idx="11">
                        <c:v>-4.2129550000000002E-2</c:v>
                      </c:pt>
                      <c:pt idx="12">
                        <c:v>-3.6967279999999998E-2</c:v>
                      </c:pt>
                      <c:pt idx="13">
                        <c:v>-2.602842E-2</c:v>
                      </c:pt>
                      <c:pt idx="14">
                        <c:v>-1.143921E-2</c:v>
                      </c:pt>
                      <c:pt idx="15">
                        <c:v>5.2799300000000004E-3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'T13-5'!$Y$2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'T13-5'!$B$3:$B$18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'T13-5'!$Y$3:$Y$18</c:f>
              <c:numCache>
                <c:formatCode>0.00</c:formatCode>
                <c:ptCount val="16"/>
                <c:pt idx="0">
                  <c:v>3.6142657857140543</c:v>
                </c:pt>
                <c:pt idx="1">
                  <c:v>3.4635979031764266</c:v>
                </c:pt>
                <c:pt idx="2">
                  <c:v>3.0910174267117183</c:v>
                </c:pt>
                <c:pt idx="3">
                  <c:v>2.6652447467772196</c:v>
                </c:pt>
                <c:pt idx="4">
                  <c:v>2.1653635801066327</c:v>
                </c:pt>
                <c:pt idx="5">
                  <c:v>1.7659237629732356</c:v>
                </c:pt>
                <c:pt idx="6">
                  <c:v>1.5146064734945495</c:v>
                </c:pt>
                <c:pt idx="7">
                  <c:v>1.5281977768680199</c:v>
                </c:pt>
                <c:pt idx="8">
                  <c:v>1.8736163436059934</c:v>
                </c:pt>
                <c:pt idx="9">
                  <c:v>2.3051298003987823</c:v>
                </c:pt>
                <c:pt idx="10">
                  <c:v>2.7656427253634659</c:v>
                </c:pt>
                <c:pt idx="11">
                  <c:v>3.1777886992885938</c:v>
                </c:pt>
                <c:pt idx="12">
                  <c:v>3.5386460293379067</c:v>
                </c:pt>
                <c:pt idx="13">
                  <c:v>3.7520497374916104</c:v>
                </c:pt>
                <c:pt idx="14">
                  <c:v>3.8294403054856265</c:v>
                </c:pt>
                <c:pt idx="15">
                  <c:v>3.8066383328794147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'T13-5'!$Z$2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'T13-5'!$B$3:$B$18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'T13-5'!$Z$3:$Z$18</c:f>
              <c:numCache>
                <c:formatCode>0.00</c:formatCode>
                <c:ptCount val="16"/>
                <c:pt idx="0">
                  <c:v>1.763767958910222</c:v>
                </c:pt>
                <c:pt idx="1">
                  <c:v>2.2838287348330746</c:v>
                </c:pt>
                <c:pt idx="2">
                  <c:v>2.7488303090352231</c:v>
                </c:pt>
                <c:pt idx="3">
                  <c:v>3.1598530749344698</c:v>
                </c:pt>
                <c:pt idx="4">
                  <c:v>3.4572218776401371</c:v>
                </c:pt>
                <c:pt idx="5">
                  <c:v>3.7136481746188816</c:v>
                </c:pt>
                <c:pt idx="6">
                  <c:v>3.7823517249437879</c:v>
                </c:pt>
                <c:pt idx="7">
                  <c:v>3.7516659343568834</c:v>
                </c:pt>
                <c:pt idx="8">
                  <c:v>3.6158861696979132</c:v>
                </c:pt>
                <c:pt idx="9">
                  <c:v>3.3534458087553687</c:v>
                </c:pt>
                <c:pt idx="10">
                  <c:v>2.9626193958935687</c:v>
                </c:pt>
                <c:pt idx="11">
                  <c:v>2.5127881559784351</c:v>
                </c:pt>
                <c:pt idx="12">
                  <c:v>2.0073385933589072</c:v>
                </c:pt>
                <c:pt idx="13">
                  <c:v>1.64306959491916</c:v>
                </c:pt>
                <c:pt idx="14">
                  <c:v>1.361736976541724</c:v>
                </c:pt>
                <c:pt idx="15">
                  <c:v>1.4527854672769991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200024</xdr:rowOff>
    </xdr:from>
    <xdr:to>
      <xdr:col>12</xdr:col>
      <xdr:colOff>0</xdr:colOff>
      <xdr:row>47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19</xdr:row>
      <xdr:rowOff>0</xdr:rowOff>
    </xdr:from>
    <xdr:to>
      <xdr:col>25</xdr:col>
      <xdr:colOff>1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7"/>
  <sheetViews>
    <sheetView tabSelected="1" zoomScaleNormal="100" workbookViewId="0">
      <selection activeCell="G8" sqref="G8:H8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23" t="s">
        <v>31</v>
      </c>
      <c r="B1" s="23"/>
      <c r="C1" s="23" t="s">
        <v>48</v>
      </c>
      <c r="D1" s="23"/>
      <c r="E1" s="23" t="s">
        <v>32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5.7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4" spans="1:25" x14ac:dyDescent="0.25">
      <c r="A4" s="12" t="s">
        <v>33</v>
      </c>
      <c r="B4" s="12"/>
      <c r="C4" s="12"/>
      <c r="D4" s="12"/>
      <c r="E4" s="12"/>
      <c r="F4" s="12"/>
      <c r="G4" s="21">
        <v>90</v>
      </c>
      <c r="H4" s="22"/>
      <c r="I4" s="3" t="s">
        <v>19</v>
      </c>
      <c r="K4" s="26" t="s">
        <v>21</v>
      </c>
      <c r="L4" s="26"/>
      <c r="M4" s="26"/>
      <c r="N4" s="26"/>
      <c r="O4" s="26"/>
      <c r="P4" s="26"/>
      <c r="R4" s="20" t="s">
        <v>27</v>
      </c>
      <c r="S4" s="20"/>
      <c r="T4" s="20" t="s">
        <v>28</v>
      </c>
      <c r="U4" s="20"/>
      <c r="V4" s="20" t="s">
        <v>29</v>
      </c>
      <c r="W4" s="20"/>
      <c r="X4" s="20" t="s">
        <v>30</v>
      </c>
      <c r="Y4" s="20"/>
    </row>
    <row r="5" spans="1:25" x14ac:dyDescent="0.25">
      <c r="A5" s="16" t="s">
        <v>34</v>
      </c>
      <c r="B5" s="17"/>
      <c r="C5" s="17"/>
      <c r="D5" s="17"/>
      <c r="E5" s="17"/>
      <c r="F5" s="18"/>
      <c r="G5" s="21">
        <v>0</v>
      </c>
      <c r="H5" s="22"/>
      <c r="I5" s="3" t="s">
        <v>19</v>
      </c>
      <c r="K5" s="27" t="s">
        <v>50</v>
      </c>
      <c r="L5" s="28"/>
      <c r="M5" s="28"/>
      <c r="N5" s="28"/>
      <c r="O5" s="28"/>
      <c r="P5" s="29"/>
      <c r="R5" s="20"/>
      <c r="S5" s="20"/>
      <c r="T5" s="20"/>
      <c r="U5" s="20"/>
      <c r="V5" s="20"/>
      <c r="W5" s="20"/>
      <c r="X5" s="20"/>
      <c r="Y5" s="20"/>
    </row>
    <row r="6" spans="1:25" x14ac:dyDescent="0.25">
      <c r="A6" s="12" t="s">
        <v>35</v>
      </c>
      <c r="B6" s="12"/>
      <c r="C6" s="12"/>
      <c r="D6" s="12"/>
      <c r="E6" s="12"/>
      <c r="F6" s="12"/>
      <c r="G6" s="25">
        <v>0</v>
      </c>
      <c r="H6" s="25"/>
      <c r="I6" s="3" t="s">
        <v>26</v>
      </c>
      <c r="K6" s="30"/>
      <c r="L6" s="31"/>
      <c r="M6" s="31"/>
      <c r="N6" s="31"/>
      <c r="O6" s="31"/>
      <c r="P6" s="32"/>
      <c r="R6" s="20"/>
      <c r="S6" s="20"/>
      <c r="T6" s="20"/>
      <c r="U6" s="20"/>
      <c r="V6" s="20"/>
      <c r="W6" s="20"/>
      <c r="X6" s="20"/>
      <c r="Y6" s="20"/>
    </row>
    <row r="7" spans="1:25" ht="15.75" customHeight="1" x14ac:dyDescent="0.25">
      <c r="A7" s="12" t="s">
        <v>16</v>
      </c>
      <c r="B7" s="12"/>
      <c r="C7" s="12"/>
      <c r="D7" s="12"/>
      <c r="E7" s="12"/>
      <c r="F7" s="12"/>
      <c r="G7" s="24">
        <f>360/((23*60*60)+(56*60)+4.09)</f>
        <v>4.1780746480349299E-3</v>
      </c>
      <c r="H7" s="24"/>
      <c r="I7" s="3" t="s">
        <v>17</v>
      </c>
      <c r="K7" s="30"/>
      <c r="L7" s="31"/>
      <c r="M7" s="31"/>
      <c r="N7" s="31"/>
      <c r="O7" s="31"/>
      <c r="P7" s="32"/>
      <c r="R7" s="20"/>
      <c r="S7" s="20"/>
      <c r="T7" s="20"/>
      <c r="U7" s="20"/>
      <c r="V7" s="20"/>
      <c r="W7" s="20"/>
      <c r="X7" s="20"/>
      <c r="Y7" s="20"/>
    </row>
    <row r="8" spans="1:25" x14ac:dyDescent="0.25">
      <c r="A8" s="12" t="s">
        <v>18</v>
      </c>
      <c r="B8" s="12"/>
      <c r="C8" s="12"/>
      <c r="D8" s="12"/>
      <c r="E8" s="12"/>
      <c r="F8" s="12"/>
      <c r="G8" s="25">
        <v>49</v>
      </c>
      <c r="H8" s="25"/>
      <c r="I8" s="3" t="s">
        <v>19</v>
      </c>
      <c r="K8" s="30"/>
      <c r="L8" s="31"/>
      <c r="M8" s="31"/>
      <c r="N8" s="31"/>
      <c r="O8" s="31"/>
      <c r="P8" s="32"/>
      <c r="R8" s="19">
        <f>MIN('T13-5'!R3:R18)</f>
        <v>-4.0359799999999946E-3</v>
      </c>
      <c r="S8" s="19"/>
      <c r="T8" s="19">
        <f>MIN('T13-5'!S3:S18)</f>
        <v>-4.833960000000026E-3</v>
      </c>
      <c r="U8" s="19"/>
      <c r="V8" s="19">
        <f>MAX('T13-5'!R3:R18)</f>
        <v>4.2324799999999829E-3</v>
      </c>
      <c r="W8" s="19"/>
      <c r="X8" s="19">
        <f>MAX('T13-5'!S3:S18)</f>
        <v>4.6894799999999681E-3</v>
      </c>
      <c r="Y8" s="19"/>
    </row>
    <row r="9" spans="1:25" ht="15.75" customHeight="1" x14ac:dyDescent="0.25">
      <c r="A9" s="38" t="s">
        <v>20</v>
      </c>
      <c r="B9" s="39"/>
      <c r="C9" s="39"/>
      <c r="D9" s="39"/>
      <c r="E9" s="39"/>
      <c r="F9" s="40"/>
      <c r="G9" s="41">
        <f>(COS(RADIANS(G8))*G7)</f>
        <v>2.7410635966396515E-3</v>
      </c>
      <c r="H9" s="42"/>
      <c r="I9" s="4" t="s">
        <v>17</v>
      </c>
      <c r="K9" s="30"/>
      <c r="L9" s="31"/>
      <c r="M9" s="31"/>
      <c r="N9" s="31"/>
      <c r="O9" s="31"/>
      <c r="P9" s="32"/>
      <c r="R9" s="19"/>
      <c r="S9" s="19"/>
      <c r="T9" s="19"/>
      <c r="U9" s="19"/>
      <c r="V9" s="19"/>
      <c r="W9" s="19"/>
      <c r="X9" s="19"/>
      <c r="Y9" s="19"/>
    </row>
    <row r="10" spans="1:25" x14ac:dyDescent="0.25">
      <c r="A10" s="12" t="s">
        <v>36</v>
      </c>
      <c r="B10" s="12"/>
      <c r="C10" s="12"/>
      <c r="D10" s="12"/>
      <c r="E10" s="12"/>
      <c r="F10" s="12"/>
      <c r="G10" s="25">
        <v>22.5</v>
      </c>
      <c r="H10" s="25"/>
      <c r="I10" s="3" t="s">
        <v>19</v>
      </c>
      <c r="K10" s="30"/>
      <c r="L10" s="31"/>
      <c r="M10" s="31"/>
      <c r="N10" s="31"/>
      <c r="O10" s="31"/>
      <c r="P10" s="32"/>
    </row>
    <row r="11" spans="1:25" x14ac:dyDescent="0.25">
      <c r="A11" s="16" t="s">
        <v>37</v>
      </c>
      <c r="B11" s="17"/>
      <c r="C11" s="17"/>
      <c r="D11" s="17"/>
      <c r="E11" s="17"/>
      <c r="F11" s="18"/>
      <c r="G11" s="21">
        <f>360/G10</f>
        <v>16</v>
      </c>
      <c r="H11" s="22"/>
      <c r="I11" s="3"/>
      <c r="K11" s="30"/>
      <c r="L11" s="31"/>
      <c r="M11" s="31"/>
      <c r="N11" s="31"/>
      <c r="O11" s="31"/>
      <c r="P11" s="32"/>
    </row>
    <row r="12" spans="1:25" x14ac:dyDescent="0.25">
      <c r="A12" s="12" t="s">
        <v>22</v>
      </c>
      <c r="B12" s="12"/>
      <c r="C12" s="12"/>
      <c r="D12" s="12"/>
      <c r="E12" s="12"/>
      <c r="F12" s="12"/>
      <c r="G12" s="25" t="s">
        <v>49</v>
      </c>
      <c r="H12" s="25"/>
      <c r="I12" s="3"/>
      <c r="K12" s="30"/>
      <c r="L12" s="31"/>
      <c r="M12" s="31"/>
      <c r="N12" s="31"/>
      <c r="O12" s="31"/>
      <c r="P12" s="32"/>
    </row>
    <row r="13" spans="1:25" x14ac:dyDescent="0.25">
      <c r="A13" s="16" t="s">
        <v>23</v>
      </c>
      <c r="B13" s="17"/>
      <c r="C13" s="17"/>
      <c r="D13" s="17"/>
      <c r="E13" s="17"/>
      <c r="F13" s="18"/>
      <c r="G13" s="21">
        <v>50</v>
      </c>
      <c r="H13" s="22"/>
      <c r="I13" s="3"/>
      <c r="K13" s="30"/>
      <c r="L13" s="31"/>
      <c r="M13" s="31"/>
      <c r="N13" s="31"/>
      <c r="O13" s="31"/>
      <c r="P13" s="32"/>
    </row>
    <row r="14" spans="1:25" x14ac:dyDescent="0.25">
      <c r="A14" s="16" t="s">
        <v>24</v>
      </c>
      <c r="B14" s="17"/>
      <c r="C14" s="17"/>
      <c r="D14" s="17"/>
      <c r="E14" s="17"/>
      <c r="F14" s="18"/>
      <c r="G14" s="21">
        <v>200</v>
      </c>
      <c r="H14" s="22"/>
      <c r="I14" s="3"/>
      <c r="K14" s="30"/>
      <c r="L14" s="31"/>
      <c r="M14" s="31"/>
      <c r="N14" s="31"/>
      <c r="O14" s="31"/>
      <c r="P14" s="32"/>
      <c r="R14" s="11"/>
      <c r="S14" s="11"/>
      <c r="T14" s="11"/>
      <c r="U14" s="11"/>
      <c r="V14" s="11"/>
      <c r="W14" s="11"/>
      <c r="X14" s="11"/>
      <c r="Y14" s="11"/>
    </row>
    <row r="15" spans="1:25" x14ac:dyDescent="0.25">
      <c r="A15" s="16" t="s">
        <v>25</v>
      </c>
      <c r="B15" s="17"/>
      <c r="C15" s="17"/>
      <c r="D15" s="17"/>
      <c r="E15" s="17"/>
      <c r="F15" s="18"/>
      <c r="G15" s="21">
        <v>50</v>
      </c>
      <c r="H15" s="22"/>
      <c r="I15" s="3"/>
      <c r="K15" s="30"/>
      <c r="L15" s="31"/>
      <c r="M15" s="31"/>
      <c r="N15" s="31"/>
      <c r="O15" s="31"/>
      <c r="P15" s="32"/>
      <c r="R15" s="11"/>
      <c r="S15" s="11"/>
      <c r="T15" s="11"/>
      <c r="U15" s="11"/>
      <c r="V15" s="11"/>
      <c r="W15" s="11"/>
      <c r="X15" s="11"/>
      <c r="Y15" s="11"/>
    </row>
    <row r="16" spans="1:25" x14ac:dyDescent="0.25">
      <c r="A16" s="13" t="s">
        <v>39</v>
      </c>
      <c r="B16" s="14"/>
      <c r="C16" s="14"/>
      <c r="D16" s="14"/>
      <c r="E16" s="14"/>
      <c r="F16" s="15"/>
      <c r="G16" s="36">
        <v>365</v>
      </c>
      <c r="H16" s="37"/>
      <c r="I16" s="5" t="s">
        <v>19</v>
      </c>
      <c r="K16" s="30"/>
      <c r="L16" s="31"/>
      <c r="M16" s="31"/>
      <c r="N16" s="31"/>
      <c r="O16" s="31"/>
      <c r="P16" s="32"/>
      <c r="R16" s="10"/>
      <c r="S16" s="10"/>
      <c r="T16" s="11"/>
      <c r="U16" s="11"/>
      <c r="V16" s="11"/>
      <c r="W16" s="11"/>
      <c r="X16" s="11"/>
      <c r="Y16" s="11"/>
    </row>
    <row r="17" spans="1:25" x14ac:dyDescent="0.25">
      <c r="A17" s="13" t="s">
        <v>38</v>
      </c>
      <c r="B17" s="14"/>
      <c r="C17" s="14"/>
      <c r="D17" s="14"/>
      <c r="E17" s="14"/>
      <c r="F17" s="15"/>
      <c r="G17" s="36">
        <f>G11*G13*G14</f>
        <v>160000</v>
      </c>
      <c r="H17" s="37"/>
      <c r="I17" s="3"/>
      <c r="K17" s="33"/>
      <c r="L17" s="34"/>
      <c r="M17" s="34"/>
      <c r="N17" s="34"/>
      <c r="O17" s="34"/>
      <c r="P17" s="35"/>
      <c r="R17" s="10"/>
      <c r="S17" s="10"/>
      <c r="T17" s="11"/>
      <c r="U17" s="11"/>
      <c r="V17" s="11"/>
      <c r="W17" s="11"/>
      <c r="X17" s="11"/>
      <c r="Y17" s="11"/>
    </row>
  </sheetData>
  <mergeCells count="49"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  <mergeCell ref="G4:H4"/>
    <mergeCell ref="A1:B2"/>
    <mergeCell ref="C1:D2"/>
    <mergeCell ref="E1:Y2"/>
    <mergeCell ref="R4:S7"/>
    <mergeCell ref="G7:H7"/>
    <mergeCell ref="A5:F5"/>
    <mergeCell ref="G5:H5"/>
    <mergeCell ref="A6:F6"/>
    <mergeCell ref="G6:H6"/>
    <mergeCell ref="K4:P4"/>
    <mergeCell ref="A4:F4"/>
    <mergeCell ref="A7:F7"/>
    <mergeCell ref="R8:S9"/>
    <mergeCell ref="T4:U7"/>
    <mergeCell ref="V4:W7"/>
    <mergeCell ref="X4:Y7"/>
    <mergeCell ref="T8:U9"/>
    <mergeCell ref="V8:W9"/>
    <mergeCell ref="X8:Y9"/>
    <mergeCell ref="A12:F12"/>
    <mergeCell ref="A17:F17"/>
    <mergeCell ref="A13:F13"/>
    <mergeCell ref="A14:F14"/>
    <mergeCell ref="A15:F15"/>
    <mergeCell ref="R16:S17"/>
    <mergeCell ref="T16:U17"/>
    <mergeCell ref="V16:W17"/>
    <mergeCell ref="X16:Y17"/>
    <mergeCell ref="R14:S15"/>
    <mergeCell ref="T14:U15"/>
    <mergeCell ref="V14:W15"/>
    <mergeCell ref="X14:Y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workbookViewId="0">
      <selection activeCell="H32" sqref="H32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  <c r="Z2" s="6" t="s">
        <v>45</v>
      </c>
      <c r="AA2" s="6" t="s">
        <v>46</v>
      </c>
      <c r="AB2" s="6" t="s">
        <v>47</v>
      </c>
    </row>
    <row r="3" spans="1:28" x14ac:dyDescent="0.25">
      <c r="A3">
        <v>1</v>
      </c>
      <c r="B3">
        <v>0</v>
      </c>
      <c r="C3">
        <v>50</v>
      </c>
      <c r="D3" s="1">
        <v>-0.28393299999999999</v>
      </c>
      <c r="E3" s="1">
        <v>-0.27640592000000003</v>
      </c>
      <c r="F3" s="1">
        <v>-7.5270800000000002E-3</v>
      </c>
      <c r="G3" s="1">
        <v>0.56891000000000003</v>
      </c>
      <c r="H3" s="1">
        <v>0.57137099999999996</v>
      </c>
      <c r="I3" s="1">
        <v>-2.46102E-3</v>
      </c>
      <c r="J3" s="1">
        <v>6.2844540000000004E-2</v>
      </c>
      <c r="K3" s="1">
        <v>2.6340619999999999E-2</v>
      </c>
      <c r="L3" s="1">
        <v>3.6503920000000002E-2</v>
      </c>
      <c r="M3" s="1">
        <v>4.9477999999999996E-3</v>
      </c>
      <c r="N3" s="1">
        <v>-1.5921680000000001E-2</v>
      </c>
      <c r="O3" s="1">
        <v>2.0869479999999999E-2</v>
      </c>
      <c r="R3">
        <f>(D3-E3)/2</f>
        <v>-3.7635399999999819E-3</v>
      </c>
      <c r="S3">
        <f>(G3-H3)/2</f>
        <v>-1.2304999999999677E-3</v>
      </c>
      <c r="U3" s="8">
        <f>J3</f>
        <v>6.2844540000000004E-2</v>
      </c>
      <c r="V3" s="8">
        <f>M3</f>
        <v>4.9477999999999996E-3</v>
      </c>
      <c r="W3" s="8">
        <f>K3</f>
        <v>2.6340619999999999E-2</v>
      </c>
      <c r="X3" s="8">
        <f>N3</f>
        <v>-1.5921680000000001E-2</v>
      </c>
      <c r="Y3" s="9">
        <f t="shared" ref="Y3" si="0">IF(U3="","",DEGREES(ASIN(SQRT(U3^2+V3^2))))</f>
        <v>3.6142657857140543</v>
      </c>
      <c r="Z3" s="9">
        <f t="shared" ref="Z3" si="1">IF(W3="","",DEGREES(ASIN(SQRT(W3^2+X3^2))))</f>
        <v>1.763767958910222</v>
      </c>
      <c r="AA3" s="9">
        <f t="shared" ref="AA3" si="2">IF(U3="","",MOD(DEGREES(ATAN2(U3,V3)),360))</f>
        <v>4.5016558267498645</v>
      </c>
      <c r="AB3" s="9">
        <f t="shared" ref="AB3" si="3">IF(U3="","",MOD(F3+AA3,360))</f>
        <v>4.4941287467498645</v>
      </c>
    </row>
    <row r="4" spans="1:28" x14ac:dyDescent="0.25">
      <c r="A4">
        <v>2</v>
      </c>
      <c r="B4">
        <v>22.5</v>
      </c>
      <c r="C4">
        <v>50</v>
      </c>
      <c r="D4" s="1">
        <v>-0.28554197999999997</v>
      </c>
      <c r="E4" s="1">
        <v>-0.27747001999999998</v>
      </c>
      <c r="F4" s="1">
        <v>-8.0719599999999996E-3</v>
      </c>
      <c r="G4" s="1">
        <v>0.56660504</v>
      </c>
      <c r="H4" s="1">
        <v>0.57172699999999999</v>
      </c>
      <c r="I4" s="1">
        <v>-5.1219500000000001E-3</v>
      </c>
      <c r="J4" s="1">
        <v>5.9357809999999997E-2</v>
      </c>
      <c r="K4" s="1">
        <v>3.2949359999999997E-2</v>
      </c>
      <c r="L4" s="1">
        <v>2.6408439999999998E-2</v>
      </c>
      <c r="M4" s="1">
        <v>1.124932E-2</v>
      </c>
      <c r="N4" s="1">
        <v>-2.2413039999999999E-2</v>
      </c>
      <c r="O4" s="1">
        <v>3.3662360000000002E-2</v>
      </c>
      <c r="R4">
        <f>(D4-E4)/2</f>
        <v>-4.0359799999999946E-3</v>
      </c>
      <c r="S4">
        <f t="shared" ref="S4:S18" si="4">(G4-H4)/2</f>
        <v>-2.5609799999999905E-3</v>
      </c>
      <c r="U4" s="8">
        <f t="shared" ref="U4:U18" si="5">J4</f>
        <v>5.9357809999999997E-2</v>
      </c>
      <c r="V4" s="8">
        <f t="shared" ref="V4:V18" si="6">M4</f>
        <v>1.124932E-2</v>
      </c>
      <c r="W4" s="8">
        <f t="shared" ref="W4:W18" si="7">K4</f>
        <v>3.2949359999999997E-2</v>
      </c>
      <c r="X4" s="8">
        <f t="shared" ref="X4:X18" si="8">N4</f>
        <v>-2.2413039999999999E-2</v>
      </c>
      <c r="Y4" s="9">
        <f t="shared" ref="Y4:Y18" si="9">IF(U4="","",DEGREES(ASIN(SQRT(U4^2+V4^2))))</f>
        <v>3.4635979031764266</v>
      </c>
      <c r="Z4" s="9">
        <f t="shared" ref="Z4:Z18" si="10">IF(W4="","",DEGREES(ASIN(SQRT(W4^2+X4^2))))</f>
        <v>2.2838287348330746</v>
      </c>
      <c r="AA4" s="9">
        <f t="shared" ref="AA4:AA18" si="11">IF(U4="","",MOD(DEGREES(ATAN2(U4,V4)),360))</f>
        <v>10.731260599294751</v>
      </c>
      <c r="AB4" s="9">
        <f t="shared" ref="AB4:AB18" si="12">IF(U4="","",MOD(F4+AA4,360))</f>
        <v>10.723188639294751</v>
      </c>
    </row>
    <row r="5" spans="1:28" x14ac:dyDescent="0.25">
      <c r="A5">
        <v>3</v>
      </c>
      <c r="B5">
        <v>45</v>
      </c>
      <c r="C5">
        <v>50</v>
      </c>
      <c r="D5" s="1">
        <v>-0.28434002000000003</v>
      </c>
      <c r="E5" s="1">
        <v>-0.27757302</v>
      </c>
      <c r="F5" s="1">
        <v>-6.7669999999999996E-3</v>
      </c>
      <c r="G5" s="1">
        <v>0.56659300000000001</v>
      </c>
      <c r="H5" s="1">
        <v>0.57184508000000001</v>
      </c>
      <c r="I5" s="1">
        <v>-5.2520600000000002E-3</v>
      </c>
      <c r="J5" s="1">
        <v>5.1823050000000002E-2</v>
      </c>
      <c r="K5" s="1">
        <v>4.0159180000000003E-2</v>
      </c>
      <c r="L5" s="1">
        <v>1.166387E-2</v>
      </c>
      <c r="M5" s="1">
        <v>1.489907E-2</v>
      </c>
      <c r="N5" s="1">
        <v>-2.6214210000000002E-2</v>
      </c>
      <c r="O5" s="1">
        <v>4.1113280000000002E-2</v>
      </c>
      <c r="R5">
        <f t="shared" ref="R5:R18" si="13">(D5-E5)/2</f>
        <v>-3.3835000000000115E-3</v>
      </c>
      <c r="S5">
        <f t="shared" si="4"/>
        <v>-2.6260399999999962E-3</v>
      </c>
      <c r="U5" s="8">
        <f t="shared" si="5"/>
        <v>5.1823050000000002E-2</v>
      </c>
      <c r="V5" s="8">
        <f t="shared" si="6"/>
        <v>1.489907E-2</v>
      </c>
      <c r="W5" s="8">
        <f t="shared" si="7"/>
        <v>4.0159180000000003E-2</v>
      </c>
      <c r="X5" s="8">
        <f t="shared" si="8"/>
        <v>-2.6214210000000002E-2</v>
      </c>
      <c r="Y5" s="9">
        <f t="shared" si="9"/>
        <v>3.0910174267117183</v>
      </c>
      <c r="Z5" s="9">
        <f t="shared" si="10"/>
        <v>2.7488303090352231</v>
      </c>
      <c r="AA5" s="9">
        <f t="shared" si="11"/>
        <v>16.039885225514169</v>
      </c>
      <c r="AB5" s="9">
        <f t="shared" si="12"/>
        <v>16.033118225514169</v>
      </c>
    </row>
    <row r="6" spans="1:28" x14ac:dyDescent="0.25">
      <c r="A6">
        <v>4</v>
      </c>
      <c r="B6">
        <v>67.5</v>
      </c>
      <c r="C6">
        <v>50</v>
      </c>
      <c r="D6" s="1">
        <v>-0.28412401999999998</v>
      </c>
      <c r="E6" s="1">
        <v>-0.27696599999999999</v>
      </c>
      <c r="F6" s="1">
        <v>-7.1580100000000002E-3</v>
      </c>
      <c r="G6" s="1">
        <v>0.56604091999999995</v>
      </c>
      <c r="H6" s="1">
        <v>0.57244390000000001</v>
      </c>
      <c r="I6" s="1">
        <v>-6.40297E-3</v>
      </c>
      <c r="J6" s="1">
        <v>4.3826320000000002E-2</v>
      </c>
      <c r="K6" s="1">
        <v>4.8195269999999998E-2</v>
      </c>
      <c r="L6" s="1">
        <v>-4.3689499999999999E-3</v>
      </c>
      <c r="M6" s="1">
        <v>1.5541950000000001E-2</v>
      </c>
      <c r="N6" s="1">
        <v>-2.6751420000000001E-2</v>
      </c>
      <c r="O6" s="1">
        <v>4.2293360000000002E-2</v>
      </c>
      <c r="R6">
        <f t="shared" si="13"/>
        <v>-3.5790099999999936E-3</v>
      </c>
      <c r="S6">
        <f t="shared" si="4"/>
        <v>-3.201490000000029E-3</v>
      </c>
      <c r="U6" s="8">
        <f t="shared" si="5"/>
        <v>4.3826320000000002E-2</v>
      </c>
      <c r="V6" s="8">
        <f t="shared" si="6"/>
        <v>1.5541950000000001E-2</v>
      </c>
      <c r="W6" s="8">
        <f t="shared" si="7"/>
        <v>4.8195269999999998E-2</v>
      </c>
      <c r="X6" s="8">
        <f t="shared" si="8"/>
        <v>-2.6751420000000001E-2</v>
      </c>
      <c r="Y6" s="9">
        <f t="shared" si="9"/>
        <v>2.6652447467772196</v>
      </c>
      <c r="Z6" s="9">
        <f t="shared" si="10"/>
        <v>3.1598530749344698</v>
      </c>
      <c r="AA6" s="9">
        <f t="shared" si="11"/>
        <v>19.525826789705491</v>
      </c>
      <c r="AB6" s="9">
        <f t="shared" si="12"/>
        <v>19.518668779705489</v>
      </c>
    </row>
    <row r="7" spans="1:28" x14ac:dyDescent="0.25">
      <c r="A7">
        <v>5</v>
      </c>
      <c r="B7">
        <v>90</v>
      </c>
      <c r="C7">
        <v>50</v>
      </c>
      <c r="D7" s="1">
        <v>-0.28310004</v>
      </c>
      <c r="E7" s="1">
        <v>-0.27997798000000002</v>
      </c>
      <c r="F7" s="1">
        <v>-3.1220599999999999E-3</v>
      </c>
      <c r="G7" s="1">
        <v>0.56450199999999995</v>
      </c>
      <c r="H7" s="1">
        <v>0.57416992</v>
      </c>
      <c r="I7" s="1">
        <v>-9.6679299999999999E-3</v>
      </c>
      <c r="J7" s="1">
        <v>3.5493360000000002E-2</v>
      </c>
      <c r="K7" s="1">
        <v>5.5236229999999997E-2</v>
      </c>
      <c r="L7" s="1">
        <v>-1.9742869999999999E-2</v>
      </c>
      <c r="M7" s="1">
        <v>1.295498E-2</v>
      </c>
      <c r="N7" s="1">
        <v>-2.4195999999999999E-2</v>
      </c>
      <c r="O7" s="1">
        <v>3.715098E-2</v>
      </c>
      <c r="R7">
        <f t="shared" si="13"/>
        <v>-1.561029999999991E-3</v>
      </c>
      <c r="S7">
        <f t="shared" si="4"/>
        <v>-4.833960000000026E-3</v>
      </c>
      <c r="U7" s="8">
        <f t="shared" si="5"/>
        <v>3.5493360000000002E-2</v>
      </c>
      <c r="V7" s="8">
        <f t="shared" si="6"/>
        <v>1.295498E-2</v>
      </c>
      <c r="W7" s="8">
        <f t="shared" si="7"/>
        <v>5.5236229999999997E-2</v>
      </c>
      <c r="X7" s="8">
        <f t="shared" si="8"/>
        <v>-2.4195999999999999E-2</v>
      </c>
      <c r="Y7" s="9">
        <f t="shared" si="9"/>
        <v>2.1653635801066327</v>
      </c>
      <c r="Z7" s="9">
        <f t="shared" si="10"/>
        <v>3.4572218776401371</v>
      </c>
      <c r="AA7" s="9">
        <f t="shared" si="11"/>
        <v>20.051944825152955</v>
      </c>
      <c r="AB7" s="9">
        <f t="shared" si="12"/>
        <v>20.048822765152956</v>
      </c>
    </row>
    <row r="8" spans="1:28" x14ac:dyDescent="0.25">
      <c r="A8">
        <v>6</v>
      </c>
      <c r="B8">
        <v>112.5</v>
      </c>
      <c r="C8">
        <v>50</v>
      </c>
      <c r="D8" s="1">
        <v>-0.28213196000000001</v>
      </c>
      <c r="E8" s="1">
        <v>-0.28050700000000001</v>
      </c>
      <c r="F8" s="1">
        <v>-1.6249700000000001E-3</v>
      </c>
      <c r="G8" s="1">
        <v>0.56429799999999997</v>
      </c>
      <c r="H8" s="1">
        <v>0.57376503999999995</v>
      </c>
      <c r="I8" s="1">
        <v>-9.4670699999999993E-3</v>
      </c>
      <c r="J8" s="1">
        <v>2.988555E-2</v>
      </c>
      <c r="K8" s="1">
        <v>6.202133E-2</v>
      </c>
      <c r="L8" s="1">
        <v>-3.2135780000000003E-2</v>
      </c>
      <c r="M8" s="1">
        <v>7.5165500000000003E-3</v>
      </c>
      <c r="N8" s="1">
        <v>-1.866841E-2</v>
      </c>
      <c r="O8" s="1">
        <v>2.618496E-2</v>
      </c>
      <c r="R8">
        <f t="shared" si="13"/>
        <v>-8.1248000000000431E-4</v>
      </c>
      <c r="S8">
        <f t="shared" si="4"/>
        <v>-4.7335199999999911E-3</v>
      </c>
      <c r="U8" s="8">
        <f t="shared" si="5"/>
        <v>2.988555E-2</v>
      </c>
      <c r="V8" s="8">
        <f t="shared" si="6"/>
        <v>7.5165500000000003E-3</v>
      </c>
      <c r="W8" s="8">
        <f t="shared" si="7"/>
        <v>6.202133E-2</v>
      </c>
      <c r="X8" s="8">
        <f t="shared" si="8"/>
        <v>-1.866841E-2</v>
      </c>
      <c r="Y8" s="9">
        <f t="shared" si="9"/>
        <v>1.7659237629732356</v>
      </c>
      <c r="Z8" s="9">
        <f t="shared" si="10"/>
        <v>3.7136481746188816</v>
      </c>
      <c r="AA8" s="9">
        <f t="shared" si="11"/>
        <v>14.117705591508356</v>
      </c>
      <c r="AB8" s="9">
        <f t="shared" si="12"/>
        <v>14.116080621508356</v>
      </c>
    </row>
    <row r="9" spans="1:28" x14ac:dyDescent="0.25">
      <c r="A9">
        <v>7</v>
      </c>
      <c r="B9">
        <v>135</v>
      </c>
      <c r="C9">
        <v>50</v>
      </c>
      <c r="D9" s="1">
        <v>-0.28020297999999999</v>
      </c>
      <c r="E9" s="1">
        <v>-0.28347003999999998</v>
      </c>
      <c r="F9" s="1">
        <v>3.2670500000000001E-3</v>
      </c>
      <c r="G9" s="1">
        <v>0.56593610000000005</v>
      </c>
      <c r="H9" s="1">
        <v>0.57070608</v>
      </c>
      <c r="I9" s="1">
        <v>-4.7699800000000001E-3</v>
      </c>
      <c r="J9" s="1">
        <v>2.6431739999999999E-2</v>
      </c>
      <c r="K9" s="1">
        <v>6.4984100000000003E-2</v>
      </c>
      <c r="L9" s="1">
        <v>-3.8552360000000001E-2</v>
      </c>
      <c r="M9" s="1">
        <v>5.1999999999999997E-5</v>
      </c>
      <c r="N9" s="1">
        <v>-1.134253E-2</v>
      </c>
      <c r="O9" s="1">
        <v>1.139453E-2</v>
      </c>
      <c r="R9">
        <f t="shared" si="13"/>
        <v>1.6335299999999942E-3</v>
      </c>
      <c r="S9">
        <f t="shared" si="4"/>
        <v>-2.3849899999999757E-3</v>
      </c>
      <c r="U9" s="8">
        <f t="shared" si="5"/>
        <v>2.6431739999999999E-2</v>
      </c>
      <c r="V9" s="8">
        <f t="shared" si="6"/>
        <v>5.1999999999999997E-5</v>
      </c>
      <c r="W9" s="8">
        <f t="shared" si="7"/>
        <v>6.4984100000000003E-2</v>
      </c>
      <c r="X9" s="8">
        <f t="shared" si="8"/>
        <v>-1.134253E-2</v>
      </c>
      <c r="Y9" s="9">
        <f t="shared" si="9"/>
        <v>1.5146064734945495</v>
      </c>
      <c r="Z9" s="9">
        <f t="shared" si="10"/>
        <v>3.7823517249437879</v>
      </c>
      <c r="AA9" s="9">
        <f t="shared" si="11"/>
        <v>0.11271965791495397</v>
      </c>
      <c r="AB9" s="9">
        <f t="shared" si="12"/>
        <v>0.11598670791495397</v>
      </c>
    </row>
    <row r="10" spans="1:28" x14ac:dyDescent="0.25">
      <c r="A10">
        <v>8</v>
      </c>
      <c r="B10">
        <v>157.5</v>
      </c>
      <c r="C10">
        <v>50</v>
      </c>
      <c r="D10" s="1">
        <v>-0.27978700000000001</v>
      </c>
      <c r="E10" s="1">
        <v>-0.28443204</v>
      </c>
      <c r="F10" s="1">
        <v>4.6450500000000004E-3</v>
      </c>
      <c r="G10" s="1">
        <v>0.56587107999999997</v>
      </c>
      <c r="H10" s="1">
        <v>0.57172995999999998</v>
      </c>
      <c r="I10" s="1">
        <v>-5.8589000000000002E-3</v>
      </c>
      <c r="J10" s="1">
        <v>2.536826E-2</v>
      </c>
      <c r="K10" s="1">
        <v>6.5366400000000005E-2</v>
      </c>
      <c r="L10" s="1">
        <v>-3.9998140000000001E-2</v>
      </c>
      <c r="M10" s="1">
        <v>-8.2269500000000002E-3</v>
      </c>
      <c r="N10" s="1">
        <v>-2.9324199999999998E-3</v>
      </c>
      <c r="O10" s="1">
        <v>-5.2945300000000004E-3</v>
      </c>
      <c r="R10">
        <f>(D10-E10)/2</f>
        <v>2.3225199999999946E-3</v>
      </c>
      <c r="S10">
        <f t="shared" si="4"/>
        <v>-2.9294400000000054E-3</v>
      </c>
      <c r="U10" s="8">
        <f t="shared" si="5"/>
        <v>2.536826E-2</v>
      </c>
      <c r="V10" s="8">
        <f t="shared" si="6"/>
        <v>-8.2269500000000002E-3</v>
      </c>
      <c r="W10" s="8">
        <f t="shared" si="7"/>
        <v>6.5366400000000005E-2</v>
      </c>
      <c r="X10" s="8">
        <f t="shared" si="8"/>
        <v>-2.9324199999999998E-3</v>
      </c>
      <c r="Y10" s="9">
        <f t="shared" si="9"/>
        <v>1.5281977768680199</v>
      </c>
      <c r="Z10" s="9">
        <f t="shared" si="10"/>
        <v>3.7516659343568834</v>
      </c>
      <c r="AA10" s="9">
        <f t="shared" si="11"/>
        <v>342.03207372633443</v>
      </c>
      <c r="AB10" s="9">
        <f t="shared" si="12"/>
        <v>342.03671877633445</v>
      </c>
    </row>
    <row r="11" spans="1:28" x14ac:dyDescent="0.25">
      <c r="A11">
        <v>9</v>
      </c>
      <c r="B11">
        <v>180</v>
      </c>
      <c r="C11">
        <v>50</v>
      </c>
      <c r="D11" s="1">
        <v>-0.28043896000000001</v>
      </c>
      <c r="E11" s="1">
        <v>-0.28551404000000002</v>
      </c>
      <c r="F11" s="1">
        <v>5.0750700000000001E-3</v>
      </c>
      <c r="G11" s="1">
        <v>0.56626403999999997</v>
      </c>
      <c r="H11" s="1">
        <v>0.57007291999999998</v>
      </c>
      <c r="I11" s="1">
        <v>-3.8089199999999999E-3</v>
      </c>
      <c r="J11" s="1">
        <v>2.8606889999999999E-2</v>
      </c>
      <c r="K11" s="1">
        <v>6.287189E-2</v>
      </c>
      <c r="L11" s="1">
        <v>-3.4264999999999997E-2</v>
      </c>
      <c r="M11" s="1">
        <v>-1.5830520000000001E-2</v>
      </c>
      <c r="N11" s="1">
        <v>4.9600099999999999E-3</v>
      </c>
      <c r="O11" s="1">
        <v>-2.0790530000000002E-2</v>
      </c>
      <c r="R11">
        <f t="shared" si="13"/>
        <v>2.5375400000000048E-3</v>
      </c>
      <c r="S11">
        <f t="shared" si="4"/>
        <v>-1.9044400000000072E-3</v>
      </c>
      <c r="U11" s="8">
        <f t="shared" si="5"/>
        <v>2.8606889999999999E-2</v>
      </c>
      <c r="V11" s="8">
        <f t="shared" si="6"/>
        <v>-1.5830520000000001E-2</v>
      </c>
      <c r="W11" s="8">
        <f t="shared" si="7"/>
        <v>6.287189E-2</v>
      </c>
      <c r="X11" s="8">
        <f t="shared" si="8"/>
        <v>4.9600099999999999E-3</v>
      </c>
      <c r="Y11" s="9">
        <f t="shared" si="9"/>
        <v>1.8736163436059934</v>
      </c>
      <c r="Z11" s="9">
        <f t="shared" si="10"/>
        <v>3.6158861696979132</v>
      </c>
      <c r="AA11" s="9">
        <f t="shared" si="11"/>
        <v>331.040675273776</v>
      </c>
      <c r="AB11" s="9">
        <f t="shared" si="12"/>
        <v>331.04575034377598</v>
      </c>
    </row>
    <row r="12" spans="1:28" x14ac:dyDescent="0.25">
      <c r="A12">
        <v>10</v>
      </c>
      <c r="B12">
        <v>202.5</v>
      </c>
      <c r="C12">
        <v>50</v>
      </c>
      <c r="D12" s="1">
        <v>-0.27860104000000002</v>
      </c>
      <c r="E12" s="1">
        <v>-0.28706599999999999</v>
      </c>
      <c r="F12" s="1">
        <v>8.4649600000000005E-3</v>
      </c>
      <c r="G12" s="1">
        <v>0.56829507999999995</v>
      </c>
      <c r="H12" s="1">
        <v>0.56804500000000002</v>
      </c>
      <c r="I12" s="1">
        <v>2.5003999999999998E-4</v>
      </c>
      <c r="J12" s="1">
        <v>3.3534620000000001E-2</v>
      </c>
      <c r="K12" s="1">
        <v>5.7418209999999997E-2</v>
      </c>
      <c r="L12" s="1">
        <v>-2.388359E-2</v>
      </c>
      <c r="M12" s="1">
        <v>-2.2207620000000001E-2</v>
      </c>
      <c r="N12" s="1">
        <v>1.117339E-2</v>
      </c>
      <c r="O12" s="1">
        <v>-3.3381010000000003E-2</v>
      </c>
      <c r="R12">
        <f t="shared" si="13"/>
        <v>4.2324799999999829E-3</v>
      </c>
      <c r="S12">
        <f t="shared" si="4"/>
        <v>1.2503999999996518E-4</v>
      </c>
      <c r="U12" s="8">
        <f t="shared" si="5"/>
        <v>3.3534620000000001E-2</v>
      </c>
      <c r="V12" s="8">
        <f t="shared" si="6"/>
        <v>-2.2207620000000001E-2</v>
      </c>
      <c r="W12" s="8">
        <f t="shared" si="7"/>
        <v>5.7418209999999997E-2</v>
      </c>
      <c r="X12" s="8">
        <f t="shared" si="8"/>
        <v>1.117339E-2</v>
      </c>
      <c r="Y12" s="9">
        <f t="shared" si="9"/>
        <v>2.3051298003987823</v>
      </c>
      <c r="Z12" s="9">
        <f t="shared" si="10"/>
        <v>3.3534458087553687</v>
      </c>
      <c r="AA12" s="9">
        <f t="shared" si="11"/>
        <v>326.4862927554363</v>
      </c>
      <c r="AB12" s="9">
        <f t="shared" si="12"/>
        <v>326.49475771543632</v>
      </c>
    </row>
    <row r="13" spans="1:28" x14ac:dyDescent="0.25">
      <c r="A13">
        <v>11</v>
      </c>
      <c r="B13">
        <v>225</v>
      </c>
      <c r="C13">
        <v>50</v>
      </c>
      <c r="D13" s="1">
        <v>-0.27844000000000002</v>
      </c>
      <c r="E13" s="1">
        <v>-0.28494101999999999</v>
      </c>
      <c r="F13" s="1">
        <v>6.5010199999999997E-3</v>
      </c>
      <c r="G13" s="1">
        <v>0.56913290000000005</v>
      </c>
      <c r="H13" s="1">
        <v>0.56551103999999996</v>
      </c>
      <c r="I13" s="1">
        <v>3.6218800000000001E-3</v>
      </c>
      <c r="J13" s="1">
        <v>4.0690329999999997E-2</v>
      </c>
      <c r="K13" s="1">
        <v>4.9480120000000002E-2</v>
      </c>
      <c r="L13" s="1">
        <v>-8.7897900000000005E-3</v>
      </c>
      <c r="M13" s="1">
        <v>-2.593144E-2</v>
      </c>
      <c r="N13" s="1">
        <v>1.4933099999999999E-2</v>
      </c>
      <c r="O13" s="1">
        <v>-4.0864549999999999E-2</v>
      </c>
      <c r="R13">
        <f t="shared" si="13"/>
        <v>3.2505099999999842E-3</v>
      </c>
      <c r="S13">
        <f t="shared" si="4"/>
        <v>1.8109300000000439E-3</v>
      </c>
      <c r="U13" s="8">
        <f t="shared" si="5"/>
        <v>4.0690329999999997E-2</v>
      </c>
      <c r="V13" s="8">
        <f t="shared" si="6"/>
        <v>-2.593144E-2</v>
      </c>
      <c r="W13" s="8">
        <f t="shared" si="7"/>
        <v>4.9480120000000002E-2</v>
      </c>
      <c r="X13" s="8">
        <f t="shared" si="8"/>
        <v>1.4933099999999999E-2</v>
      </c>
      <c r="Y13" s="9">
        <f t="shared" si="9"/>
        <v>2.7656427253634659</v>
      </c>
      <c r="Z13" s="9">
        <f t="shared" si="10"/>
        <v>2.9626193958935687</v>
      </c>
      <c r="AA13" s="9">
        <f t="shared" si="11"/>
        <v>327.49114596388512</v>
      </c>
      <c r="AB13" s="9">
        <f t="shared" si="12"/>
        <v>327.49764698388509</v>
      </c>
    </row>
    <row r="14" spans="1:28" x14ac:dyDescent="0.25">
      <c r="A14">
        <v>12</v>
      </c>
      <c r="B14">
        <v>247.5</v>
      </c>
      <c r="C14">
        <v>50</v>
      </c>
      <c r="D14" s="1">
        <v>-0.27876504000000002</v>
      </c>
      <c r="E14" s="1">
        <v>-0.285416</v>
      </c>
      <c r="F14" s="1">
        <v>6.6509500000000001E-3</v>
      </c>
      <c r="G14" s="1">
        <v>0.57164009999999998</v>
      </c>
      <c r="H14" s="1">
        <v>0.56325000000000003</v>
      </c>
      <c r="I14" s="1">
        <v>8.3900699999999995E-3</v>
      </c>
      <c r="J14" s="1">
        <v>4.8622760000000001E-2</v>
      </c>
      <c r="K14" s="1">
        <v>4.100869E-2</v>
      </c>
      <c r="L14" s="1">
        <v>7.6140699999999997E-3</v>
      </c>
      <c r="M14" s="1">
        <v>-2.662339E-2</v>
      </c>
      <c r="N14" s="1">
        <v>1.550615E-2</v>
      </c>
      <c r="O14" s="1">
        <v>-4.2129550000000002E-2</v>
      </c>
      <c r="R14">
        <f t="shared" si="13"/>
        <v>3.3254799999999918E-3</v>
      </c>
      <c r="S14">
        <f t="shared" si="4"/>
        <v>4.195049999999978E-3</v>
      </c>
      <c r="U14" s="8">
        <f t="shared" si="5"/>
        <v>4.8622760000000001E-2</v>
      </c>
      <c r="V14" s="8">
        <f t="shared" si="6"/>
        <v>-2.662339E-2</v>
      </c>
      <c r="W14" s="8">
        <f t="shared" si="7"/>
        <v>4.100869E-2</v>
      </c>
      <c r="X14" s="8">
        <f t="shared" si="8"/>
        <v>1.550615E-2</v>
      </c>
      <c r="Y14" s="9">
        <f t="shared" si="9"/>
        <v>3.1777886992885938</v>
      </c>
      <c r="Z14" s="9">
        <f t="shared" si="10"/>
        <v>2.5127881559784351</v>
      </c>
      <c r="AA14" s="9">
        <f t="shared" si="11"/>
        <v>331.2970930218994</v>
      </c>
      <c r="AB14" s="9">
        <f t="shared" si="12"/>
        <v>331.30374397189939</v>
      </c>
    </row>
    <row r="15" spans="1:28" x14ac:dyDescent="0.25">
      <c r="A15">
        <v>13</v>
      </c>
      <c r="B15">
        <v>270</v>
      </c>
      <c r="C15">
        <v>50</v>
      </c>
      <c r="D15" s="1">
        <v>-0.28065304000000002</v>
      </c>
      <c r="E15" s="1">
        <v>-0.28432299999999999</v>
      </c>
      <c r="F15" s="1">
        <v>3.6699800000000002E-3</v>
      </c>
      <c r="G15" s="1">
        <v>0.57198499999999997</v>
      </c>
      <c r="H15" s="1">
        <v>0.56260604000000003</v>
      </c>
      <c r="I15" s="1">
        <v>9.3789700000000004E-3</v>
      </c>
      <c r="J15" s="1">
        <v>5.6844779999999998E-2</v>
      </c>
      <c r="K15" s="1">
        <v>3.2557429999999998E-2</v>
      </c>
      <c r="L15" s="1">
        <v>2.4287349999999999E-2</v>
      </c>
      <c r="M15" s="1">
        <v>-2.404678E-2</v>
      </c>
      <c r="N15" s="1">
        <v>1.292051E-2</v>
      </c>
      <c r="O15" s="1">
        <v>-3.6967279999999998E-2</v>
      </c>
      <c r="R15">
        <f t="shared" si="13"/>
        <v>1.8349799999999861E-3</v>
      </c>
      <c r="S15">
        <f t="shared" si="4"/>
        <v>4.6894799999999681E-3</v>
      </c>
      <c r="U15" s="8">
        <f t="shared" si="5"/>
        <v>5.6844779999999998E-2</v>
      </c>
      <c r="V15" s="8">
        <f t="shared" si="6"/>
        <v>-2.404678E-2</v>
      </c>
      <c r="W15" s="8">
        <f t="shared" si="7"/>
        <v>3.2557429999999998E-2</v>
      </c>
      <c r="X15" s="8">
        <f t="shared" si="8"/>
        <v>1.292051E-2</v>
      </c>
      <c r="Y15" s="9">
        <f t="shared" si="9"/>
        <v>3.5386460293379067</v>
      </c>
      <c r="Z15" s="9">
        <f t="shared" si="10"/>
        <v>2.0073385933589072</v>
      </c>
      <c r="AA15" s="9">
        <f t="shared" si="11"/>
        <v>337.0704084410396</v>
      </c>
      <c r="AB15" s="9">
        <f t="shared" si="12"/>
        <v>337.07407842103959</v>
      </c>
    </row>
    <row r="16" spans="1:28" x14ac:dyDescent="0.25">
      <c r="A16">
        <v>14</v>
      </c>
      <c r="B16">
        <v>292.5</v>
      </c>
      <c r="C16">
        <v>50</v>
      </c>
      <c r="D16" s="1">
        <v>-0.28117101999999999</v>
      </c>
      <c r="E16" s="1">
        <v>-0.28241904000000001</v>
      </c>
      <c r="F16" s="1">
        <v>1.248E-3</v>
      </c>
      <c r="G16" s="1">
        <v>0.570488</v>
      </c>
      <c r="H16" s="1">
        <v>0.56248904</v>
      </c>
      <c r="I16" s="1">
        <v>7.9989399999999995E-3</v>
      </c>
      <c r="J16" s="1">
        <v>6.2738420000000003E-2</v>
      </c>
      <c r="K16" s="1">
        <v>2.7695310000000001E-2</v>
      </c>
      <c r="L16" s="1">
        <v>3.5043119999999997E-2</v>
      </c>
      <c r="M16" s="1">
        <v>-1.8604590000000001E-2</v>
      </c>
      <c r="N16" s="1">
        <v>7.4238300000000002E-3</v>
      </c>
      <c r="O16" s="1">
        <v>-2.602842E-2</v>
      </c>
      <c r="R16">
        <f t="shared" si="13"/>
        <v>6.2401000000000817E-4</v>
      </c>
      <c r="S16">
        <f t="shared" si="4"/>
        <v>3.9994799999999997E-3</v>
      </c>
      <c r="U16" s="8">
        <f t="shared" si="5"/>
        <v>6.2738420000000003E-2</v>
      </c>
      <c r="V16" s="8">
        <f t="shared" si="6"/>
        <v>-1.8604590000000001E-2</v>
      </c>
      <c r="W16" s="8">
        <f t="shared" si="7"/>
        <v>2.7695310000000001E-2</v>
      </c>
      <c r="X16" s="8">
        <f t="shared" si="8"/>
        <v>7.4238300000000002E-3</v>
      </c>
      <c r="Y16" s="9">
        <f t="shared" si="9"/>
        <v>3.7520497374916104</v>
      </c>
      <c r="Z16" s="9">
        <f t="shared" si="10"/>
        <v>1.64306959491916</v>
      </c>
      <c r="AA16" s="9">
        <f t="shared" si="11"/>
        <v>343.48268656786439</v>
      </c>
      <c r="AB16" s="9">
        <f t="shared" si="12"/>
        <v>343.48393456786437</v>
      </c>
    </row>
    <row r="17" spans="1:28" x14ac:dyDescent="0.25">
      <c r="A17">
        <v>15</v>
      </c>
      <c r="B17">
        <v>315</v>
      </c>
      <c r="C17">
        <v>50</v>
      </c>
      <c r="D17" s="1">
        <v>-0.28250500000000001</v>
      </c>
      <c r="E17" s="1">
        <v>-0.27970304000000001</v>
      </c>
      <c r="F17" s="1">
        <v>-2.8019500000000001E-3</v>
      </c>
      <c r="G17" s="1">
        <v>0.57103389999999998</v>
      </c>
      <c r="H17" s="1">
        <v>0.56446810000000003</v>
      </c>
      <c r="I17" s="1">
        <v>6.56581E-3</v>
      </c>
      <c r="J17" s="1">
        <v>6.5828449999999997E-2</v>
      </c>
      <c r="K17" s="1">
        <v>2.3763969999999999E-2</v>
      </c>
      <c r="L17" s="1">
        <v>4.2064480000000001E-2</v>
      </c>
      <c r="M17" s="1">
        <v>-1.1272269999999999E-2</v>
      </c>
      <c r="N17" s="1">
        <v>1.6694E-4</v>
      </c>
      <c r="O17" s="1">
        <v>-1.143921E-2</v>
      </c>
      <c r="R17">
        <f t="shared" si="13"/>
        <v>-1.4009799999999961E-3</v>
      </c>
      <c r="S17">
        <f t="shared" si="4"/>
        <v>3.2828999999999775E-3</v>
      </c>
      <c r="U17" s="8">
        <f t="shared" si="5"/>
        <v>6.5828449999999997E-2</v>
      </c>
      <c r="V17" s="8">
        <f t="shared" si="6"/>
        <v>-1.1272269999999999E-2</v>
      </c>
      <c r="W17" s="8">
        <f t="shared" si="7"/>
        <v>2.3763969999999999E-2</v>
      </c>
      <c r="X17" s="8">
        <f t="shared" si="8"/>
        <v>1.6694E-4</v>
      </c>
      <c r="Y17" s="9">
        <f t="shared" si="9"/>
        <v>3.8294403054856265</v>
      </c>
      <c r="Z17" s="9">
        <f t="shared" si="10"/>
        <v>1.361736976541724</v>
      </c>
      <c r="AA17" s="9">
        <f t="shared" si="11"/>
        <v>350.28308153011795</v>
      </c>
      <c r="AB17" s="9">
        <f t="shared" si="12"/>
        <v>350.28027958011796</v>
      </c>
    </row>
    <row r="18" spans="1:28" x14ac:dyDescent="0.25">
      <c r="A18">
        <v>16</v>
      </c>
      <c r="B18">
        <v>337.5</v>
      </c>
      <c r="C18">
        <v>50</v>
      </c>
      <c r="D18" s="1">
        <v>-0.28255301999999999</v>
      </c>
      <c r="E18" s="1">
        <v>-0.27800202000000002</v>
      </c>
      <c r="F18" s="1">
        <v>-4.5509900000000004E-3</v>
      </c>
      <c r="G18" s="1">
        <v>0.57187500000000002</v>
      </c>
      <c r="H18" s="1">
        <v>0.56852999999999998</v>
      </c>
      <c r="I18" s="1">
        <v>3.3449500000000002E-3</v>
      </c>
      <c r="J18" s="1">
        <v>6.6325300000000004E-2</v>
      </c>
      <c r="K18" s="1">
        <v>2.399082E-2</v>
      </c>
      <c r="L18" s="1">
        <v>4.2334480000000001E-2</v>
      </c>
      <c r="M18" s="1">
        <v>-2.9190900000000001E-3</v>
      </c>
      <c r="N18" s="1">
        <v>-8.1990199999999996E-3</v>
      </c>
      <c r="O18" s="1">
        <v>5.2799300000000004E-3</v>
      </c>
      <c r="R18">
        <f t="shared" si="13"/>
        <v>-2.2754999999999859E-3</v>
      </c>
      <c r="S18">
        <f t="shared" si="4"/>
        <v>1.6725000000000212E-3</v>
      </c>
      <c r="U18" s="8">
        <f t="shared" si="5"/>
        <v>6.6325300000000004E-2</v>
      </c>
      <c r="V18" s="8">
        <f t="shared" si="6"/>
        <v>-2.9190900000000001E-3</v>
      </c>
      <c r="W18" s="8">
        <f t="shared" si="7"/>
        <v>2.399082E-2</v>
      </c>
      <c r="X18" s="8">
        <f t="shared" si="8"/>
        <v>-8.1990199999999996E-3</v>
      </c>
      <c r="Y18" s="9">
        <f t="shared" si="9"/>
        <v>3.8066383328794147</v>
      </c>
      <c r="Z18" s="9">
        <f t="shared" si="10"/>
        <v>1.4527854672769991</v>
      </c>
      <c r="AA18" s="9">
        <f t="shared" si="11"/>
        <v>357.47994095925742</v>
      </c>
      <c r="AB18" s="9">
        <f t="shared" si="12"/>
        <v>357.47538996925744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2026-08-02T16:45:29Z</dcterms:modified>
</cp:coreProperties>
</file>