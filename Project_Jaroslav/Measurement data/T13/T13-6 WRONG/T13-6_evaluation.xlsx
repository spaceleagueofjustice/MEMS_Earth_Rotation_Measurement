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3\T13-6 WRONG\"/>
    </mc:Choice>
  </mc:AlternateContent>
  <xr:revisionPtr revIDLastSave="0" documentId="13_ncr:1_{1B3AFE19-D93D-49BD-A010-F9697A2A6696}" xr6:coauthVersionLast="47" xr6:coauthVersionMax="47" xr10:uidLastSave="{00000000-0000-0000-0000-000000000000}"/>
  <bookViews>
    <workbookView xWindow="3210" yWindow="5265" windowWidth="28800" windowHeight="15345" xr2:uid="{0C4992B2-34A0-4179-B002-07A58BC14391}"/>
  </bookViews>
  <sheets>
    <sheet name="Main" sheetId="2" r:id="rId1"/>
    <sheet name="T13-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X18" i="1"/>
  <c r="W18" i="1"/>
  <c r="V18" i="1"/>
  <c r="U18" i="1"/>
  <c r="X17" i="1"/>
  <c r="W17" i="1"/>
  <c r="V17" i="1"/>
  <c r="U17" i="1"/>
  <c r="X16" i="1"/>
  <c r="W16" i="1"/>
  <c r="V16" i="1"/>
  <c r="U16" i="1"/>
  <c r="X15" i="1"/>
  <c r="W15" i="1"/>
  <c r="Z15" i="1" s="1"/>
  <c r="V15" i="1"/>
  <c r="U15" i="1"/>
  <c r="Y15" i="1" s="1"/>
  <c r="X14" i="1"/>
  <c r="W14" i="1"/>
  <c r="Z14" i="1" s="1"/>
  <c r="V14" i="1"/>
  <c r="U14" i="1"/>
  <c r="X13" i="1"/>
  <c r="W13" i="1"/>
  <c r="V13" i="1"/>
  <c r="U13" i="1"/>
  <c r="X12" i="1"/>
  <c r="W12" i="1"/>
  <c r="Z12" i="1" s="1"/>
  <c r="V12" i="1"/>
  <c r="U12" i="1"/>
  <c r="Y12" i="1" s="1"/>
  <c r="X11" i="1"/>
  <c r="W11" i="1"/>
  <c r="V11" i="1"/>
  <c r="U11" i="1"/>
  <c r="X10" i="1"/>
  <c r="W10" i="1"/>
  <c r="V10" i="1"/>
  <c r="U10" i="1"/>
  <c r="X9" i="1"/>
  <c r="W9" i="1"/>
  <c r="Z9" i="1" s="1"/>
  <c r="V9" i="1"/>
  <c r="U9" i="1"/>
  <c r="Y9" i="1" s="1"/>
  <c r="X8" i="1"/>
  <c r="W8" i="1"/>
  <c r="V8" i="1"/>
  <c r="U8" i="1"/>
  <c r="X7" i="1"/>
  <c r="W7" i="1"/>
  <c r="V7" i="1"/>
  <c r="U7" i="1"/>
  <c r="X6" i="1"/>
  <c r="W6" i="1"/>
  <c r="Z6" i="1" s="1"/>
  <c r="V6" i="1"/>
  <c r="U6" i="1"/>
  <c r="X5" i="1"/>
  <c r="W5" i="1"/>
  <c r="V5" i="1"/>
  <c r="U5" i="1"/>
  <c r="X4" i="1"/>
  <c r="W4" i="1"/>
  <c r="V4" i="1"/>
  <c r="U4" i="1"/>
  <c r="X3" i="1"/>
  <c r="W3" i="1"/>
  <c r="Z3" i="1" s="1"/>
  <c r="V3" i="1"/>
  <c r="U3" i="1"/>
  <c r="AA3" i="1" s="1"/>
  <c r="AB3" i="1" s="1"/>
  <c r="G17" i="2"/>
  <c r="G11" i="2"/>
  <c r="G9" i="2"/>
  <c r="Z4" i="1" l="1"/>
  <c r="Z13" i="1"/>
  <c r="Z17" i="1"/>
  <c r="Z5" i="1"/>
  <c r="Z8" i="1"/>
  <c r="Z11" i="1"/>
  <c r="Z16" i="1"/>
  <c r="Y6" i="1"/>
  <c r="Z7" i="1"/>
  <c r="Z10" i="1"/>
  <c r="Y18" i="1"/>
  <c r="Z18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AB18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8" i="2" l="1"/>
  <c r="V8" i="2"/>
  <c r="T8" i="2"/>
  <c r="X8" i="2"/>
</calcChain>
</file>

<file path=xl/sharedStrings.xml><?xml version="1.0" encoding="utf-8"?>
<sst xmlns="http://schemas.openxmlformats.org/spreadsheetml/2006/main" count="56" uniqueCount="51">
  <si>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</si>
  <si>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</si>
  <si>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</si>
  <si>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</si>
  <si>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</si>
  <si>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</si>
  <si>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</si>
  <si>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</si>
  <si>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</si>
  <si>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</si>
  <si>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</si>
  <si>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</si>
  <si>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</si>
  <si>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</si>
  <si>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</si>
  <si>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</si>
  <si>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</si>
  <si>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</si>
  <si>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</si>
  <si>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</si>
  <si>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</si>
  <si>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Description: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</si>
  <si>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</si>
  <si>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</si>
  <si>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</si>
  <si>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</si>
  <si>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</si>
  <si>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</si>
  <si>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</si>
  <si>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</si>
  <si>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</si>
  <si>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</si>
  <si>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Azimuth-Dependence Test (Randomized Step Scan, Off-North Start, Tilted Mount)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</si>
  <si>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</si>
  <si>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</si>
  <si>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</si>
  <si>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</si>
  <si>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</si>
  <si>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</si>
  <si>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</si>
  <si>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</si>
  <si>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</si>
  <si>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</si>
  <si>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</si>
  <si>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</si>
  <si>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</si>
  <si>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</si>
  <si>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</si>
  <si>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T13-6</t>
  </si>
  <si>
    <t>CW (+1)</t>
  </si>
  <si>
    <t xml:space="preserve">- 16*22,5° random position, full 360°
- mount azimuth to 90°
- start azimuth 0° (north)
- measuring plane level
- rotation CW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</si>
</sst>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'T13-6'!$R$2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'T13-6'!$B$3:$B$18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'T13-6'!$R$3:$R$18</c:f>
              <c:numCache>
                <c:formatCode>General</c:formatCode>
                <c:ptCount val="16"/>
                <c:pt idx="0">
                  <c:v>-1.7139800000000038E-3</c:v>
                </c:pt>
                <c:pt idx="1">
                  <c:v>-1.6990199999999955E-3</c:v>
                </c:pt>
                <c:pt idx="2">
                  <c:v>-7.3296999999999946E-4</c:v>
                </c:pt>
                <c:pt idx="3">
                  <c:v>4.049999999999887E-4</c:v>
                </c:pt>
                <c:pt idx="4">
                  <c:v>1.3079599999999969E-3</c:v>
                </c:pt>
                <c:pt idx="5">
                  <c:v>1.9139900000000043E-3</c:v>
                </c:pt>
                <c:pt idx="6">
                  <c:v>1.6524699999999892E-3</c:v>
                </c:pt>
                <c:pt idx="7">
                  <c:v>1.6254799999999847E-3</c:v>
                </c:pt>
                <c:pt idx="8">
                  <c:v>2.1935100000000096E-3</c:v>
                </c:pt>
                <c:pt idx="9">
                  <c:v>1.7174699999999987E-3</c:v>
                </c:pt>
                <c:pt idx="10">
                  <c:v>1.4585000000000015E-3</c:v>
                </c:pt>
                <c:pt idx="11">
                  <c:v>-8.1802000000000263E-4</c:v>
                </c:pt>
                <c:pt idx="12">
                  <c:v>-1.0809999999999986E-3</c:v>
                </c:pt>
                <c:pt idx="13">
                  <c:v>-1.640019999999992E-3</c:v>
                </c:pt>
                <c:pt idx="14">
                  <c:v>-1.2485400000000202E-3</c:v>
                </c:pt>
                <c:pt idx="15">
                  <c:v>-1.551479999999994E-3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'T13-6'!$S$2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'T13-6'!$B$3:$B$18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'T13-6'!$S$3:$S$18</c:f>
              <c:numCache>
                <c:formatCode>General</c:formatCode>
                <c:ptCount val="16"/>
                <c:pt idx="0">
                  <c:v>2.4164500000000144E-3</c:v>
                </c:pt>
                <c:pt idx="1">
                  <c:v>2.5703999999998617E-4</c:v>
                </c:pt>
                <c:pt idx="2">
                  <c:v>1.3880000000000003E-3</c:v>
                </c:pt>
                <c:pt idx="3">
                  <c:v>1.1350500000000263E-3</c:v>
                </c:pt>
                <c:pt idx="4">
                  <c:v>2.1784799999999827E-3</c:v>
                </c:pt>
                <c:pt idx="5">
                  <c:v>1.8455199999999894E-3</c:v>
                </c:pt>
                <c:pt idx="6">
                  <c:v>1.0164300000000126E-3</c:v>
                </c:pt>
                <c:pt idx="7">
                  <c:v>1.4505000000003543E-4</c:v>
                </c:pt>
                <c:pt idx="8">
                  <c:v>-3.7755000000000427E-4</c:v>
                </c:pt>
                <c:pt idx="9">
                  <c:v>-7.5298000000001419E-4</c:v>
                </c:pt>
                <c:pt idx="10">
                  <c:v>-3.5074999999999967E-3</c:v>
                </c:pt>
                <c:pt idx="11">
                  <c:v>-2.4500000000000077E-3</c:v>
                </c:pt>
                <c:pt idx="12">
                  <c:v>-2.2004999999999941E-3</c:v>
                </c:pt>
                <c:pt idx="13">
                  <c:v>-1.1849999999999916E-3</c:v>
                </c:pt>
                <c:pt idx="14">
                  <c:v>-6.2908999999999882E-4</c:v>
                </c:pt>
                <c:pt idx="15">
                  <c:v>5.6201999999999641E-4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'T13-6'!$L$2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'T13-6'!$L$3:$L$18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3.7684429999999998E-2</c:v>
                      </c:pt>
                      <c:pt idx="1">
                        <c:v>4.182773E-2</c:v>
                      </c:pt>
                      <c:pt idx="2">
                        <c:v>3.968203E-2</c:v>
                      </c:pt>
                      <c:pt idx="3">
                        <c:v>3.1429539999999999E-2</c:v>
                      </c:pt>
                      <c:pt idx="4">
                        <c:v>1.844318E-2</c:v>
                      </c:pt>
                      <c:pt idx="5">
                        <c:v>2.3746599999999998E-3</c:v>
                      </c:pt>
                      <c:pt idx="6">
                        <c:v>-1.4037279999999999E-2</c:v>
                      </c:pt>
                      <c:pt idx="7">
                        <c:v>-2.829487E-2</c:v>
                      </c:pt>
                      <c:pt idx="8">
                        <c:v>-3.7950249999999998E-2</c:v>
                      </c:pt>
                      <c:pt idx="9">
                        <c:v>-4.2989399999999997E-2</c:v>
                      </c:pt>
                      <c:pt idx="10">
                        <c:v>-4.0628409999999997E-2</c:v>
                      </c:pt>
                      <c:pt idx="11">
                        <c:v>-3.2743609999999999E-2</c:v>
                      </c:pt>
                      <c:pt idx="12">
                        <c:v>-1.916259E-2</c:v>
                      </c:pt>
                      <c:pt idx="13">
                        <c:v>-3.8509799999999999E-3</c:v>
                      </c:pt>
                      <c:pt idx="14">
                        <c:v>1.3515869999999999E-2</c:v>
                      </c:pt>
                      <c:pt idx="15">
                        <c:v>2.7625540000000001E-2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'T13-6'!$O$2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'T13-6'!$O$3:$O$18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1.8606399999999999E-2</c:v>
                      </c:pt>
                      <c:pt idx="1">
                        <c:v>2.7073700000000002E-3</c:v>
                      </c:pt>
                      <c:pt idx="2">
                        <c:v>-1.3847999999999999E-2</c:v>
                      </c:pt>
                      <c:pt idx="3">
                        <c:v>-2.840088E-2</c:v>
                      </c:pt>
                      <c:pt idx="4">
                        <c:v>-3.8522460000000001E-2</c:v>
                      </c:pt>
                      <c:pt idx="5">
                        <c:v>-4.2903230000000001E-2</c:v>
                      </c:pt>
                      <c:pt idx="6">
                        <c:v>-4.0712989999999998E-2</c:v>
                      </c:pt>
                      <c:pt idx="7">
                        <c:v>-3.2322799999999999E-2</c:v>
                      </c:pt>
                      <c:pt idx="8">
                        <c:v>-1.9042239999999998E-2</c:v>
                      </c:pt>
                      <c:pt idx="9">
                        <c:v>-2.82227E-3</c:v>
                      </c:pt>
                      <c:pt idx="10">
                        <c:v>1.346397E-2</c:v>
                      </c:pt>
                      <c:pt idx="11">
                        <c:v>2.7982079999999999E-2</c:v>
                      </c:pt>
                      <c:pt idx="12">
                        <c:v>3.8225740000000001E-2</c:v>
                      </c:pt>
                      <c:pt idx="13">
                        <c:v>4.2569629999999997E-2</c:v>
                      </c:pt>
                      <c:pt idx="14">
                        <c:v>4.0317579999999999E-2</c:v>
                      </c:pt>
                      <c:pt idx="15">
                        <c:v>3.1897120000000001E-2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'T13-6'!$Y$2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'T13-6'!$B$3:$B$18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'T13-6'!$Y$3:$Y$18</c:f>
              <c:numCache>
                <c:formatCode>0.00</c:formatCode>
                <c:ptCount val="16"/>
                <c:pt idx="0">
                  <c:v>3.9280995205117151</c:v>
                </c:pt>
                <c:pt idx="1">
                  <c:v>4.0108891317310835</c:v>
                </c:pt>
                <c:pt idx="2">
                  <c:v>4.0180642155290522</c:v>
                </c:pt>
                <c:pt idx="3">
                  <c:v>3.8801992652601909</c:v>
                </c:pt>
                <c:pt idx="4">
                  <c:v>3.6318699082690729</c:v>
                </c:pt>
                <c:pt idx="5">
                  <c:v>3.2572834380261013</c:v>
                </c:pt>
                <c:pt idx="6">
                  <c:v>2.821576705256831</c:v>
                </c:pt>
                <c:pt idx="7">
                  <c:v>2.3482821487123022</c:v>
                </c:pt>
                <c:pt idx="8">
                  <c:v>1.9195665171216059</c:v>
                </c:pt>
                <c:pt idx="9">
                  <c:v>1.6149514243231413</c:v>
                </c:pt>
                <c:pt idx="10">
                  <c:v>1.6545501177814244</c:v>
                </c:pt>
                <c:pt idx="11">
                  <c:v>1.9386547562857213</c:v>
                </c:pt>
                <c:pt idx="12">
                  <c:v>2.416552896061761</c:v>
                </c:pt>
                <c:pt idx="13">
                  <c:v>2.858878790550595</c:v>
                </c:pt>
                <c:pt idx="14">
                  <c:v>3.3335275818512216</c:v>
                </c:pt>
                <c:pt idx="15">
                  <c:v>3.6939228570703966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'T13-6'!$Z$2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'T13-6'!$B$3:$B$18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'T13-6'!$Z$3:$Z$18</c:f>
              <c:numCache>
                <c:formatCode>0.00</c:formatCode>
                <c:ptCount val="16"/>
                <c:pt idx="0">
                  <c:v>1.929884123872752</c:v>
                </c:pt>
                <c:pt idx="1">
                  <c:v>1.6446686893261659</c:v>
                </c:pt>
                <c:pt idx="2">
                  <c:v>1.6886781478628652</c:v>
                </c:pt>
                <c:pt idx="3">
                  <c:v>1.9924358386246928</c:v>
                </c:pt>
                <c:pt idx="4">
                  <c:v>2.4419214871680235</c:v>
                </c:pt>
                <c:pt idx="5">
                  <c:v>2.908691094450957</c:v>
                </c:pt>
                <c:pt idx="6">
                  <c:v>3.3464532383090204</c:v>
                </c:pt>
                <c:pt idx="7">
                  <c:v>3.6954438494844775</c:v>
                </c:pt>
                <c:pt idx="8">
                  <c:v>3.9210302645166859</c:v>
                </c:pt>
                <c:pt idx="9">
                  <c:v>4.0454290483199014</c:v>
                </c:pt>
                <c:pt idx="10">
                  <c:v>4.0386453382196441</c:v>
                </c:pt>
                <c:pt idx="11">
                  <c:v>3.9005582872125797</c:v>
                </c:pt>
                <c:pt idx="12">
                  <c:v>3.6394670968782044</c:v>
                </c:pt>
                <c:pt idx="13">
                  <c:v>3.2803710462943201</c:v>
                </c:pt>
                <c:pt idx="14">
                  <c:v>2.825166285535885</c:v>
                </c:pt>
                <c:pt idx="15">
                  <c:v>2.3684937146301537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200024</xdr:rowOff>
    </xdr:from>
    <xdr:to>
      <xdr:col>12</xdr:col>
      <xdr:colOff>0</xdr:colOff>
      <xdr:row>47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19</xdr:row>
      <xdr:rowOff>0</xdr:rowOff>
    </xdr:from>
    <xdr:to>
      <xdr:col>25</xdr:col>
      <xdr:colOff>1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7"/>
  <sheetViews>
    <sheetView tabSelected="1" topLeftCell="A5" zoomScaleNormal="100" workbookViewId="0">
      <selection activeCell="G8" sqref="G8:H8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23" t="s">
        <v>31</v>
      </c>
      <c r="B1" s="23"/>
      <c r="C1" s="23" t="s">
        <v>48</v>
      </c>
      <c r="D1" s="23"/>
      <c r="E1" s="23" t="s">
        <v>32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5.7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4" spans="1:25" x14ac:dyDescent="0.25">
      <c r="A4" s="12" t="s">
        <v>33</v>
      </c>
      <c r="B4" s="12"/>
      <c r="C4" s="12"/>
      <c r="D4" s="12"/>
      <c r="E4" s="12"/>
      <c r="F4" s="12"/>
      <c r="G4" s="21">
        <v>90</v>
      </c>
      <c r="H4" s="22"/>
      <c r="I4" s="3" t="s">
        <v>19</v>
      </c>
      <c r="K4" s="26" t="s">
        <v>21</v>
      </c>
      <c r="L4" s="26"/>
      <c r="M4" s="26"/>
      <c r="N4" s="26"/>
      <c r="O4" s="26"/>
      <c r="P4" s="26"/>
      <c r="R4" s="20" t="s">
        <v>27</v>
      </c>
      <c r="S4" s="20"/>
      <c r="T4" s="20" t="s">
        <v>28</v>
      </c>
      <c r="U4" s="20"/>
      <c r="V4" s="20" t="s">
        <v>29</v>
      </c>
      <c r="W4" s="20"/>
      <c r="X4" s="20" t="s">
        <v>30</v>
      </c>
      <c r="Y4" s="20"/>
    </row>
    <row r="5" spans="1:25" x14ac:dyDescent="0.25">
      <c r="A5" s="16" t="s">
        <v>34</v>
      </c>
      <c r="B5" s="17"/>
      <c r="C5" s="17"/>
      <c r="D5" s="17"/>
      <c r="E5" s="17"/>
      <c r="F5" s="18"/>
      <c r="G5" s="21">
        <v>0</v>
      </c>
      <c r="H5" s="22"/>
      <c r="I5" s="3" t="s">
        <v>19</v>
      </c>
      <c r="K5" s="27" t="s">
        <v>50</v>
      </c>
      <c r="L5" s="28"/>
      <c r="M5" s="28"/>
      <c r="N5" s="28"/>
      <c r="O5" s="28"/>
      <c r="P5" s="29"/>
      <c r="R5" s="20"/>
      <c r="S5" s="20"/>
      <c r="T5" s="20"/>
      <c r="U5" s="20"/>
      <c r="V5" s="20"/>
      <c r="W5" s="20"/>
      <c r="X5" s="20"/>
      <c r="Y5" s="20"/>
    </row>
    <row r="6" spans="1:25" x14ac:dyDescent="0.25">
      <c r="A6" s="12" t="s">
        <v>35</v>
      </c>
      <c r="B6" s="12"/>
      <c r="C6" s="12"/>
      <c r="D6" s="12"/>
      <c r="E6" s="12"/>
      <c r="F6" s="12"/>
      <c r="G6" s="25">
        <v>0</v>
      </c>
      <c r="H6" s="25"/>
      <c r="I6" s="3" t="s">
        <v>26</v>
      </c>
      <c r="K6" s="30"/>
      <c r="L6" s="31"/>
      <c r="M6" s="31"/>
      <c r="N6" s="31"/>
      <c r="O6" s="31"/>
      <c r="P6" s="32"/>
      <c r="R6" s="20"/>
      <c r="S6" s="20"/>
      <c r="T6" s="20"/>
      <c r="U6" s="20"/>
      <c r="V6" s="20"/>
      <c r="W6" s="20"/>
      <c r="X6" s="20"/>
      <c r="Y6" s="20"/>
    </row>
    <row r="7" spans="1:25" ht="15.75" customHeight="1" x14ac:dyDescent="0.25">
      <c r="A7" s="12" t="s">
        <v>16</v>
      </c>
      <c r="B7" s="12"/>
      <c r="C7" s="12"/>
      <c r="D7" s="12"/>
      <c r="E7" s="12"/>
      <c r="F7" s="12"/>
      <c r="G7" s="24">
        <f>360/((23*60*60)+(56*60)+4.09)</f>
        <v>4.1780746480349299E-3</v>
      </c>
      <c r="H7" s="24"/>
      <c r="I7" s="3" t="s">
        <v>17</v>
      </c>
      <c r="K7" s="30"/>
      <c r="L7" s="31"/>
      <c r="M7" s="31"/>
      <c r="N7" s="31"/>
      <c r="O7" s="31"/>
      <c r="P7" s="32"/>
      <c r="R7" s="20"/>
      <c r="S7" s="20"/>
      <c r="T7" s="20"/>
      <c r="U7" s="20"/>
      <c r="V7" s="20"/>
      <c r="W7" s="20"/>
      <c r="X7" s="20"/>
      <c r="Y7" s="20"/>
    </row>
    <row r="8" spans="1:25" x14ac:dyDescent="0.25">
      <c r="A8" s="12" t="s">
        <v>18</v>
      </c>
      <c r="B8" s="12"/>
      <c r="C8" s="12"/>
      <c r="D8" s="12"/>
      <c r="E8" s="12"/>
      <c r="F8" s="12"/>
      <c r="G8" s="25">
        <v>49</v>
      </c>
      <c r="H8" s="25"/>
      <c r="I8" s="3" t="s">
        <v>19</v>
      </c>
      <c r="K8" s="30"/>
      <c r="L8" s="31"/>
      <c r="M8" s="31"/>
      <c r="N8" s="31"/>
      <c r="O8" s="31"/>
      <c r="P8" s="32"/>
      <c r="R8" s="19">
        <f>MIN('T13-6'!R3:R18)</f>
        <v>-1.7139800000000038E-3</v>
      </c>
      <c r="S8" s="19"/>
      <c r="T8" s="19">
        <f>MIN('T13-6'!S3:S18)</f>
        <v>-3.5074999999999967E-3</v>
      </c>
      <c r="U8" s="19"/>
      <c r="V8" s="19">
        <f>MAX('T13-6'!R3:R18)</f>
        <v>2.1935100000000096E-3</v>
      </c>
      <c r="W8" s="19"/>
      <c r="X8" s="19">
        <f>MAX('T13-6'!S3:S18)</f>
        <v>2.4164500000000144E-3</v>
      </c>
      <c r="Y8" s="19"/>
    </row>
    <row r="9" spans="1:25" ht="15.75" customHeight="1" x14ac:dyDescent="0.25">
      <c r="A9" s="38" t="s">
        <v>20</v>
      </c>
      <c r="B9" s="39"/>
      <c r="C9" s="39"/>
      <c r="D9" s="39"/>
      <c r="E9" s="39"/>
      <c r="F9" s="40"/>
      <c r="G9" s="41">
        <f>(COS(RADIANS(G8))*G7)</f>
        <v>2.7410635966396515E-3</v>
      </c>
      <c r="H9" s="42"/>
      <c r="I9" s="4" t="s">
        <v>17</v>
      </c>
      <c r="K9" s="30"/>
      <c r="L9" s="31"/>
      <c r="M9" s="31"/>
      <c r="N9" s="31"/>
      <c r="O9" s="31"/>
      <c r="P9" s="32"/>
      <c r="R9" s="19"/>
      <c r="S9" s="19"/>
      <c r="T9" s="19"/>
      <c r="U9" s="19"/>
      <c r="V9" s="19"/>
      <c r="W9" s="19"/>
      <c r="X9" s="19"/>
      <c r="Y9" s="19"/>
    </row>
    <row r="10" spans="1:25" x14ac:dyDescent="0.25">
      <c r="A10" s="12" t="s">
        <v>36</v>
      </c>
      <c r="B10" s="12"/>
      <c r="C10" s="12"/>
      <c r="D10" s="12"/>
      <c r="E10" s="12"/>
      <c r="F10" s="12"/>
      <c r="G10" s="25">
        <v>22.5</v>
      </c>
      <c r="H10" s="25"/>
      <c r="I10" s="3" t="s">
        <v>19</v>
      </c>
      <c r="K10" s="30"/>
      <c r="L10" s="31"/>
      <c r="M10" s="31"/>
      <c r="N10" s="31"/>
      <c r="O10" s="31"/>
      <c r="P10" s="32"/>
    </row>
    <row r="11" spans="1:25" x14ac:dyDescent="0.25">
      <c r="A11" s="16" t="s">
        <v>37</v>
      </c>
      <c r="B11" s="17"/>
      <c r="C11" s="17"/>
      <c r="D11" s="17"/>
      <c r="E11" s="17"/>
      <c r="F11" s="18"/>
      <c r="G11" s="21">
        <f>360/G10</f>
        <v>16</v>
      </c>
      <c r="H11" s="22"/>
      <c r="I11" s="3"/>
      <c r="K11" s="30"/>
      <c r="L11" s="31"/>
      <c r="M11" s="31"/>
      <c r="N11" s="31"/>
      <c r="O11" s="31"/>
      <c r="P11" s="32"/>
    </row>
    <row r="12" spans="1:25" x14ac:dyDescent="0.25">
      <c r="A12" s="12" t="s">
        <v>22</v>
      </c>
      <c r="B12" s="12"/>
      <c r="C12" s="12"/>
      <c r="D12" s="12"/>
      <c r="E12" s="12"/>
      <c r="F12" s="12"/>
      <c r="G12" s="25" t="s">
        <v>49</v>
      </c>
      <c r="H12" s="25"/>
      <c r="I12" s="3"/>
      <c r="K12" s="30"/>
      <c r="L12" s="31"/>
      <c r="M12" s="31"/>
      <c r="N12" s="31"/>
      <c r="O12" s="31"/>
      <c r="P12" s="32"/>
    </row>
    <row r="13" spans="1:25" x14ac:dyDescent="0.25">
      <c r="A13" s="16" t="s">
        <v>23</v>
      </c>
      <c r="B13" s="17"/>
      <c r="C13" s="17"/>
      <c r="D13" s="17"/>
      <c r="E13" s="17"/>
      <c r="F13" s="18"/>
      <c r="G13" s="21">
        <v>50</v>
      </c>
      <c r="H13" s="22"/>
      <c r="I13" s="3"/>
      <c r="K13" s="30"/>
      <c r="L13" s="31"/>
      <c r="M13" s="31"/>
      <c r="N13" s="31"/>
      <c r="O13" s="31"/>
      <c r="P13" s="32"/>
    </row>
    <row r="14" spans="1:25" x14ac:dyDescent="0.25">
      <c r="A14" s="16" t="s">
        <v>24</v>
      </c>
      <c r="B14" s="17"/>
      <c r="C14" s="17"/>
      <c r="D14" s="17"/>
      <c r="E14" s="17"/>
      <c r="F14" s="18"/>
      <c r="G14" s="21">
        <v>200</v>
      </c>
      <c r="H14" s="22"/>
      <c r="I14" s="3"/>
      <c r="K14" s="30"/>
      <c r="L14" s="31"/>
      <c r="M14" s="31"/>
      <c r="N14" s="31"/>
      <c r="O14" s="31"/>
      <c r="P14" s="32"/>
      <c r="R14" s="11"/>
      <c r="S14" s="11"/>
      <c r="T14" s="11"/>
      <c r="U14" s="11"/>
      <c r="V14" s="11"/>
      <c r="W14" s="11"/>
      <c r="X14" s="11"/>
      <c r="Y14" s="11"/>
    </row>
    <row r="15" spans="1:25" x14ac:dyDescent="0.25">
      <c r="A15" s="16" t="s">
        <v>25</v>
      </c>
      <c r="B15" s="17"/>
      <c r="C15" s="17"/>
      <c r="D15" s="17"/>
      <c r="E15" s="17"/>
      <c r="F15" s="18"/>
      <c r="G15" s="21">
        <v>50</v>
      </c>
      <c r="H15" s="22"/>
      <c r="I15" s="3"/>
      <c r="K15" s="30"/>
      <c r="L15" s="31"/>
      <c r="M15" s="31"/>
      <c r="N15" s="31"/>
      <c r="O15" s="31"/>
      <c r="P15" s="32"/>
      <c r="R15" s="11"/>
      <c r="S15" s="11"/>
      <c r="T15" s="11"/>
      <c r="U15" s="11"/>
      <c r="V15" s="11"/>
      <c r="W15" s="11"/>
      <c r="X15" s="11"/>
      <c r="Y15" s="11"/>
    </row>
    <row r="16" spans="1:25" x14ac:dyDescent="0.25">
      <c r="A16" s="13" t="s">
        <v>39</v>
      </c>
      <c r="B16" s="14"/>
      <c r="C16" s="14"/>
      <c r="D16" s="14"/>
      <c r="E16" s="14"/>
      <c r="F16" s="15"/>
      <c r="G16" s="36">
        <v>365</v>
      </c>
      <c r="H16" s="37"/>
      <c r="I16" s="5" t="s">
        <v>19</v>
      </c>
      <c r="K16" s="30"/>
      <c r="L16" s="31"/>
      <c r="M16" s="31"/>
      <c r="N16" s="31"/>
      <c r="O16" s="31"/>
      <c r="P16" s="32"/>
      <c r="R16" s="10"/>
      <c r="S16" s="10"/>
      <c r="T16" s="11"/>
      <c r="U16" s="11"/>
      <c r="V16" s="11"/>
      <c r="W16" s="11"/>
      <c r="X16" s="11"/>
      <c r="Y16" s="11"/>
    </row>
    <row r="17" spans="1:25" x14ac:dyDescent="0.25">
      <c r="A17" s="13" t="s">
        <v>38</v>
      </c>
      <c r="B17" s="14"/>
      <c r="C17" s="14"/>
      <c r="D17" s="14"/>
      <c r="E17" s="14"/>
      <c r="F17" s="15"/>
      <c r="G17" s="36">
        <f>G11*G13*G14</f>
        <v>160000</v>
      </c>
      <c r="H17" s="37"/>
      <c r="I17" s="3"/>
      <c r="K17" s="33"/>
      <c r="L17" s="34"/>
      <c r="M17" s="34"/>
      <c r="N17" s="34"/>
      <c r="O17" s="34"/>
      <c r="P17" s="35"/>
      <c r="R17" s="10"/>
      <c r="S17" s="10"/>
      <c r="T17" s="11"/>
      <c r="U17" s="11"/>
      <c r="V17" s="11"/>
      <c r="W17" s="11"/>
      <c r="X17" s="11"/>
      <c r="Y17" s="11"/>
    </row>
  </sheetData>
  <mergeCells count="49"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  <mergeCell ref="G4:H4"/>
    <mergeCell ref="A1:B2"/>
    <mergeCell ref="C1:D2"/>
    <mergeCell ref="E1:Y2"/>
    <mergeCell ref="R4:S7"/>
    <mergeCell ref="G7:H7"/>
    <mergeCell ref="A5:F5"/>
    <mergeCell ref="G5:H5"/>
    <mergeCell ref="A6:F6"/>
    <mergeCell ref="G6:H6"/>
    <mergeCell ref="K4:P4"/>
    <mergeCell ref="A4:F4"/>
    <mergeCell ref="A7:F7"/>
    <mergeCell ref="R8:S9"/>
    <mergeCell ref="T4:U7"/>
    <mergeCell ref="V4:W7"/>
    <mergeCell ref="X4:Y7"/>
    <mergeCell ref="T8:U9"/>
    <mergeCell ref="V8:W9"/>
    <mergeCell ref="X8:Y9"/>
    <mergeCell ref="A12:F12"/>
    <mergeCell ref="A17:F17"/>
    <mergeCell ref="A13:F13"/>
    <mergeCell ref="A14:F14"/>
    <mergeCell ref="A15:F15"/>
    <mergeCell ref="R16:S17"/>
    <mergeCell ref="T16:U17"/>
    <mergeCell ref="V16:W17"/>
    <mergeCell ref="X16:Y17"/>
    <mergeCell ref="R14:S15"/>
    <mergeCell ref="T14:U15"/>
    <mergeCell ref="V14:W15"/>
    <mergeCell ref="X14:Y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workbookViewId="0">
      <selection activeCell="G35" sqref="G35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  <c r="Z2" s="6" t="s">
        <v>45</v>
      </c>
      <c r="AA2" s="6" t="s">
        <v>46</v>
      </c>
      <c r="AB2" s="6" t="s">
        <v>47</v>
      </c>
    </row>
    <row r="3" spans="1:28" x14ac:dyDescent="0.25">
      <c r="A3">
        <v>1</v>
      </c>
      <c r="B3">
        <v>0</v>
      </c>
      <c r="C3">
        <v>50</v>
      </c>
      <c r="D3" s="1">
        <v>-0.30208891999999998</v>
      </c>
      <c r="E3" s="1">
        <v>-0.29866095999999998</v>
      </c>
      <c r="F3" s="1">
        <v>-3.4279499999999999E-3</v>
      </c>
      <c r="G3" s="1">
        <v>0.64750010000000002</v>
      </c>
      <c r="H3" s="1">
        <v>0.64266719999999999</v>
      </c>
      <c r="I3" s="1">
        <v>4.8329200000000001E-3</v>
      </c>
      <c r="J3" s="1">
        <v>6.8344779999999994E-2</v>
      </c>
      <c r="K3" s="1">
        <v>3.0660349999999999E-2</v>
      </c>
      <c r="L3" s="1">
        <v>3.7684429999999998E-2</v>
      </c>
      <c r="M3" s="1">
        <v>4.6763200000000003E-3</v>
      </c>
      <c r="N3" s="1">
        <v>-1.3930079999999999E-2</v>
      </c>
      <c r="O3" s="1">
        <v>1.8606399999999999E-2</v>
      </c>
      <c r="R3">
        <f>(D3-E3)/2</f>
        <v>-1.7139800000000038E-3</v>
      </c>
      <c r="S3">
        <f>(G3-H3)/2</f>
        <v>2.4164500000000144E-3</v>
      </c>
      <c r="U3" s="8">
        <f>J3</f>
        <v>6.8344779999999994E-2</v>
      </c>
      <c r="V3" s="8">
        <f>M3</f>
        <v>4.6763200000000003E-3</v>
      </c>
      <c r="W3" s="8">
        <f>K3</f>
        <v>3.0660349999999999E-2</v>
      </c>
      <c r="X3" s="8">
        <f>N3</f>
        <v>-1.3930079999999999E-2</v>
      </c>
      <c r="Y3" s="9">
        <f t="shared" ref="Y3" si="0">IF(U3="","",DEGREES(ASIN(SQRT(U3^2+V3^2))))</f>
        <v>3.9280995205117151</v>
      </c>
      <c r="Z3" s="9">
        <f t="shared" ref="Z3" si="1">IF(W3="","",DEGREES(ASIN(SQRT(W3^2+X3^2))))</f>
        <v>1.929884123872752</v>
      </c>
      <c r="AA3" s="9">
        <f t="shared" ref="AA3" si="2">IF(U3="","",MOD(DEGREES(ATAN2(U3,V3)),360))</f>
        <v>3.9142191682239047</v>
      </c>
      <c r="AB3" s="9">
        <f t="shared" ref="AB3" si="3">IF(U3="","",MOD(F3+AA3,360))</f>
        <v>3.9107912182239049</v>
      </c>
    </row>
    <row r="4" spans="1:28" x14ac:dyDescent="0.25">
      <c r="A4">
        <v>2</v>
      </c>
      <c r="B4">
        <v>22.5</v>
      </c>
      <c r="C4">
        <v>50</v>
      </c>
      <c r="D4" s="1">
        <v>-0.30046995999999998</v>
      </c>
      <c r="E4" s="1">
        <v>-0.29707191999999999</v>
      </c>
      <c r="F4" s="1">
        <v>-3.3980299999999998E-3</v>
      </c>
      <c r="G4" s="1">
        <v>0.64642716</v>
      </c>
      <c r="H4" s="1">
        <v>0.64591308000000003</v>
      </c>
      <c r="I4" s="1">
        <v>5.1409000000000003E-4</v>
      </c>
      <c r="J4" s="1">
        <v>6.9861080000000006E-2</v>
      </c>
      <c r="K4" s="1">
        <v>2.803336E-2</v>
      </c>
      <c r="L4" s="1">
        <v>4.182773E-2</v>
      </c>
      <c r="M4" s="1">
        <v>-3.4468699999999999E-3</v>
      </c>
      <c r="N4" s="1">
        <v>-6.15425E-3</v>
      </c>
      <c r="O4" s="1">
        <v>2.7073700000000002E-3</v>
      </c>
      <c r="R4">
        <f>(D4-E4)/2</f>
        <v>-1.6990199999999955E-3</v>
      </c>
      <c r="S4">
        <f t="shared" ref="S4:S18" si="4">(G4-H4)/2</f>
        <v>2.5703999999998617E-4</v>
      </c>
      <c r="U4" s="8">
        <f t="shared" ref="U4:U18" si="5">J4</f>
        <v>6.9861080000000006E-2</v>
      </c>
      <c r="V4" s="8">
        <f t="shared" ref="V4:V18" si="6">M4</f>
        <v>-3.4468699999999999E-3</v>
      </c>
      <c r="W4" s="8">
        <f t="shared" ref="W4:W18" si="7">K4</f>
        <v>2.803336E-2</v>
      </c>
      <c r="X4" s="8">
        <f t="shared" ref="X4:X18" si="8">N4</f>
        <v>-6.15425E-3</v>
      </c>
      <c r="Y4" s="9">
        <f t="shared" ref="Y4:Y18" si="9">IF(U4="","",DEGREES(ASIN(SQRT(U4^2+V4^2))))</f>
        <v>4.0108891317310835</v>
      </c>
      <c r="Z4" s="9">
        <f t="shared" ref="Z4:Z18" si="10">IF(W4="","",DEGREES(ASIN(SQRT(W4^2+X4^2))))</f>
        <v>1.6446686893261659</v>
      </c>
      <c r="AA4" s="9">
        <f t="shared" ref="AA4:AA18" si="11">IF(U4="","",MOD(DEGREES(ATAN2(U4,V4)),360))</f>
        <v>357.17537884562427</v>
      </c>
      <c r="AB4" s="9">
        <f t="shared" ref="AB4:AB18" si="12">IF(U4="","",MOD(F4+AA4,360))</f>
        <v>357.17198081562424</v>
      </c>
    </row>
    <row r="5" spans="1:28" x14ac:dyDescent="0.25">
      <c r="A5">
        <v>3</v>
      </c>
      <c r="B5">
        <v>45</v>
      </c>
      <c r="C5">
        <v>50</v>
      </c>
      <c r="D5" s="1">
        <v>-0.29925395999999999</v>
      </c>
      <c r="E5" s="1">
        <v>-0.29778801999999999</v>
      </c>
      <c r="F5" s="1">
        <v>-1.4659499999999999E-3</v>
      </c>
      <c r="G5" s="1">
        <v>0.64779715999999998</v>
      </c>
      <c r="H5" s="1">
        <v>0.64502115999999998</v>
      </c>
      <c r="I5" s="1">
        <v>2.7760300000000001E-3</v>
      </c>
      <c r="J5" s="1">
        <v>6.9076810000000002E-2</v>
      </c>
      <c r="K5" s="1">
        <v>2.9394779999999999E-2</v>
      </c>
      <c r="L5" s="1">
        <v>3.968203E-2</v>
      </c>
      <c r="M5" s="1">
        <v>-1.176167E-2</v>
      </c>
      <c r="N5" s="1">
        <v>2.08633E-3</v>
      </c>
      <c r="O5" s="1">
        <v>-1.3847999999999999E-2</v>
      </c>
      <c r="R5">
        <f t="shared" ref="R5:R18" si="13">(D5-E5)/2</f>
        <v>-7.3296999999999946E-4</v>
      </c>
      <c r="S5">
        <f t="shared" si="4"/>
        <v>1.3880000000000003E-3</v>
      </c>
      <c r="U5" s="8">
        <f t="shared" si="5"/>
        <v>6.9076810000000002E-2</v>
      </c>
      <c r="V5" s="8">
        <f t="shared" si="6"/>
        <v>-1.176167E-2</v>
      </c>
      <c r="W5" s="8">
        <f t="shared" si="7"/>
        <v>2.9394779999999999E-2</v>
      </c>
      <c r="X5" s="8">
        <f t="shared" si="8"/>
        <v>2.08633E-3</v>
      </c>
      <c r="Y5" s="9">
        <f t="shared" si="9"/>
        <v>4.0180642155290522</v>
      </c>
      <c r="Z5" s="9">
        <f t="shared" si="10"/>
        <v>1.6886781478628652</v>
      </c>
      <c r="AA5" s="9">
        <f t="shared" si="11"/>
        <v>350.33695100047743</v>
      </c>
      <c r="AB5" s="9">
        <f t="shared" si="12"/>
        <v>350.33548505047742</v>
      </c>
    </row>
    <row r="6" spans="1:28" x14ac:dyDescent="0.25">
      <c r="A6">
        <v>4</v>
      </c>
      <c r="B6">
        <v>67.5</v>
      </c>
      <c r="C6">
        <v>50</v>
      </c>
      <c r="D6" s="1">
        <v>-0.29807090000000003</v>
      </c>
      <c r="E6" s="1">
        <v>-0.2988809</v>
      </c>
      <c r="F6" s="1">
        <v>8.0999999999999996E-4</v>
      </c>
      <c r="G6" s="1">
        <v>0.64790210000000004</v>
      </c>
      <c r="H6" s="1">
        <v>0.64563199999999998</v>
      </c>
      <c r="I6" s="1">
        <v>2.2700400000000001E-3</v>
      </c>
      <c r="J6" s="1">
        <v>6.4924659999999995E-2</v>
      </c>
      <c r="K6" s="1">
        <v>3.3495120000000003E-2</v>
      </c>
      <c r="L6" s="1">
        <v>3.1429539999999999E-2</v>
      </c>
      <c r="M6" s="1">
        <v>-1.9081009999999999E-2</v>
      </c>
      <c r="N6" s="1">
        <v>9.3198699999999992E-3</v>
      </c>
      <c r="O6" s="1">
        <v>-2.840088E-2</v>
      </c>
      <c r="R6">
        <f t="shared" si="13"/>
        <v>4.049999999999887E-4</v>
      </c>
      <c r="S6">
        <f t="shared" si="4"/>
        <v>1.1350500000000263E-3</v>
      </c>
      <c r="U6" s="8">
        <f t="shared" si="5"/>
        <v>6.4924659999999995E-2</v>
      </c>
      <c r="V6" s="8">
        <f t="shared" si="6"/>
        <v>-1.9081009999999999E-2</v>
      </c>
      <c r="W6" s="8">
        <f t="shared" si="7"/>
        <v>3.3495120000000003E-2</v>
      </c>
      <c r="X6" s="8">
        <f t="shared" si="8"/>
        <v>9.3198699999999992E-3</v>
      </c>
      <c r="Y6" s="9">
        <f t="shared" si="9"/>
        <v>3.8801992652601909</v>
      </c>
      <c r="Z6" s="9">
        <f t="shared" si="10"/>
        <v>1.9924358386246928</v>
      </c>
      <c r="AA6" s="9">
        <f t="shared" si="11"/>
        <v>343.62222009010668</v>
      </c>
      <c r="AB6" s="9">
        <f t="shared" si="12"/>
        <v>343.62303009010668</v>
      </c>
    </row>
    <row r="7" spans="1:28" x14ac:dyDescent="0.25">
      <c r="A7">
        <v>5</v>
      </c>
      <c r="B7">
        <v>90</v>
      </c>
      <c r="C7">
        <v>50</v>
      </c>
      <c r="D7" s="1">
        <v>-0.298232</v>
      </c>
      <c r="E7" s="1">
        <v>-0.30084791999999999</v>
      </c>
      <c r="F7" s="1">
        <v>2.6159299999999998E-3</v>
      </c>
      <c r="G7" s="1">
        <v>0.64819499999999997</v>
      </c>
      <c r="H7" s="1">
        <v>0.64383804</v>
      </c>
      <c r="I7" s="1">
        <v>4.3569799999999999E-3</v>
      </c>
      <c r="J7" s="1">
        <v>5.8556700000000003E-2</v>
      </c>
      <c r="K7" s="1">
        <v>4.011352E-2</v>
      </c>
      <c r="L7" s="1">
        <v>1.844318E-2</v>
      </c>
      <c r="M7" s="1">
        <v>-2.4161620000000002E-2</v>
      </c>
      <c r="N7" s="1">
        <v>1.436084E-2</v>
      </c>
      <c r="O7" s="1">
        <v>-3.8522460000000001E-2</v>
      </c>
      <c r="R7">
        <f t="shared" si="13"/>
        <v>1.3079599999999969E-3</v>
      </c>
      <c r="S7">
        <f t="shared" si="4"/>
        <v>2.1784799999999827E-3</v>
      </c>
      <c r="U7" s="8">
        <f t="shared" si="5"/>
        <v>5.8556700000000003E-2</v>
      </c>
      <c r="V7" s="8">
        <f t="shared" si="6"/>
        <v>-2.4161620000000002E-2</v>
      </c>
      <c r="W7" s="8">
        <f t="shared" si="7"/>
        <v>4.011352E-2</v>
      </c>
      <c r="X7" s="8">
        <f t="shared" si="8"/>
        <v>1.436084E-2</v>
      </c>
      <c r="Y7" s="9">
        <f t="shared" si="9"/>
        <v>3.6318699082690729</v>
      </c>
      <c r="Z7" s="9">
        <f t="shared" si="10"/>
        <v>2.4419214871680235</v>
      </c>
      <c r="AA7" s="9">
        <f t="shared" si="11"/>
        <v>337.57801515203954</v>
      </c>
      <c r="AB7" s="9">
        <f t="shared" si="12"/>
        <v>337.58063108203953</v>
      </c>
    </row>
    <row r="8" spans="1:28" x14ac:dyDescent="0.25">
      <c r="A8">
        <v>6</v>
      </c>
      <c r="B8">
        <v>112.5</v>
      </c>
      <c r="C8">
        <v>50</v>
      </c>
      <c r="D8" s="1">
        <v>-0.29809898000000001</v>
      </c>
      <c r="E8" s="1">
        <v>-0.30192696000000002</v>
      </c>
      <c r="F8" s="1">
        <v>3.8279899999999999E-3</v>
      </c>
      <c r="G8" s="1">
        <v>0.64875008000000001</v>
      </c>
      <c r="H8" s="1">
        <v>0.64505904000000003</v>
      </c>
      <c r="I8" s="1">
        <v>3.6910200000000002E-3</v>
      </c>
      <c r="J8" s="1">
        <v>5.034214E-2</v>
      </c>
      <c r="K8" s="1">
        <v>4.7967469999999998E-2</v>
      </c>
      <c r="L8" s="1">
        <v>2.3746599999999998E-3</v>
      </c>
      <c r="M8" s="1">
        <v>-2.6346680000000001E-2</v>
      </c>
      <c r="N8" s="1">
        <v>1.655655E-2</v>
      </c>
      <c r="O8" s="1">
        <v>-4.2903230000000001E-2</v>
      </c>
      <c r="R8">
        <f t="shared" si="13"/>
        <v>1.9139900000000043E-3</v>
      </c>
      <c r="S8">
        <f t="shared" si="4"/>
        <v>1.8455199999999894E-3</v>
      </c>
      <c r="U8" s="8">
        <f t="shared" si="5"/>
        <v>5.034214E-2</v>
      </c>
      <c r="V8" s="8">
        <f t="shared" si="6"/>
        <v>-2.6346680000000001E-2</v>
      </c>
      <c r="W8" s="8">
        <f t="shared" si="7"/>
        <v>4.7967469999999998E-2</v>
      </c>
      <c r="X8" s="8">
        <f t="shared" si="8"/>
        <v>1.655655E-2</v>
      </c>
      <c r="Y8" s="9">
        <f t="shared" si="9"/>
        <v>3.2572834380261013</v>
      </c>
      <c r="Z8" s="9">
        <f t="shared" si="10"/>
        <v>2.908691094450957</v>
      </c>
      <c r="AA8" s="9">
        <f t="shared" si="11"/>
        <v>332.37458053061755</v>
      </c>
      <c r="AB8" s="9">
        <f t="shared" si="12"/>
        <v>332.37840852061754</v>
      </c>
    </row>
    <row r="9" spans="1:28" x14ac:dyDescent="0.25">
      <c r="A9">
        <v>7</v>
      </c>
      <c r="B9">
        <v>135</v>
      </c>
      <c r="C9">
        <v>50</v>
      </c>
      <c r="D9" s="1">
        <v>-0.29695700000000003</v>
      </c>
      <c r="E9" s="1">
        <v>-0.30026194</v>
      </c>
      <c r="F9" s="1">
        <v>3.30496E-3</v>
      </c>
      <c r="G9" s="1">
        <v>0.64639590000000002</v>
      </c>
      <c r="H9" s="1">
        <v>0.64436304</v>
      </c>
      <c r="I9" s="1">
        <v>2.0328799999999999E-3</v>
      </c>
      <c r="J9" s="1">
        <v>4.2252680000000001E-2</v>
      </c>
      <c r="K9" s="1">
        <v>5.628996E-2</v>
      </c>
      <c r="L9" s="1">
        <v>-1.4037279999999999E-2</v>
      </c>
      <c r="M9" s="1">
        <v>-2.5256689999999998E-2</v>
      </c>
      <c r="N9" s="1">
        <v>1.5456299999999999E-2</v>
      </c>
      <c r="O9" s="1">
        <v>-4.0712989999999998E-2</v>
      </c>
      <c r="R9">
        <f t="shared" si="13"/>
        <v>1.6524699999999892E-3</v>
      </c>
      <c r="S9">
        <f t="shared" si="4"/>
        <v>1.0164300000000126E-3</v>
      </c>
      <c r="U9" s="8">
        <f t="shared" si="5"/>
        <v>4.2252680000000001E-2</v>
      </c>
      <c r="V9" s="8">
        <f t="shared" si="6"/>
        <v>-2.5256689999999998E-2</v>
      </c>
      <c r="W9" s="8">
        <f t="shared" si="7"/>
        <v>5.628996E-2</v>
      </c>
      <c r="X9" s="8">
        <f t="shared" si="8"/>
        <v>1.5456299999999999E-2</v>
      </c>
      <c r="Y9" s="9">
        <f t="shared" si="9"/>
        <v>2.821576705256831</v>
      </c>
      <c r="Z9" s="9">
        <f t="shared" si="10"/>
        <v>3.3464532383090204</v>
      </c>
      <c r="AA9" s="9">
        <f t="shared" si="11"/>
        <v>329.13097799216047</v>
      </c>
      <c r="AB9" s="9">
        <f t="shared" si="12"/>
        <v>329.13428295216045</v>
      </c>
    </row>
    <row r="10" spans="1:28" x14ac:dyDescent="0.25">
      <c r="A10">
        <v>8</v>
      </c>
      <c r="B10">
        <v>157.5</v>
      </c>
      <c r="C10">
        <v>50</v>
      </c>
      <c r="D10" s="1">
        <v>-0.29649996000000001</v>
      </c>
      <c r="E10" s="1">
        <v>-0.29975091999999998</v>
      </c>
      <c r="F10" s="1">
        <v>3.2509599999999998E-3</v>
      </c>
      <c r="G10" s="1">
        <v>0.64472010000000002</v>
      </c>
      <c r="H10" s="1">
        <v>0.64442999999999995</v>
      </c>
      <c r="I10" s="1">
        <v>2.901E-4</v>
      </c>
      <c r="J10" s="1">
        <v>3.516201E-2</v>
      </c>
      <c r="K10" s="1">
        <v>6.3456879999999993E-2</v>
      </c>
      <c r="L10" s="1">
        <v>-2.829487E-2</v>
      </c>
      <c r="M10" s="1">
        <v>-2.10353E-2</v>
      </c>
      <c r="N10" s="1">
        <v>1.1287500000000001E-2</v>
      </c>
      <c r="O10" s="1">
        <v>-3.2322799999999999E-2</v>
      </c>
      <c r="R10">
        <f>(D10-E10)/2</f>
        <v>1.6254799999999847E-3</v>
      </c>
      <c r="S10">
        <f t="shared" si="4"/>
        <v>1.4505000000003543E-4</v>
      </c>
      <c r="U10" s="8">
        <f t="shared" si="5"/>
        <v>3.516201E-2</v>
      </c>
      <c r="V10" s="8">
        <f t="shared" si="6"/>
        <v>-2.10353E-2</v>
      </c>
      <c r="W10" s="8">
        <f t="shared" si="7"/>
        <v>6.3456879999999993E-2</v>
      </c>
      <c r="X10" s="8">
        <f t="shared" si="8"/>
        <v>1.1287500000000001E-2</v>
      </c>
      <c r="Y10" s="9">
        <f t="shared" si="9"/>
        <v>2.3482821487123022</v>
      </c>
      <c r="Z10" s="9">
        <f t="shared" si="10"/>
        <v>3.6954438494844775</v>
      </c>
      <c r="AA10" s="9">
        <f t="shared" si="11"/>
        <v>329.11047355892811</v>
      </c>
      <c r="AB10" s="9">
        <f t="shared" si="12"/>
        <v>329.11372451892811</v>
      </c>
    </row>
    <row r="11" spans="1:28" x14ac:dyDescent="0.25">
      <c r="A11">
        <v>9</v>
      </c>
      <c r="B11">
        <v>180</v>
      </c>
      <c r="C11">
        <v>50</v>
      </c>
      <c r="D11" s="1">
        <v>-0.29498493999999997</v>
      </c>
      <c r="E11" s="1">
        <v>-0.29937195999999999</v>
      </c>
      <c r="F11" s="1">
        <v>4.3870200000000002E-3</v>
      </c>
      <c r="G11" s="1">
        <v>0.64610000000000001</v>
      </c>
      <c r="H11" s="1">
        <v>0.64685510000000002</v>
      </c>
      <c r="I11" s="1">
        <v>-7.5513000000000002E-4</v>
      </c>
      <c r="J11" s="1">
        <v>3.026968E-2</v>
      </c>
      <c r="K11" s="1">
        <v>6.8219920000000003E-2</v>
      </c>
      <c r="L11" s="1">
        <v>-3.7950249999999998E-2</v>
      </c>
      <c r="M11" s="1">
        <v>-1.434438E-2</v>
      </c>
      <c r="N11" s="1">
        <v>4.6978499999999999E-3</v>
      </c>
      <c r="O11" s="1">
        <v>-1.9042239999999998E-2</v>
      </c>
      <c r="R11">
        <f t="shared" si="13"/>
        <v>2.1935100000000096E-3</v>
      </c>
      <c r="S11">
        <f t="shared" si="4"/>
        <v>-3.7755000000000427E-4</v>
      </c>
      <c r="U11" s="8">
        <f t="shared" si="5"/>
        <v>3.026968E-2</v>
      </c>
      <c r="V11" s="8">
        <f t="shared" si="6"/>
        <v>-1.434438E-2</v>
      </c>
      <c r="W11" s="8">
        <f t="shared" si="7"/>
        <v>6.8219920000000003E-2</v>
      </c>
      <c r="X11" s="8">
        <f t="shared" si="8"/>
        <v>4.6978499999999999E-3</v>
      </c>
      <c r="Y11" s="9">
        <f t="shared" si="9"/>
        <v>1.9195665171216059</v>
      </c>
      <c r="Z11" s="9">
        <f t="shared" si="10"/>
        <v>3.9210302645166859</v>
      </c>
      <c r="AA11" s="9">
        <f t="shared" si="11"/>
        <v>334.6443781343479</v>
      </c>
      <c r="AB11" s="9">
        <f t="shared" si="12"/>
        <v>334.64876515434793</v>
      </c>
    </row>
    <row r="12" spans="1:28" x14ac:dyDescent="0.25">
      <c r="A12">
        <v>10</v>
      </c>
      <c r="B12">
        <v>202.5</v>
      </c>
      <c r="C12">
        <v>50</v>
      </c>
      <c r="D12" s="1">
        <v>-0.29718095999999999</v>
      </c>
      <c r="E12" s="1">
        <v>-0.30061589999999999</v>
      </c>
      <c r="F12" s="1">
        <v>3.4349599999999999E-3</v>
      </c>
      <c r="G12" s="1">
        <v>0.64560103999999996</v>
      </c>
      <c r="H12" s="1">
        <v>0.64710699999999999</v>
      </c>
      <c r="I12" s="1">
        <v>-1.5059699999999999E-3</v>
      </c>
      <c r="J12" s="1">
        <v>2.7473049999999999E-2</v>
      </c>
      <c r="K12" s="1">
        <v>7.0462440000000001E-2</v>
      </c>
      <c r="L12" s="1">
        <v>-4.2989399999999997E-2</v>
      </c>
      <c r="M12" s="1">
        <v>-6.2836400000000001E-3</v>
      </c>
      <c r="N12" s="1">
        <v>-3.46138E-3</v>
      </c>
      <c r="O12" s="1">
        <v>-2.82227E-3</v>
      </c>
      <c r="R12">
        <f t="shared" si="13"/>
        <v>1.7174699999999987E-3</v>
      </c>
      <c r="S12">
        <f t="shared" si="4"/>
        <v>-7.5298000000001419E-4</v>
      </c>
      <c r="U12" s="8">
        <f t="shared" si="5"/>
        <v>2.7473049999999999E-2</v>
      </c>
      <c r="V12" s="8">
        <f t="shared" si="6"/>
        <v>-6.2836400000000001E-3</v>
      </c>
      <c r="W12" s="8">
        <f t="shared" si="7"/>
        <v>7.0462440000000001E-2</v>
      </c>
      <c r="X12" s="8">
        <f t="shared" si="8"/>
        <v>-3.46138E-3</v>
      </c>
      <c r="Y12" s="9">
        <f t="shared" si="9"/>
        <v>1.6149514243231413</v>
      </c>
      <c r="Z12" s="9">
        <f t="shared" si="10"/>
        <v>4.0454290483199014</v>
      </c>
      <c r="AA12" s="9">
        <f t="shared" si="11"/>
        <v>347.11690090437986</v>
      </c>
      <c r="AB12" s="9">
        <f t="shared" si="12"/>
        <v>347.12033586437985</v>
      </c>
    </row>
    <row r="13" spans="1:28" x14ac:dyDescent="0.25">
      <c r="A13">
        <v>11</v>
      </c>
      <c r="B13">
        <v>225</v>
      </c>
      <c r="C13">
        <v>50</v>
      </c>
      <c r="D13" s="1">
        <v>-0.29756796000000002</v>
      </c>
      <c r="E13" s="1">
        <v>-0.30048496000000002</v>
      </c>
      <c r="F13" s="1">
        <v>2.9169899999999999E-3</v>
      </c>
      <c r="G13" s="1">
        <v>0.64181600000000005</v>
      </c>
      <c r="H13" s="1">
        <v>0.64883100000000005</v>
      </c>
      <c r="I13" s="1">
        <v>-7.0149899999999996E-3</v>
      </c>
      <c r="J13" s="1">
        <v>2.8820160000000001E-2</v>
      </c>
      <c r="K13" s="1">
        <v>6.9448579999999996E-2</v>
      </c>
      <c r="L13" s="1">
        <v>-4.0628409999999997E-2</v>
      </c>
      <c r="M13" s="1">
        <v>1.75151E-3</v>
      </c>
      <c r="N13" s="1">
        <v>-1.1712449999999999E-2</v>
      </c>
      <c r="O13" s="1">
        <v>1.346397E-2</v>
      </c>
      <c r="R13">
        <f t="shared" si="13"/>
        <v>1.4585000000000015E-3</v>
      </c>
      <c r="S13">
        <f t="shared" si="4"/>
        <v>-3.5074999999999967E-3</v>
      </c>
      <c r="U13" s="8">
        <f t="shared" si="5"/>
        <v>2.8820160000000001E-2</v>
      </c>
      <c r="V13" s="8">
        <f t="shared" si="6"/>
        <v>1.75151E-3</v>
      </c>
      <c r="W13" s="8">
        <f t="shared" si="7"/>
        <v>6.9448579999999996E-2</v>
      </c>
      <c r="X13" s="8">
        <f t="shared" si="8"/>
        <v>-1.1712449999999999E-2</v>
      </c>
      <c r="Y13" s="9">
        <f t="shared" si="9"/>
        <v>1.6545501177814244</v>
      </c>
      <c r="Z13" s="9">
        <f t="shared" si="10"/>
        <v>4.0386453382196441</v>
      </c>
      <c r="AA13" s="9">
        <f t="shared" si="11"/>
        <v>3.4778034818460535</v>
      </c>
      <c r="AB13" s="9">
        <f t="shared" si="12"/>
        <v>3.4807204718460536</v>
      </c>
    </row>
    <row r="14" spans="1:28" x14ac:dyDescent="0.25">
      <c r="A14">
        <v>12</v>
      </c>
      <c r="B14">
        <v>247.5</v>
      </c>
      <c r="C14">
        <v>50</v>
      </c>
      <c r="D14" s="1">
        <v>-0.29932093999999998</v>
      </c>
      <c r="E14" s="1">
        <v>-0.29768489999999997</v>
      </c>
      <c r="F14" s="1">
        <v>-1.6360299999999999E-3</v>
      </c>
      <c r="G14" s="1">
        <v>0.64208710000000002</v>
      </c>
      <c r="H14" s="1">
        <v>0.64698710000000004</v>
      </c>
      <c r="I14" s="1">
        <v>-4.89998E-3</v>
      </c>
      <c r="J14" s="1">
        <v>3.2595159999999998E-2</v>
      </c>
      <c r="K14" s="1">
        <v>6.5338779999999999E-2</v>
      </c>
      <c r="L14" s="1">
        <v>-3.2743609999999999E-2</v>
      </c>
      <c r="M14" s="1">
        <v>9.0546900000000007E-3</v>
      </c>
      <c r="N14" s="1">
        <v>-1.8927389999999999E-2</v>
      </c>
      <c r="O14" s="1">
        <v>2.7982079999999999E-2</v>
      </c>
      <c r="R14">
        <f t="shared" si="13"/>
        <v>-8.1802000000000263E-4</v>
      </c>
      <c r="S14">
        <f t="shared" si="4"/>
        <v>-2.4500000000000077E-3</v>
      </c>
      <c r="U14" s="8">
        <f t="shared" si="5"/>
        <v>3.2595159999999998E-2</v>
      </c>
      <c r="V14" s="8">
        <f t="shared" si="6"/>
        <v>9.0546900000000007E-3</v>
      </c>
      <c r="W14" s="8">
        <f t="shared" si="7"/>
        <v>6.5338779999999999E-2</v>
      </c>
      <c r="X14" s="8">
        <f t="shared" si="8"/>
        <v>-1.8927389999999999E-2</v>
      </c>
      <c r="Y14" s="9">
        <f t="shared" si="9"/>
        <v>1.9386547562857213</v>
      </c>
      <c r="Z14" s="9">
        <f t="shared" si="10"/>
        <v>3.9005582872125797</v>
      </c>
      <c r="AA14" s="9">
        <f t="shared" si="11"/>
        <v>15.524892484574373</v>
      </c>
      <c r="AB14" s="9">
        <f t="shared" si="12"/>
        <v>15.523256454574373</v>
      </c>
    </row>
    <row r="15" spans="1:28" x14ac:dyDescent="0.25">
      <c r="A15">
        <v>13</v>
      </c>
      <c r="B15">
        <v>270</v>
      </c>
      <c r="C15">
        <v>50</v>
      </c>
      <c r="D15" s="1">
        <v>-0.29981195999999999</v>
      </c>
      <c r="E15" s="1">
        <v>-0.29764995999999999</v>
      </c>
      <c r="F15" s="1">
        <v>-2.1620099999999998E-3</v>
      </c>
      <c r="G15" s="1">
        <v>0.64356310000000005</v>
      </c>
      <c r="H15" s="1">
        <v>0.64796410000000004</v>
      </c>
      <c r="I15" s="1">
        <v>-4.4010300000000002E-3</v>
      </c>
      <c r="J15" s="1">
        <v>3.9650480000000002E-2</v>
      </c>
      <c r="K15" s="1">
        <v>5.8813079999999997E-2</v>
      </c>
      <c r="L15" s="1">
        <v>-1.916259E-2</v>
      </c>
      <c r="M15" s="1">
        <v>1.4341120000000001E-2</v>
      </c>
      <c r="N15" s="1">
        <v>-2.3884619999999999E-2</v>
      </c>
      <c r="O15" s="1">
        <v>3.8225740000000001E-2</v>
      </c>
      <c r="R15">
        <f t="shared" si="13"/>
        <v>-1.0809999999999986E-3</v>
      </c>
      <c r="S15">
        <f t="shared" si="4"/>
        <v>-2.2004999999999941E-3</v>
      </c>
      <c r="U15" s="8">
        <f t="shared" si="5"/>
        <v>3.9650480000000002E-2</v>
      </c>
      <c r="V15" s="8">
        <f t="shared" si="6"/>
        <v>1.4341120000000001E-2</v>
      </c>
      <c r="W15" s="8">
        <f t="shared" si="7"/>
        <v>5.8813079999999997E-2</v>
      </c>
      <c r="X15" s="8">
        <f t="shared" si="8"/>
        <v>-2.3884619999999999E-2</v>
      </c>
      <c r="Y15" s="9">
        <f t="shared" si="9"/>
        <v>2.416552896061761</v>
      </c>
      <c r="Z15" s="9">
        <f t="shared" si="10"/>
        <v>3.6394670968782044</v>
      </c>
      <c r="AA15" s="9">
        <f t="shared" si="11"/>
        <v>19.88447126930847</v>
      </c>
      <c r="AB15" s="9">
        <f t="shared" si="12"/>
        <v>19.882309259308471</v>
      </c>
    </row>
    <row r="16" spans="1:28" x14ac:dyDescent="0.25">
      <c r="A16">
        <v>14</v>
      </c>
      <c r="B16">
        <v>292.5</v>
      </c>
      <c r="C16">
        <v>50</v>
      </c>
      <c r="D16" s="1">
        <v>-0.30116596000000001</v>
      </c>
      <c r="E16" s="1">
        <v>-0.29788592000000003</v>
      </c>
      <c r="F16" s="1">
        <v>-3.2800400000000001E-3</v>
      </c>
      <c r="G16" s="1">
        <v>0.64331300000000002</v>
      </c>
      <c r="H16" s="1">
        <v>0.64568300000000001</v>
      </c>
      <c r="I16" s="1">
        <v>-2.3700000000000001E-3</v>
      </c>
      <c r="J16" s="1">
        <v>4.7075829999999999E-2</v>
      </c>
      <c r="K16" s="1">
        <v>5.0926810000000003E-2</v>
      </c>
      <c r="L16" s="1">
        <v>-3.8509799999999999E-3</v>
      </c>
      <c r="M16" s="1">
        <v>1.6477140000000001E-2</v>
      </c>
      <c r="N16" s="1">
        <v>-2.6092480000000001E-2</v>
      </c>
      <c r="O16" s="1">
        <v>4.2569629999999997E-2</v>
      </c>
      <c r="R16">
        <f t="shared" si="13"/>
        <v>-1.640019999999992E-3</v>
      </c>
      <c r="S16">
        <f t="shared" si="4"/>
        <v>-1.1849999999999916E-3</v>
      </c>
      <c r="U16" s="8">
        <f t="shared" si="5"/>
        <v>4.7075829999999999E-2</v>
      </c>
      <c r="V16" s="8">
        <f t="shared" si="6"/>
        <v>1.6477140000000001E-2</v>
      </c>
      <c r="W16" s="8">
        <f t="shared" si="7"/>
        <v>5.0926810000000003E-2</v>
      </c>
      <c r="X16" s="8">
        <f t="shared" si="8"/>
        <v>-2.6092480000000001E-2</v>
      </c>
      <c r="Y16" s="9">
        <f t="shared" si="9"/>
        <v>2.858878790550595</v>
      </c>
      <c r="Z16" s="9">
        <f t="shared" si="10"/>
        <v>3.2803710462943201</v>
      </c>
      <c r="AA16" s="9">
        <f t="shared" si="11"/>
        <v>19.290696237752591</v>
      </c>
      <c r="AB16" s="9">
        <f t="shared" si="12"/>
        <v>19.287416197752592</v>
      </c>
    </row>
    <row r="17" spans="1:28" x14ac:dyDescent="0.25">
      <c r="A17">
        <v>15</v>
      </c>
      <c r="B17">
        <v>315</v>
      </c>
      <c r="C17">
        <v>50</v>
      </c>
      <c r="D17" s="1">
        <v>-0.30034596000000002</v>
      </c>
      <c r="E17" s="1">
        <v>-0.29784887999999998</v>
      </c>
      <c r="F17" s="1">
        <v>-2.49708E-3</v>
      </c>
      <c r="G17" s="1">
        <v>0.64329890000000001</v>
      </c>
      <c r="H17" s="1">
        <v>0.64455708</v>
      </c>
      <c r="I17" s="1">
        <v>-1.2581300000000001E-3</v>
      </c>
      <c r="J17" s="1">
        <v>5.6062309999999997E-2</v>
      </c>
      <c r="K17" s="1">
        <v>4.2546439999999998E-2</v>
      </c>
      <c r="L17" s="1">
        <v>1.3515869999999999E-2</v>
      </c>
      <c r="M17" s="1">
        <v>1.543477E-2</v>
      </c>
      <c r="N17" s="1">
        <v>-2.4882810000000002E-2</v>
      </c>
      <c r="O17" s="1">
        <v>4.0317579999999999E-2</v>
      </c>
      <c r="R17">
        <f t="shared" si="13"/>
        <v>-1.2485400000000202E-3</v>
      </c>
      <c r="S17">
        <f t="shared" si="4"/>
        <v>-6.2908999999999882E-4</v>
      </c>
      <c r="U17" s="8">
        <f t="shared" si="5"/>
        <v>5.6062309999999997E-2</v>
      </c>
      <c r="V17" s="8">
        <f t="shared" si="6"/>
        <v>1.543477E-2</v>
      </c>
      <c r="W17" s="8">
        <f t="shared" si="7"/>
        <v>4.2546439999999998E-2</v>
      </c>
      <c r="X17" s="8">
        <f t="shared" si="8"/>
        <v>-2.4882810000000002E-2</v>
      </c>
      <c r="Y17" s="9">
        <f t="shared" si="9"/>
        <v>3.3335275818512216</v>
      </c>
      <c r="Z17" s="9">
        <f t="shared" si="10"/>
        <v>2.825166285535885</v>
      </c>
      <c r="AA17" s="9">
        <f t="shared" si="11"/>
        <v>15.393005504015516</v>
      </c>
      <c r="AB17" s="9">
        <f t="shared" si="12"/>
        <v>15.390508424015517</v>
      </c>
    </row>
    <row r="18" spans="1:28" x14ac:dyDescent="0.25">
      <c r="A18">
        <v>16</v>
      </c>
      <c r="B18">
        <v>337.5</v>
      </c>
      <c r="C18">
        <v>50</v>
      </c>
      <c r="D18" s="1">
        <v>-0.30044292</v>
      </c>
      <c r="E18" s="1">
        <v>-0.29733996000000001</v>
      </c>
      <c r="F18" s="1">
        <v>-3.1029899999999999E-3</v>
      </c>
      <c r="G18" s="1">
        <v>0.64511300000000005</v>
      </c>
      <c r="H18" s="1">
        <v>0.64398896000000005</v>
      </c>
      <c r="I18" s="1">
        <v>1.1240200000000001E-3</v>
      </c>
      <c r="J18" s="1">
        <v>6.3433740000000002E-2</v>
      </c>
      <c r="K18" s="1">
        <v>3.580821E-2</v>
      </c>
      <c r="L18" s="1">
        <v>2.7625540000000001E-2</v>
      </c>
      <c r="M18" s="1">
        <v>1.126631E-2</v>
      </c>
      <c r="N18" s="1">
        <v>-2.0630809999999999E-2</v>
      </c>
      <c r="O18" s="1">
        <v>3.1897120000000001E-2</v>
      </c>
      <c r="R18">
        <f t="shared" si="13"/>
        <v>-1.551479999999994E-3</v>
      </c>
      <c r="S18">
        <f t="shared" si="4"/>
        <v>5.6201999999999641E-4</v>
      </c>
      <c r="U18" s="8">
        <f t="shared" si="5"/>
        <v>6.3433740000000002E-2</v>
      </c>
      <c r="V18" s="8">
        <f t="shared" si="6"/>
        <v>1.126631E-2</v>
      </c>
      <c r="W18" s="8">
        <f t="shared" si="7"/>
        <v>3.580821E-2</v>
      </c>
      <c r="X18" s="8">
        <f t="shared" si="8"/>
        <v>-2.0630809999999999E-2</v>
      </c>
      <c r="Y18" s="9">
        <f t="shared" si="9"/>
        <v>3.6939228570703966</v>
      </c>
      <c r="Z18" s="9">
        <f t="shared" si="10"/>
        <v>2.3684937146301537</v>
      </c>
      <c r="AA18" s="9">
        <f t="shared" si="11"/>
        <v>10.071142180823946</v>
      </c>
      <c r="AB18" s="9">
        <f t="shared" si="12"/>
        <v>10.068039190823946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T13-6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2026-08-02T17:45:53Z</dcterms:modified>
</cp:coreProperties>
</file>