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5\T15-1_2-spadlo to máchale\"/>
    </mc:Choice>
  </mc:AlternateContent>
  <xr:revisionPtr revIDLastSave="0" documentId="13_ncr:1_{D7D4FC7A-6E79-4B4D-8E8D-BC3D295A4C73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4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X18" i="1"/>
  <c r="W18" i="1"/>
  <c r="Z18" i="1" s="1"/>
  <c r="V18" i="1"/>
  <c r="U18" i="1"/>
  <c r="Y18" i="1" s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X11" i="1"/>
  <c r="W11" i="1"/>
  <c r="Z11" i="1" s="1"/>
  <c r="V11" i="1"/>
  <c r="U11" i="1"/>
  <c r="X10" i="1"/>
  <c r="W10" i="1"/>
  <c r="V10" i="1"/>
  <c r="U10" i="1"/>
  <c r="X9" i="1"/>
  <c r="W9" i="1"/>
  <c r="Z9" i="1" s="1"/>
  <c r="V9" i="1"/>
  <c r="U9" i="1"/>
  <c r="X8" i="1"/>
  <c r="W8" i="1"/>
  <c r="Z8" i="1" s="1"/>
  <c r="V8" i="1"/>
  <c r="U8" i="1"/>
  <c r="X7" i="1"/>
  <c r="W7" i="1"/>
  <c r="V7" i="1"/>
  <c r="U7" i="1"/>
  <c r="X6" i="1"/>
  <c r="W6" i="1"/>
  <c r="Z6" i="1" s="1"/>
  <c r="V6" i="1"/>
  <c r="U6" i="1"/>
  <c r="Y6" i="1" s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1" i="2"/>
  <c r="G17" i="2" s="1"/>
  <c r="Z16" i="1" l="1"/>
  <c r="Z7" i="1"/>
  <c r="Z10" i="1"/>
  <c r="Z5" i="1"/>
  <c r="Y9" i="1"/>
  <c r="Z17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16" i="2" l="1"/>
  <c r="V16" i="2"/>
  <c r="T16" i="2"/>
  <c r="X16" i="2"/>
</calcChain>
</file>

<file path=xl/sharedStrings.xml><?xml version="1.0" encoding="utf-8"?>
<sst xmlns="http://schemas.openxmlformats.org/spreadsheetml/2006/main" count="58" uniqueCount="53">
  <si>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</si>
  <si>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</si>
  <si>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</si>
  <si>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</si>
  <si>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</si>
  <si>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</si>
  <si>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</si>
  <si>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</si>
  <si>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</si>
  <si>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</si>
  <si>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</si>
  <si>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</si>
  <si>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</si>
  <si>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</si>
  <si>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</si>
  <si>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</si>
  <si>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</si>
  <si>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</si>
  <si>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</si>
  <si>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</si>
  <si>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</si>
  <si>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</si>
  <si>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</si>
  <si>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</si>
  <si>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</si>
  <si>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</si>
  <si>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</si>
  <si>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</si>
  <si>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</si>
  <si>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</si>
  <si>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</si>
  <si>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</si>
  <si>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</si>
  <si>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</si>
  <si>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</si>
  <si>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</si>
  <si>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</si>
  <si>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</si>
  <si>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</si>
  <si>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</si>
  <si>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</si>
  <si>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</si>
  <si>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</si>
  <si>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</si>
  <si>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</si>
  <si>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</si>
  <si>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Azimuth-Dependence Test (Randomized 360° Step Scan, Off-North Start, Tilted Mount)</t>
  </si>
  <si>
    <t>Description/title:</t>
  </si>
  <si>
    <t>Code:</t>
  </si>
  <si>
    <t>T15-1_2</t>
  </si>
  <si>
    <t>HORIZONTAL slepý test 360-kontrola accel-lepší csv-azimut parametr-fixed trim settle-s navratem do A-antibacklash-CW-CCW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</si>
  <si>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 CW/CCW in one run.</t>
  </si>
  <si>
    <t>CC/CCW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</si>
</sst>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'T14-3'!$R$2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</c:numCache>
            </c:numRef>
          </c:cat>
          <c:val>
            <c:numRef>
              <c:f>'T14-3'!$R$3:$R$18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'T14-3'!$S$2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'T14-3'!$B$3:$B$18</c:f>
              <c:numCache>
                <c:formatCode>General</c:formatCode>
                <c:ptCount val="16"/>
              </c:numCache>
            </c:numRef>
          </c:cat>
          <c:val>
            <c:numRef>
              <c:f>'T14-3'!$S$3:$S$18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'T14-3'!$L$2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'T14-3'!$L$3:$L$18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'T14-3'!$O$2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'T14-3'!$O$3:$O$18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'T14-3'!$Y$2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</c:numCache>
            </c:numRef>
          </c:cat>
          <c:val>
            <c:numRef>
              <c:f>'T14-3'!$Y$3:$Y$18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'T14-3'!$Z$2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</c:numCache>
            </c:numRef>
          </c:cat>
          <c:val>
            <c:numRef>
              <c:f>'T14-3'!$Z$3:$Z$18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31" t="s">
        <v>30</v>
      </c>
      <c r="B1" s="31"/>
      <c r="C1" s="31" t="s">
        <v>49</v>
      </c>
      <c r="D1" s="31"/>
      <c r="E1" s="31" t="s">
        <v>46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15.7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4" spans="1:25" x14ac:dyDescent="0.25">
      <c r="A4" s="25" t="s">
        <v>31</v>
      </c>
      <c r="B4" s="25"/>
      <c r="C4" s="25"/>
      <c r="D4" s="25"/>
      <c r="E4" s="25"/>
      <c r="F4" s="25"/>
      <c r="G4" s="28">
        <v>0</v>
      </c>
      <c r="H4" s="29"/>
      <c r="I4" s="3" t="s">
        <v>19</v>
      </c>
      <c r="K4" s="32" t="s">
        <v>47</v>
      </c>
      <c r="L4" s="32"/>
      <c r="M4" s="32"/>
      <c r="N4" s="32"/>
      <c r="O4" s="32"/>
      <c r="P4" s="32"/>
      <c r="R4" s="32" t="s">
        <v>48</v>
      </c>
      <c r="S4" s="32"/>
      <c r="T4" s="32"/>
      <c r="U4" s="32"/>
      <c r="V4" s="32"/>
      <c r="W4" s="32"/>
      <c r="X4" s="32"/>
      <c r="Y4" s="32"/>
    </row>
    <row r="5" spans="1:25" ht="15.75" customHeight="1" x14ac:dyDescent="0.25">
      <c r="A5" s="20" t="s">
        <v>32</v>
      </c>
      <c r="B5" s="21"/>
      <c r="C5" s="21"/>
      <c r="D5" s="21"/>
      <c r="E5" s="21"/>
      <c r="F5" s="22"/>
      <c r="G5" s="28">
        <v>0</v>
      </c>
      <c r="H5" s="29"/>
      <c r="I5" s="3" t="s">
        <v>19</v>
      </c>
      <c r="K5" s="33" t="s">
        <v>51</v>
      </c>
      <c r="L5" s="34"/>
      <c r="M5" s="34"/>
      <c r="N5" s="34"/>
      <c r="O5" s="34"/>
      <c r="P5" s="35"/>
      <c r="R5" s="26" t="s">
        <v>50</v>
      </c>
      <c r="S5" s="26"/>
      <c r="T5" s="26"/>
      <c r="U5" s="26"/>
      <c r="V5" s="26"/>
      <c r="W5" s="26"/>
      <c r="X5" s="26"/>
      <c r="Y5" s="26"/>
    </row>
    <row r="6" spans="1:25" x14ac:dyDescent="0.25">
      <c r="A6" s="25" t="s">
        <v>33</v>
      </c>
      <c r="B6" s="25"/>
      <c r="C6" s="25"/>
      <c r="D6" s="25"/>
      <c r="E6" s="25"/>
      <c r="F6" s="25"/>
      <c r="G6" s="30">
        <v>0</v>
      </c>
      <c r="H6" s="30"/>
      <c r="I6" s="3" t="s">
        <v>25</v>
      </c>
      <c r="K6" s="36"/>
      <c r="L6" s="37"/>
      <c r="M6" s="37"/>
      <c r="N6" s="37"/>
      <c r="O6" s="37"/>
      <c r="P6" s="38"/>
      <c r="R6" s="26"/>
      <c r="S6" s="26"/>
      <c r="T6" s="26"/>
      <c r="U6" s="26"/>
      <c r="V6" s="26"/>
      <c r="W6" s="26"/>
      <c r="X6" s="26"/>
      <c r="Y6" s="26"/>
    </row>
    <row r="7" spans="1:25" ht="15.75" customHeight="1" x14ac:dyDescent="0.25">
      <c r="A7" s="25" t="s">
        <v>16</v>
      </c>
      <c r="B7" s="25"/>
      <c r="C7" s="25"/>
      <c r="D7" s="25"/>
      <c r="E7" s="25"/>
      <c r="F7" s="25"/>
      <c r="G7" s="27">
        <f>360/((23*60*60)+(56*60)+4.09)</f>
        <v>4.1780746480349299E-3</v>
      </c>
      <c r="H7" s="27"/>
      <c r="I7" s="3" t="s">
        <v>17</v>
      </c>
      <c r="K7" s="36"/>
      <c r="L7" s="37"/>
      <c r="M7" s="37"/>
      <c r="N7" s="37"/>
      <c r="O7" s="37"/>
      <c r="P7" s="38"/>
      <c r="R7" s="26"/>
      <c r="S7" s="26"/>
      <c r="T7" s="26"/>
      <c r="U7" s="26"/>
      <c r="V7" s="26"/>
      <c r="W7" s="26"/>
      <c r="X7" s="26"/>
      <c r="Y7" s="26"/>
    </row>
    <row r="8" spans="1:25" x14ac:dyDescent="0.25">
      <c r="A8" s="25" t="s">
        <v>18</v>
      </c>
      <c r="B8" s="25"/>
      <c r="C8" s="25"/>
      <c r="D8" s="25"/>
      <c r="E8" s="25"/>
      <c r="F8" s="25"/>
      <c r="G8" s="30">
        <v>49</v>
      </c>
      <c r="H8" s="30"/>
      <c r="I8" s="3" t="s">
        <v>19</v>
      </c>
      <c r="K8" s="36"/>
      <c r="L8" s="37"/>
      <c r="M8" s="37"/>
      <c r="N8" s="37"/>
      <c r="O8" s="37"/>
      <c r="P8" s="38"/>
      <c r="R8" s="26"/>
      <c r="S8" s="26"/>
      <c r="T8" s="26"/>
      <c r="U8" s="26"/>
      <c r="V8" s="26"/>
      <c r="W8" s="26"/>
      <c r="X8" s="26"/>
      <c r="Y8" s="26"/>
    </row>
    <row r="9" spans="1:25" ht="15.75" customHeight="1" x14ac:dyDescent="0.25">
      <c r="A9" s="44" t="s">
        <v>20</v>
      </c>
      <c r="B9" s="45"/>
      <c r="C9" s="45"/>
      <c r="D9" s="45"/>
      <c r="E9" s="45"/>
      <c r="F9" s="46"/>
      <c r="G9" s="47">
        <f>(COS(RADIANS(G8))*G7)</f>
        <v>2.7410635966396515E-3</v>
      </c>
      <c r="H9" s="48"/>
      <c r="I9" s="4" t="s">
        <v>17</v>
      </c>
      <c r="K9" s="36"/>
      <c r="L9" s="37"/>
      <c r="M9" s="37"/>
      <c r="N9" s="37"/>
      <c r="O9" s="37"/>
      <c r="P9" s="38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25" t="s">
        <v>34</v>
      </c>
      <c r="B10" s="25"/>
      <c r="C10" s="25"/>
      <c r="D10" s="25"/>
      <c r="E10" s="25"/>
      <c r="F10" s="25"/>
      <c r="G10" s="30">
        <v>22.5</v>
      </c>
      <c r="H10" s="30"/>
      <c r="I10" s="3" t="s">
        <v>19</v>
      </c>
      <c r="K10" s="36"/>
      <c r="L10" s="37"/>
      <c r="M10" s="37"/>
      <c r="N10" s="37"/>
      <c r="O10" s="37"/>
      <c r="P10" s="38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20" t="s">
        <v>35</v>
      </c>
      <c r="B11" s="21"/>
      <c r="C11" s="21"/>
      <c r="D11" s="21"/>
      <c r="E11" s="21"/>
      <c r="F11" s="22"/>
      <c r="G11" s="28">
        <f>360/G10</f>
        <v>16</v>
      </c>
      <c r="H11" s="29"/>
      <c r="I11" s="3"/>
      <c r="K11" s="36"/>
      <c r="L11" s="37"/>
      <c r="M11" s="37"/>
      <c r="N11" s="37"/>
      <c r="O11" s="37"/>
      <c r="P11" s="38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25" t="s">
        <v>21</v>
      </c>
      <c r="B12" s="25"/>
      <c r="C12" s="25"/>
      <c r="D12" s="25"/>
      <c r="E12" s="25"/>
      <c r="F12" s="25"/>
      <c r="G12" s="30" t="s">
        <v>52</v>
      </c>
      <c r="H12" s="30"/>
      <c r="I12" s="3"/>
      <c r="K12" s="36"/>
      <c r="L12" s="37"/>
      <c r="M12" s="37"/>
      <c r="N12" s="37"/>
      <c r="O12" s="37"/>
      <c r="P12" s="38"/>
      <c r="R12" s="24" t="s">
        <v>26</v>
      </c>
      <c r="S12" s="24"/>
      <c r="T12" s="24" t="s">
        <v>27</v>
      </c>
      <c r="U12" s="24"/>
      <c r="V12" s="24" t="s">
        <v>28</v>
      </c>
      <c r="W12" s="24"/>
      <c r="X12" s="24" t="s">
        <v>29</v>
      </c>
      <c r="Y12" s="24"/>
    </row>
    <row r="13" spans="1:25" ht="15.75" customHeight="1" x14ac:dyDescent="0.25">
      <c r="A13" s="20" t="s">
        <v>22</v>
      </c>
      <c r="B13" s="21"/>
      <c r="C13" s="21"/>
      <c r="D13" s="21"/>
      <c r="E13" s="21"/>
      <c r="F13" s="22"/>
      <c r="G13" s="28">
        <v>15</v>
      </c>
      <c r="H13" s="29"/>
      <c r="I13" s="3"/>
      <c r="K13" s="36"/>
      <c r="L13" s="37"/>
      <c r="M13" s="37"/>
      <c r="N13" s="37"/>
      <c r="O13" s="37"/>
      <c r="P13" s="38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x14ac:dyDescent="0.25">
      <c r="A14" s="20" t="s">
        <v>23</v>
      </c>
      <c r="B14" s="21"/>
      <c r="C14" s="21"/>
      <c r="D14" s="21"/>
      <c r="E14" s="21"/>
      <c r="F14" s="22"/>
      <c r="G14" s="28">
        <v>200</v>
      </c>
      <c r="H14" s="29"/>
      <c r="I14" s="3"/>
      <c r="K14" s="36"/>
      <c r="L14" s="37"/>
      <c r="M14" s="37"/>
      <c r="N14" s="37"/>
      <c r="O14" s="37"/>
      <c r="P14" s="38"/>
      <c r="R14" s="24"/>
      <c r="S14" s="24"/>
      <c r="T14" s="24"/>
      <c r="U14" s="24"/>
      <c r="V14" s="24"/>
      <c r="W14" s="24"/>
      <c r="X14" s="24"/>
      <c r="Y14" s="24"/>
    </row>
    <row r="15" spans="1:25" ht="15.75" customHeight="1" x14ac:dyDescent="0.25">
      <c r="A15" s="20" t="s">
        <v>24</v>
      </c>
      <c r="B15" s="21"/>
      <c r="C15" s="21"/>
      <c r="D15" s="21"/>
      <c r="E15" s="21"/>
      <c r="F15" s="22"/>
      <c r="G15" s="28">
        <v>50</v>
      </c>
      <c r="H15" s="29"/>
      <c r="I15" s="3"/>
      <c r="K15" s="36"/>
      <c r="L15" s="37"/>
      <c r="M15" s="37"/>
      <c r="N15" s="37"/>
      <c r="O15" s="37"/>
      <c r="P15" s="38"/>
      <c r="R15" s="24"/>
      <c r="S15" s="24"/>
      <c r="T15" s="24"/>
      <c r="U15" s="24"/>
      <c r="V15" s="24"/>
      <c r="W15" s="24"/>
      <c r="X15" s="24"/>
      <c r="Y15" s="24"/>
    </row>
    <row r="16" spans="1:25" x14ac:dyDescent="0.25">
      <c r="A16" s="17" t="s">
        <v>37</v>
      </c>
      <c r="B16" s="18"/>
      <c r="C16" s="18"/>
      <c r="D16" s="18"/>
      <c r="E16" s="18"/>
      <c r="F16" s="19"/>
      <c r="G16" s="42">
        <v>400</v>
      </c>
      <c r="H16" s="43"/>
      <c r="I16" s="5" t="s">
        <v>19</v>
      </c>
      <c r="K16" s="36"/>
      <c r="L16" s="37"/>
      <c r="M16" s="37"/>
      <c r="N16" s="37"/>
      <c r="O16" s="37"/>
      <c r="P16" s="38"/>
      <c r="R16" s="23">
        <f>MIN('T14-3'!R3:R18)</f>
        <v>0</v>
      </c>
      <c r="S16" s="23"/>
      <c r="T16" s="23">
        <f>MIN('T14-3'!S3:S18)</f>
        <v>0</v>
      </c>
      <c r="U16" s="23"/>
      <c r="V16" s="23">
        <f>MAX('T14-3'!R3:R18)</f>
        <v>0</v>
      </c>
      <c r="W16" s="23"/>
      <c r="X16" s="23">
        <f>MAX('T14-3'!S3:S18)</f>
        <v>0</v>
      </c>
      <c r="Y16" s="23"/>
    </row>
    <row r="17" spans="1:25" x14ac:dyDescent="0.25">
      <c r="A17" s="17" t="s">
        <v>36</v>
      </c>
      <c r="B17" s="18"/>
      <c r="C17" s="18"/>
      <c r="D17" s="18"/>
      <c r="E17" s="18"/>
      <c r="F17" s="19"/>
      <c r="G17" s="42">
        <f>G11*G13*G14</f>
        <v>48000</v>
      </c>
      <c r="H17" s="43"/>
      <c r="I17" s="3"/>
      <c r="K17" s="39"/>
      <c r="L17" s="40"/>
      <c r="M17" s="40"/>
      <c r="N17" s="40"/>
      <c r="O17" s="40"/>
      <c r="P17" s="41"/>
      <c r="R17" s="23"/>
      <c r="S17" s="23"/>
      <c r="T17" s="23"/>
      <c r="U17" s="23"/>
      <c r="V17" s="23"/>
      <c r="W17" s="23"/>
      <c r="X17" s="23"/>
      <c r="Y17" s="23"/>
    </row>
    <row r="18" spans="1:25" ht="15.75" customHeight="1" x14ac:dyDescent="0.25">
      <c r="A18" s="12"/>
      <c r="B18" s="12"/>
      <c r="C18" s="12"/>
      <c r="D18" s="12"/>
      <c r="E18" s="12"/>
      <c r="F18" s="12"/>
      <c r="G18" s="13"/>
      <c r="H18" s="13"/>
      <c r="I18" s="14"/>
      <c r="K18" s="10"/>
      <c r="L18" s="10"/>
      <c r="M18" s="10"/>
      <c r="N18" s="10"/>
      <c r="O18" s="10"/>
      <c r="P18" s="10"/>
      <c r="R18" s="15"/>
      <c r="S18" s="15"/>
      <c r="T18" s="15"/>
      <c r="U18" s="15"/>
      <c r="V18" s="15"/>
      <c r="W18" s="15"/>
      <c r="X18" s="15"/>
      <c r="Y18" s="15"/>
    </row>
  </sheetData>
  <mergeCells count="43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K4:P4"/>
    <mergeCell ref="A4:F4"/>
    <mergeCell ref="R4:Y4"/>
    <mergeCell ref="R5:Y8"/>
    <mergeCell ref="G7:H7"/>
    <mergeCell ref="A5:F5"/>
    <mergeCell ref="G5:H5"/>
    <mergeCell ref="A6:F6"/>
    <mergeCell ref="G6:H6"/>
    <mergeCell ref="A7:F7"/>
    <mergeCell ref="T12:U15"/>
    <mergeCell ref="V12:W15"/>
    <mergeCell ref="X12:Y15"/>
    <mergeCell ref="T16:U17"/>
    <mergeCell ref="V16:W17"/>
    <mergeCell ref="X16:Y17"/>
    <mergeCell ref="A17:F17"/>
    <mergeCell ref="A13:F13"/>
    <mergeCell ref="A14:F14"/>
    <mergeCell ref="A15:F15"/>
    <mergeCell ref="R16:S17"/>
    <mergeCell ref="R12:S15"/>
    <mergeCell ref="A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B3" sqref="B3:O18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38</v>
      </c>
      <c r="V2" s="7" t="s">
        <v>39</v>
      </c>
      <c r="W2" s="7" t="s">
        <v>40</v>
      </c>
      <c r="X2" s="7" t="s">
        <v>41</v>
      </c>
      <c r="Y2" s="7" t="s">
        <v>42</v>
      </c>
      <c r="Z2" s="6" t="s">
        <v>43</v>
      </c>
      <c r="AA2" s="6" t="s">
        <v>44</v>
      </c>
      <c r="AB2" s="6" t="s">
        <v>45</v>
      </c>
    </row>
    <row r="3" spans="1:28" x14ac:dyDescent="0.25">
      <c r="A3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>
        <f>(D3-E3)/2</f>
        <v>0</v>
      </c>
      <c r="S3">
        <f>(G3-H3)/2</f>
        <v>0</v>
      </c>
      <c r="U3" s="8">
        <f>J3</f>
        <v>0</v>
      </c>
      <c r="V3" s="8">
        <f>M3</f>
        <v>0</v>
      </c>
      <c r="W3" s="8">
        <f>K3</f>
        <v>0</v>
      </c>
      <c r="X3" s="8">
        <f>N3</f>
        <v>0</v>
      </c>
      <c r="Y3" s="9">
        <f t="shared" ref="Y3" si="0">IF(U3="","",DEGREES(ASIN(SQRT(U3^2+V3^2))))</f>
        <v>0</v>
      </c>
      <c r="Z3" s="9">
        <f t="shared" ref="Z3" si="1">IF(W3="","",DEGREES(ASIN(SQRT(W3^2+X3^2))))</f>
        <v>0</v>
      </c>
      <c r="AA3" s="9" t="e">
        <f t="shared" ref="AA3" si="2">IF(U3="","",MOD(DEGREES(ATAN2(U3,V3)),360))</f>
        <v>#DIV/0!</v>
      </c>
      <c r="AB3" s="9" t="e">
        <f t="shared" ref="AB3" si="3">IF(U3="","",MOD(F3+AA3,360))</f>
        <v>#DIV/0!</v>
      </c>
    </row>
    <row r="4" spans="1:28" x14ac:dyDescent="0.25">
      <c r="A4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R4">
        <f>(D4-E4)/2</f>
        <v>0</v>
      </c>
      <c r="S4">
        <f t="shared" ref="S4:S18" si="4">(G4-H4)/2</f>
        <v>0</v>
      </c>
      <c r="U4" s="8">
        <f t="shared" ref="U4:U18" si="5">J4</f>
        <v>0</v>
      </c>
      <c r="V4" s="8">
        <f t="shared" ref="V4:V18" si="6">M4</f>
        <v>0</v>
      </c>
      <c r="W4" s="8">
        <f t="shared" ref="W4:W18" si="7">K4</f>
        <v>0</v>
      </c>
      <c r="X4" s="8">
        <f t="shared" ref="X4:X18" si="8">N4</f>
        <v>0</v>
      </c>
      <c r="Y4" s="9">
        <f t="shared" ref="Y4:Y18" si="9">IF(U4="","",DEGREES(ASIN(SQRT(U4^2+V4^2))))</f>
        <v>0</v>
      </c>
      <c r="Z4" s="9">
        <f t="shared" ref="Z4:Z18" si="10">IF(W4="","",DEGREES(ASIN(SQRT(W4^2+X4^2))))</f>
        <v>0</v>
      </c>
      <c r="AA4" s="9" t="e">
        <f t="shared" ref="AA4:AA18" si="11">IF(U4="","",MOD(DEGREES(ATAN2(U4,V4)),360))</f>
        <v>#DIV/0!</v>
      </c>
      <c r="AB4" s="9" t="e">
        <f t="shared" ref="AB4:AB18" si="12">IF(U4="","",MOD(F4+AA4,360))</f>
        <v>#DIV/0!</v>
      </c>
    </row>
    <row r="5" spans="1:28" x14ac:dyDescent="0.25">
      <c r="A5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R5">
        <f t="shared" ref="R5:R18" si="13">(D5-E5)/2</f>
        <v>0</v>
      </c>
      <c r="S5">
        <f t="shared" si="4"/>
        <v>0</v>
      </c>
      <c r="U5" s="8">
        <f t="shared" si="5"/>
        <v>0</v>
      </c>
      <c r="V5" s="8">
        <f t="shared" si="6"/>
        <v>0</v>
      </c>
      <c r="W5" s="8">
        <f t="shared" si="7"/>
        <v>0</v>
      </c>
      <c r="X5" s="8">
        <f t="shared" si="8"/>
        <v>0</v>
      </c>
      <c r="Y5" s="9">
        <f t="shared" si="9"/>
        <v>0</v>
      </c>
      <c r="Z5" s="9">
        <f t="shared" si="10"/>
        <v>0</v>
      </c>
      <c r="AA5" s="9" t="e">
        <f t="shared" si="11"/>
        <v>#DIV/0!</v>
      </c>
      <c r="AB5" s="9" t="e">
        <f t="shared" si="12"/>
        <v>#DIV/0!</v>
      </c>
    </row>
    <row r="6" spans="1:28" x14ac:dyDescent="0.25">
      <c r="A6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R6">
        <f t="shared" si="13"/>
        <v>0</v>
      </c>
      <c r="S6">
        <f t="shared" si="4"/>
        <v>0</v>
      </c>
      <c r="U6" s="8">
        <f t="shared" si="5"/>
        <v>0</v>
      </c>
      <c r="V6" s="8">
        <f t="shared" si="6"/>
        <v>0</v>
      </c>
      <c r="W6" s="8">
        <f t="shared" si="7"/>
        <v>0</v>
      </c>
      <c r="X6" s="8">
        <f t="shared" si="8"/>
        <v>0</v>
      </c>
      <c r="Y6" s="9">
        <f t="shared" si="9"/>
        <v>0</v>
      </c>
      <c r="Z6" s="9">
        <f t="shared" si="10"/>
        <v>0</v>
      </c>
      <c r="AA6" s="9" t="e">
        <f t="shared" si="11"/>
        <v>#DIV/0!</v>
      </c>
      <c r="AB6" s="9" t="e">
        <f t="shared" si="12"/>
        <v>#DIV/0!</v>
      </c>
    </row>
    <row r="7" spans="1:28" x14ac:dyDescent="0.25">
      <c r="A7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R7">
        <f t="shared" si="13"/>
        <v>0</v>
      </c>
      <c r="S7">
        <f t="shared" si="4"/>
        <v>0</v>
      </c>
      <c r="U7" s="8">
        <f t="shared" si="5"/>
        <v>0</v>
      </c>
      <c r="V7" s="8">
        <f t="shared" si="6"/>
        <v>0</v>
      </c>
      <c r="W7" s="8">
        <f t="shared" si="7"/>
        <v>0</v>
      </c>
      <c r="X7" s="8">
        <f t="shared" si="8"/>
        <v>0</v>
      </c>
      <c r="Y7" s="9">
        <f t="shared" si="9"/>
        <v>0</v>
      </c>
      <c r="Z7" s="9">
        <f t="shared" si="10"/>
        <v>0</v>
      </c>
      <c r="AA7" s="9" t="e">
        <f t="shared" si="11"/>
        <v>#DIV/0!</v>
      </c>
      <c r="AB7" s="9" t="e">
        <f t="shared" si="12"/>
        <v>#DIV/0!</v>
      </c>
    </row>
    <row r="8" spans="1:28" x14ac:dyDescent="0.25">
      <c r="A8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R8">
        <f t="shared" si="13"/>
        <v>0</v>
      </c>
      <c r="S8">
        <f t="shared" si="4"/>
        <v>0</v>
      </c>
      <c r="U8" s="8">
        <f t="shared" si="5"/>
        <v>0</v>
      </c>
      <c r="V8" s="8">
        <f t="shared" si="6"/>
        <v>0</v>
      </c>
      <c r="W8" s="8">
        <f t="shared" si="7"/>
        <v>0</v>
      </c>
      <c r="X8" s="8">
        <f t="shared" si="8"/>
        <v>0</v>
      </c>
      <c r="Y8" s="9">
        <f t="shared" si="9"/>
        <v>0</v>
      </c>
      <c r="Z8" s="9">
        <f t="shared" si="10"/>
        <v>0</v>
      </c>
      <c r="AA8" s="9" t="e">
        <f t="shared" si="11"/>
        <v>#DIV/0!</v>
      </c>
      <c r="AB8" s="9" t="e">
        <f t="shared" si="12"/>
        <v>#DIV/0!</v>
      </c>
    </row>
    <row r="9" spans="1:28" x14ac:dyDescent="0.25">
      <c r="A9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R9">
        <f t="shared" si="13"/>
        <v>0</v>
      </c>
      <c r="S9">
        <f t="shared" si="4"/>
        <v>0</v>
      </c>
      <c r="U9" s="8">
        <f t="shared" si="5"/>
        <v>0</v>
      </c>
      <c r="V9" s="8">
        <f t="shared" si="6"/>
        <v>0</v>
      </c>
      <c r="W9" s="8">
        <f t="shared" si="7"/>
        <v>0</v>
      </c>
      <c r="X9" s="8">
        <f t="shared" si="8"/>
        <v>0</v>
      </c>
      <c r="Y9" s="9">
        <f t="shared" si="9"/>
        <v>0</v>
      </c>
      <c r="Z9" s="9">
        <f t="shared" si="10"/>
        <v>0</v>
      </c>
      <c r="AA9" s="9" t="e">
        <f t="shared" si="11"/>
        <v>#DIV/0!</v>
      </c>
      <c r="AB9" s="9" t="e">
        <f t="shared" si="12"/>
        <v>#DIV/0!</v>
      </c>
    </row>
    <row r="10" spans="1:28" x14ac:dyDescent="0.25">
      <c r="A10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R10">
        <f>(D10-E10)/2</f>
        <v>0</v>
      </c>
      <c r="S10">
        <f t="shared" si="4"/>
        <v>0</v>
      </c>
      <c r="U10" s="8">
        <f t="shared" si="5"/>
        <v>0</v>
      </c>
      <c r="V10" s="8">
        <f t="shared" si="6"/>
        <v>0</v>
      </c>
      <c r="W10" s="8">
        <f t="shared" si="7"/>
        <v>0</v>
      </c>
      <c r="X10" s="8">
        <f t="shared" si="8"/>
        <v>0</v>
      </c>
      <c r="Y10" s="9">
        <f t="shared" si="9"/>
        <v>0</v>
      </c>
      <c r="Z10" s="9">
        <f t="shared" si="10"/>
        <v>0</v>
      </c>
      <c r="AA10" s="9" t="e">
        <f t="shared" si="11"/>
        <v>#DIV/0!</v>
      </c>
      <c r="AB10" s="9" t="e">
        <f t="shared" si="12"/>
        <v>#DIV/0!</v>
      </c>
    </row>
    <row r="11" spans="1:28" x14ac:dyDescent="0.25">
      <c r="A11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R11">
        <f t="shared" si="13"/>
        <v>0</v>
      </c>
      <c r="S11">
        <f t="shared" si="4"/>
        <v>0</v>
      </c>
      <c r="U11" s="8">
        <f t="shared" si="5"/>
        <v>0</v>
      </c>
      <c r="V11" s="8">
        <f t="shared" si="6"/>
        <v>0</v>
      </c>
      <c r="W11" s="8">
        <f t="shared" si="7"/>
        <v>0</v>
      </c>
      <c r="X11" s="8">
        <f t="shared" si="8"/>
        <v>0</v>
      </c>
      <c r="Y11" s="9">
        <f t="shared" si="9"/>
        <v>0</v>
      </c>
      <c r="Z11" s="9">
        <f t="shared" si="10"/>
        <v>0</v>
      </c>
      <c r="AA11" s="9" t="e">
        <f t="shared" si="11"/>
        <v>#DIV/0!</v>
      </c>
      <c r="AB11" s="9" t="e">
        <f t="shared" si="12"/>
        <v>#DIV/0!</v>
      </c>
    </row>
    <row r="12" spans="1:28" x14ac:dyDescent="0.25">
      <c r="A12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R12">
        <f t="shared" si="13"/>
        <v>0</v>
      </c>
      <c r="S12">
        <f t="shared" si="4"/>
        <v>0</v>
      </c>
      <c r="U12" s="8">
        <f t="shared" si="5"/>
        <v>0</v>
      </c>
      <c r="V12" s="8">
        <f t="shared" si="6"/>
        <v>0</v>
      </c>
      <c r="W12" s="8">
        <f t="shared" si="7"/>
        <v>0</v>
      </c>
      <c r="X12" s="8">
        <f t="shared" si="8"/>
        <v>0</v>
      </c>
      <c r="Y12" s="9">
        <f t="shared" si="9"/>
        <v>0</v>
      </c>
      <c r="Z12" s="9">
        <f t="shared" si="10"/>
        <v>0</v>
      </c>
      <c r="AA12" s="9" t="e">
        <f t="shared" si="11"/>
        <v>#DIV/0!</v>
      </c>
      <c r="AB12" s="9" t="e">
        <f t="shared" si="12"/>
        <v>#DIV/0!</v>
      </c>
    </row>
    <row r="13" spans="1:28" x14ac:dyDescent="0.25">
      <c r="A13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R13">
        <f t="shared" si="13"/>
        <v>0</v>
      </c>
      <c r="S13">
        <f t="shared" si="4"/>
        <v>0</v>
      </c>
      <c r="U13" s="8">
        <f t="shared" si="5"/>
        <v>0</v>
      </c>
      <c r="V13" s="8">
        <f t="shared" si="6"/>
        <v>0</v>
      </c>
      <c r="W13" s="8">
        <f t="shared" si="7"/>
        <v>0</v>
      </c>
      <c r="X13" s="8">
        <f t="shared" si="8"/>
        <v>0</v>
      </c>
      <c r="Y13" s="9">
        <f t="shared" si="9"/>
        <v>0</v>
      </c>
      <c r="Z13" s="9">
        <f t="shared" si="10"/>
        <v>0</v>
      </c>
      <c r="AA13" s="9" t="e">
        <f t="shared" si="11"/>
        <v>#DIV/0!</v>
      </c>
      <c r="AB13" s="9" t="e">
        <f t="shared" si="12"/>
        <v>#DIV/0!</v>
      </c>
    </row>
    <row r="14" spans="1:28" x14ac:dyDescent="0.25">
      <c r="A14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R14">
        <f t="shared" si="13"/>
        <v>0</v>
      </c>
      <c r="S14">
        <f t="shared" si="4"/>
        <v>0</v>
      </c>
      <c r="U14" s="8">
        <f t="shared" si="5"/>
        <v>0</v>
      </c>
      <c r="V14" s="8">
        <f t="shared" si="6"/>
        <v>0</v>
      </c>
      <c r="W14" s="8">
        <f t="shared" si="7"/>
        <v>0</v>
      </c>
      <c r="X14" s="8">
        <f t="shared" si="8"/>
        <v>0</v>
      </c>
      <c r="Y14" s="9">
        <f t="shared" si="9"/>
        <v>0</v>
      </c>
      <c r="Z14" s="9">
        <f t="shared" si="10"/>
        <v>0</v>
      </c>
      <c r="AA14" s="9" t="e">
        <f t="shared" si="11"/>
        <v>#DIV/0!</v>
      </c>
      <c r="AB14" s="9" t="e">
        <f t="shared" si="12"/>
        <v>#DIV/0!</v>
      </c>
    </row>
    <row r="15" spans="1:28" x14ac:dyDescent="0.25">
      <c r="A15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R15">
        <f t="shared" si="13"/>
        <v>0</v>
      </c>
      <c r="S15">
        <f t="shared" si="4"/>
        <v>0</v>
      </c>
      <c r="U15" s="8">
        <f t="shared" si="5"/>
        <v>0</v>
      </c>
      <c r="V15" s="8">
        <f t="shared" si="6"/>
        <v>0</v>
      </c>
      <c r="W15" s="8">
        <f t="shared" si="7"/>
        <v>0</v>
      </c>
      <c r="X15" s="8">
        <f t="shared" si="8"/>
        <v>0</v>
      </c>
      <c r="Y15" s="9">
        <f t="shared" si="9"/>
        <v>0</v>
      </c>
      <c r="Z15" s="9">
        <f t="shared" si="10"/>
        <v>0</v>
      </c>
      <c r="AA15" s="9" t="e">
        <f t="shared" si="11"/>
        <v>#DIV/0!</v>
      </c>
      <c r="AB15" s="9" t="e">
        <f t="shared" si="12"/>
        <v>#DIV/0!</v>
      </c>
    </row>
    <row r="16" spans="1:28" x14ac:dyDescent="0.25">
      <c r="A16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R16">
        <f t="shared" si="13"/>
        <v>0</v>
      </c>
      <c r="S16">
        <f t="shared" si="4"/>
        <v>0</v>
      </c>
      <c r="U16" s="8">
        <f t="shared" si="5"/>
        <v>0</v>
      </c>
      <c r="V16" s="8">
        <f t="shared" si="6"/>
        <v>0</v>
      </c>
      <c r="W16" s="8">
        <f t="shared" si="7"/>
        <v>0</v>
      </c>
      <c r="X16" s="8">
        <f t="shared" si="8"/>
        <v>0</v>
      </c>
      <c r="Y16" s="9">
        <f t="shared" si="9"/>
        <v>0</v>
      </c>
      <c r="Z16" s="9">
        <f t="shared" si="10"/>
        <v>0</v>
      </c>
      <c r="AA16" s="9" t="e">
        <f t="shared" si="11"/>
        <v>#DIV/0!</v>
      </c>
      <c r="AB16" s="9" t="e">
        <f t="shared" si="12"/>
        <v>#DIV/0!</v>
      </c>
    </row>
    <row r="17" spans="1:28" x14ac:dyDescent="0.25">
      <c r="A17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R17">
        <f t="shared" si="13"/>
        <v>0</v>
      </c>
      <c r="S17">
        <f t="shared" si="4"/>
        <v>0</v>
      </c>
      <c r="U17" s="8">
        <f t="shared" si="5"/>
        <v>0</v>
      </c>
      <c r="V17" s="8">
        <f t="shared" si="6"/>
        <v>0</v>
      </c>
      <c r="W17" s="8">
        <f t="shared" si="7"/>
        <v>0</v>
      </c>
      <c r="X17" s="8">
        <f t="shared" si="8"/>
        <v>0</v>
      </c>
      <c r="Y17" s="9">
        <f t="shared" si="9"/>
        <v>0</v>
      </c>
      <c r="Z17" s="9">
        <f t="shared" si="10"/>
        <v>0</v>
      </c>
      <c r="AA17" s="9" t="e">
        <f t="shared" si="11"/>
        <v>#DIV/0!</v>
      </c>
      <c r="AB17" s="9" t="e">
        <f t="shared" si="12"/>
        <v>#DIV/0!</v>
      </c>
    </row>
    <row r="18" spans="1:28" x14ac:dyDescent="0.25">
      <c r="A18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R18">
        <f t="shared" si="13"/>
        <v>0</v>
      </c>
      <c r="S18">
        <f t="shared" si="4"/>
        <v>0</v>
      </c>
      <c r="U18" s="8">
        <f t="shared" si="5"/>
        <v>0</v>
      </c>
      <c r="V18" s="8">
        <f t="shared" si="6"/>
        <v>0</v>
      </c>
      <c r="W18" s="8">
        <f t="shared" si="7"/>
        <v>0</v>
      </c>
      <c r="X18" s="8">
        <f t="shared" si="8"/>
        <v>0</v>
      </c>
      <c r="Y18" s="9">
        <f t="shared" si="9"/>
        <v>0</v>
      </c>
      <c r="Z18" s="9">
        <f t="shared" si="10"/>
        <v>0</v>
      </c>
      <c r="AA18" s="9" t="e">
        <f t="shared" si="11"/>
        <v>#DIV/0!</v>
      </c>
      <c r="AB18" s="9" t="e">
        <f t="shared" si="1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2026-08-02T16:46:48Z</dcterms:modified>
</cp:coreProperties>
</file>