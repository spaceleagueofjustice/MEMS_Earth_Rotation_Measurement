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5\T15-ZMEN_NAZEV\"/>
    </mc:Choice>
  </mc:AlternateContent>
  <xr:revisionPtr revIDLastSave="0" documentId="13_ncr:1_{08D5ABB7-D70F-43F7-BCBF-32185F1FA4E1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ZMEN_NAZEV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X34" i="1"/>
  <c r="W34" i="1"/>
  <c r="Z34" i="1" s="1"/>
  <c r="V34" i="1"/>
  <c r="U34" i="1"/>
  <c r="Y34" i="1" s="1"/>
  <c r="X33" i="1"/>
  <c r="W33" i="1"/>
  <c r="Z33" i="1" s="1"/>
  <c r="V33" i="1"/>
  <c r="U33" i="1"/>
  <c r="X32" i="1"/>
  <c r="W32" i="1"/>
  <c r="Z32" i="1" s="1"/>
  <c r="V32" i="1"/>
  <c r="U32" i="1"/>
  <c r="AA31" i="1"/>
  <c r="X31" i="1"/>
  <c r="W31" i="1"/>
  <c r="V31" i="1"/>
  <c r="U31" i="1"/>
  <c r="X30" i="1"/>
  <c r="W30" i="1"/>
  <c r="V30" i="1"/>
  <c r="U30" i="1"/>
  <c r="X29" i="1"/>
  <c r="W29" i="1"/>
  <c r="V29" i="1"/>
  <c r="U29" i="1"/>
  <c r="Z28" i="1"/>
  <c r="X28" i="1"/>
  <c r="W28" i="1"/>
  <c r="V28" i="1"/>
  <c r="U28" i="1"/>
  <c r="AA28" i="1" s="1"/>
  <c r="Z27" i="1"/>
  <c r="X27" i="1"/>
  <c r="W27" i="1"/>
  <c r="V27" i="1"/>
  <c r="U27" i="1"/>
  <c r="Y27" i="1" s="1"/>
  <c r="X26" i="1"/>
  <c r="W26" i="1"/>
  <c r="Z26" i="1" s="1"/>
  <c r="V26" i="1"/>
  <c r="U26" i="1"/>
  <c r="X25" i="1"/>
  <c r="W25" i="1"/>
  <c r="V25" i="1"/>
  <c r="U25" i="1"/>
  <c r="AA25" i="1" s="1"/>
  <c r="X24" i="1"/>
  <c r="Z24" i="1" s="1"/>
  <c r="W24" i="1"/>
  <c r="V24" i="1"/>
  <c r="U24" i="1"/>
  <c r="Y24" i="1" s="1"/>
  <c r="X23" i="1"/>
  <c r="W23" i="1"/>
  <c r="Z23" i="1" s="1"/>
  <c r="V23" i="1"/>
  <c r="U23" i="1"/>
  <c r="X22" i="1"/>
  <c r="W22" i="1"/>
  <c r="Z22" i="1" s="1"/>
  <c r="V22" i="1"/>
  <c r="U22" i="1"/>
  <c r="X21" i="1"/>
  <c r="W21" i="1"/>
  <c r="Z21" i="1" s="1"/>
  <c r="V21" i="1"/>
  <c r="AA21" i="1" s="1"/>
  <c r="AB21" i="1" s="1"/>
  <c r="U21" i="1"/>
  <c r="X20" i="1"/>
  <c r="W20" i="1"/>
  <c r="V20" i="1"/>
  <c r="U20" i="1"/>
  <c r="X19" i="1"/>
  <c r="W19" i="1"/>
  <c r="Z19" i="1" s="1"/>
  <c r="V19" i="1"/>
  <c r="U19" i="1"/>
  <c r="U18" i="1"/>
  <c r="V18" i="1"/>
  <c r="W18" i="1"/>
  <c r="Z18" i="1" s="1"/>
  <c r="X18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X17" i="1"/>
  <c r="W17" i="1"/>
  <c r="V17" i="1"/>
  <c r="U17" i="1"/>
  <c r="X16" i="1"/>
  <c r="W16" i="1"/>
  <c r="V16" i="1"/>
  <c r="U16" i="1"/>
  <c r="X15" i="1"/>
  <c r="W15" i="1"/>
  <c r="Z15" i="1" s="1"/>
  <c r="V15" i="1"/>
  <c r="U15" i="1"/>
  <c r="X14" i="1"/>
  <c r="W14" i="1"/>
  <c r="Z14" i="1" s="1"/>
  <c r="V14" i="1"/>
  <c r="U14" i="1"/>
  <c r="X13" i="1"/>
  <c r="W13" i="1"/>
  <c r="V13" i="1"/>
  <c r="U13" i="1"/>
  <c r="X12" i="1"/>
  <c r="W12" i="1"/>
  <c r="Z12" i="1" s="1"/>
  <c r="V12" i="1"/>
  <c r="U12" i="1"/>
  <c r="X11" i="1"/>
  <c r="W11" i="1"/>
  <c r="Z11" i="1" s="1"/>
  <c r="V11" i="1"/>
  <c r="U11" i="1"/>
  <c r="X10" i="1"/>
  <c r="W10" i="1"/>
  <c r="V10" i="1"/>
  <c r="U10" i="1"/>
  <c r="X9" i="1"/>
  <c r="W9" i="1"/>
  <c r="Z9" i="1" s="1"/>
  <c r="V9" i="1"/>
  <c r="U9" i="1"/>
  <c r="X8" i="1"/>
  <c r="W8" i="1"/>
  <c r="Z8" i="1" s="1"/>
  <c r="V8" i="1"/>
  <c r="U8" i="1"/>
  <c r="X7" i="1"/>
  <c r="W7" i="1"/>
  <c r="V7" i="1"/>
  <c r="U7" i="1"/>
  <c r="X6" i="1"/>
  <c r="W6" i="1"/>
  <c r="Z6" i="1" s="1"/>
  <c r="V6" i="1"/>
  <c r="U6" i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G11" i="2"/>
  <c r="G17" i="2" s="1"/>
  <c r="G9" i="2"/>
  <c r="Y18" i="1" l="1"/>
  <c r="AA30" i="1"/>
  <c r="AB30" i="1" s="1"/>
  <c r="Z30" i="1"/>
  <c r="Z25" i="1"/>
  <c r="AB31" i="1"/>
  <c r="AA22" i="1"/>
  <c r="AB22" i="1" s="1"/>
  <c r="Z31" i="1"/>
  <c r="Z20" i="1"/>
  <c r="AA3" i="1"/>
  <c r="AB3" i="1" s="1"/>
  <c r="Y6" i="1"/>
  <c r="Y12" i="1"/>
  <c r="Y15" i="1"/>
  <c r="Y21" i="1"/>
  <c r="AA29" i="1"/>
  <c r="AA34" i="1"/>
  <c r="AB34" i="1" s="1"/>
  <c r="AA23" i="1"/>
  <c r="AA33" i="1"/>
  <c r="AB33" i="1" s="1"/>
  <c r="AB28" i="1"/>
  <c r="AA26" i="1"/>
  <c r="AA18" i="1"/>
  <c r="AB18" i="1" s="1"/>
  <c r="AA19" i="1"/>
  <c r="AB19" i="1" s="1"/>
  <c r="AA27" i="1"/>
  <c r="AB27" i="1" s="1"/>
  <c r="Z29" i="1"/>
  <c r="AA24" i="1"/>
  <c r="AB24" i="1" s="1"/>
  <c r="Y19" i="1"/>
  <c r="AB25" i="1"/>
  <c r="AA20" i="1"/>
  <c r="AB20" i="1" s="1"/>
  <c r="Y30" i="1"/>
  <c r="AA32" i="1"/>
  <c r="AB32" i="1" s="1"/>
  <c r="AB29" i="1"/>
  <c r="AB26" i="1"/>
  <c r="AB23" i="1"/>
  <c r="Y33" i="1"/>
  <c r="Y20" i="1"/>
  <c r="Y23" i="1"/>
  <c r="Y26" i="1"/>
  <c r="Y29" i="1"/>
  <c r="Y32" i="1"/>
  <c r="Y22" i="1"/>
  <c r="Y25" i="1"/>
  <c r="Y28" i="1"/>
  <c r="Y31" i="1"/>
  <c r="Z13" i="1"/>
  <c r="Z16" i="1"/>
  <c r="Z7" i="1"/>
  <c r="Z10" i="1"/>
  <c r="Z5" i="1"/>
  <c r="Y9" i="1"/>
  <c r="Z17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R16" i="2" l="1"/>
  <c r="V16" i="2"/>
  <c r="T16" i="2"/>
  <c r="X16" i="2"/>
</calcChain>
</file>

<file path=xl/sharedStrings.xml><?xml version="1.0" encoding="utf-8"?>
<sst xmlns="http://schemas.openxmlformats.org/spreadsheetml/2006/main" count="72" uniqueCount="53">
  <si>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</si>
  <si>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</si>
  <si>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</si>
  <si>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</si>
  <si>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</si>
  <si>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</si>
  <si>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</si>
  <si>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</si>
  <si>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</si>
  <si>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</si>
  <si>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</si>
  <si>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</si>
  <si>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</si>
  <si>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</si>
  <si>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</si>
  <si>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</si>
  <si>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</si>
  <si>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</si>
  <si>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</si>
  <si>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</si>
  <si>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</si>
  <si>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</si>
  <si>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</si>
  <si>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</si>
  <si>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</si>
  <si>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</si>
  <si>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</si>
  <si>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</si>
  <si>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</si>
  <si>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</si>
  <si>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</si>
  <si>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</si>
  <si>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</si>
  <si>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</si>
  <si>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</si>
  <si>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</si>
  <si>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</si>
  <si>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</si>
  <si>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</si>
  <si>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</si>
  <si>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</si>
  <si>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</si>
  <si>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</si>
  <si>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</si>
  <si>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</si>
  <si>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</si>
  <si>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Azimuth-Dependence Test (Randomized 360° Step Scan, Off-North Start, Tilted Mount)</t>
  </si>
  <si>
    <t>Description/title:</t>
  </si>
  <si>
    <t>Code:</t>
  </si>
  <si>
    <t>CC/CCW</t>
  </si>
  <si>
    <t>T15-ZMEN NAZEV</t>
  </si>
  <si>
    <t>HORIZONTAL slepý test 360-kontrola accel-lepší csv-azimut parametr-fixed trim settle-s navratem do A-antibacklash-CW-CCW-I2Coprava-název testu-teplota-oprava2</t>
  </si>
  <si>
    <t>Rotation-direction control test: two runs at the same baseline configuration (level, arm at true north), 25-repeat randomized azimuth sweep each, run once with normal (CW) and once with reversed (CCW) motor rotation direction, to isolate whether the direction of rotation itself introduces a systematic bias into the measured differential signal. CW/CCW in one run.
- Test ID should be Test ID. Sorry I am stupid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</si>
</sst>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2" borderId="0" xfId="0" applyFill="1"/>
    <xf numFmtId="164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ZMEN_NAZEV!$R$2</c:f>
              <c:strCache>
                <c:ptCount val="1"/>
                <c:pt idx="0">
                  <c:v>(xA-xC)/2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ZMEN_NAZEV!$B$3:$B$34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  <c:extLst xmlns:c15="http://schemas.microsoft.com/office/drawing/2012/chart"/>
            </c:numRef>
          </c:cat>
          <c:val>
            <c:numRef>
              <c:f>ZMEN_NAZEV!$R$3:$R$34</c:f>
              <c:numCache>
                <c:formatCode>General</c:formatCode>
                <c:ptCount val="32"/>
                <c:pt idx="0">
                  <c:v>-2.8714499999999976E-3</c:v>
                </c:pt>
                <c:pt idx="1">
                  <c:v>-3.0261000000000038E-3</c:v>
                </c:pt>
                <c:pt idx="2">
                  <c:v>-2.628560000000002E-3</c:v>
                </c:pt>
                <c:pt idx="3">
                  <c:v>-6.0385000000001687E-4</c:v>
                </c:pt>
                <c:pt idx="4">
                  <c:v>-9.9616999999999067E-4</c:v>
                </c:pt>
                <c:pt idx="5">
                  <c:v>2.4334000000000855E-4</c:v>
                </c:pt>
                <c:pt idx="6">
                  <c:v>2.7333700000000127E-3</c:v>
                </c:pt>
                <c:pt idx="7">
                  <c:v>4.0841099999999741E-3</c:v>
                </c:pt>
                <c:pt idx="8">
                  <c:v>4.9450399999999839E-3</c:v>
                </c:pt>
                <c:pt idx="9">
                  <c:v>3.164329999999993E-3</c:v>
                </c:pt>
                <c:pt idx="10">
                  <c:v>3.3347400000000027E-3</c:v>
                </c:pt>
                <c:pt idx="11">
                  <c:v>2.6916899999999966E-3</c:v>
                </c:pt>
                <c:pt idx="12">
                  <c:v>8.5208000000000506E-4</c:v>
                </c:pt>
                <c:pt idx="13">
                  <c:v>-1.9416800000000012E-3</c:v>
                </c:pt>
                <c:pt idx="14">
                  <c:v>-2.3279799999999795E-3</c:v>
                </c:pt>
                <c:pt idx="15">
                  <c:v>-8.2656000000000396E-4</c:v>
                </c:pt>
                <c:pt idx="16">
                  <c:v>-3.4763999999999906E-3</c:v>
                </c:pt>
                <c:pt idx="17">
                  <c:v>-2.1468600000000004E-3</c:v>
                </c:pt>
                <c:pt idx="18">
                  <c:v>-2.6734999999999953E-3</c:v>
                </c:pt>
                <c:pt idx="19">
                  <c:v>-2.050040000000003E-3</c:v>
                </c:pt>
                <c:pt idx="20">
                  <c:v>-5.1719999999999544E-4</c:v>
                </c:pt>
                <c:pt idx="21">
                  <c:v>4.5599999999978991E-5</c:v>
                </c:pt>
                <c:pt idx="22">
                  <c:v>3.3115400000000017E-3</c:v>
                </c:pt>
                <c:pt idx="23">
                  <c:v>3.2449600000000189E-3</c:v>
                </c:pt>
                <c:pt idx="24">
                  <c:v>3.4749999999999781E-3</c:v>
                </c:pt>
                <c:pt idx="25">
                  <c:v>3.5552400000000151E-3</c:v>
                </c:pt>
                <c:pt idx="26">
                  <c:v>1.9783100000000109E-3</c:v>
                </c:pt>
                <c:pt idx="27">
                  <c:v>8.5836000000000245E-4</c:v>
                </c:pt>
                <c:pt idx="28">
                  <c:v>1.3765000000000027E-3</c:v>
                </c:pt>
                <c:pt idx="29">
                  <c:v>1.4031999999999933E-4</c:v>
                </c:pt>
                <c:pt idx="30">
                  <c:v>-1.2513999999999859E-3</c:v>
                </c:pt>
                <c:pt idx="31">
                  <c:v>-2.3318200000000122E-3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ZMEN_NAZEV!$S$2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ZMEN_NAZEV!$B$3:$B$34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  <c:extLst xmlns:c15="http://schemas.microsoft.com/office/drawing/2012/chart"/>
            </c:numRef>
          </c:cat>
          <c:val>
            <c:numRef>
              <c:f>ZMEN_NAZEV!$S$3:$S$34</c:f>
              <c:numCache>
                <c:formatCode>General</c:formatCode>
                <c:ptCount val="32"/>
                <c:pt idx="0">
                  <c:v>-3.5004999999999065E-4</c:v>
                </c:pt>
                <c:pt idx="1">
                  <c:v>8.5977999999997667E-4</c:v>
                </c:pt>
                <c:pt idx="2">
                  <c:v>2.1427000000001639E-4</c:v>
                </c:pt>
                <c:pt idx="3">
                  <c:v>3.4615499999999799E-3</c:v>
                </c:pt>
                <c:pt idx="4">
                  <c:v>6.519250000000032E-3</c:v>
                </c:pt>
                <c:pt idx="5">
                  <c:v>2.4067200000000288E-3</c:v>
                </c:pt>
                <c:pt idx="6">
                  <c:v>2.4020499999999889E-3</c:v>
                </c:pt>
                <c:pt idx="7">
                  <c:v>-8.3176000000001471E-4</c:v>
                </c:pt>
                <c:pt idx="8">
                  <c:v>-3.2725499999999852E-3</c:v>
                </c:pt>
                <c:pt idx="9">
                  <c:v>-6.8929000000000906E-4</c:v>
                </c:pt>
                <c:pt idx="10">
                  <c:v>-3.9653000000000049E-3</c:v>
                </c:pt>
                <c:pt idx="11">
                  <c:v>-3.1299999999999661E-3</c:v>
                </c:pt>
                <c:pt idx="12">
                  <c:v>-2.658349999999976E-3</c:v>
                </c:pt>
                <c:pt idx="13">
                  <c:v>-3.485450000000001E-3</c:v>
                </c:pt>
                <c:pt idx="14">
                  <c:v>-3.5544399999999921E-3</c:v>
                </c:pt>
                <c:pt idx="15">
                  <c:v>-1.1484300000000336E-3</c:v>
                </c:pt>
                <c:pt idx="16">
                  <c:v>7.7920000000003542E-4</c:v>
                </c:pt>
                <c:pt idx="17">
                  <c:v>1.4000000000000123E-3</c:v>
                </c:pt>
                <c:pt idx="18">
                  <c:v>1.2986000000000386E-3</c:v>
                </c:pt>
                <c:pt idx="19">
                  <c:v>4.5524499999999857E-3</c:v>
                </c:pt>
                <c:pt idx="20">
                  <c:v>3.9562200000000103E-3</c:v>
                </c:pt>
                <c:pt idx="21">
                  <c:v>5.0676299999999896E-3</c:v>
                </c:pt>
                <c:pt idx="22">
                  <c:v>1.5538200000000391E-3</c:v>
                </c:pt>
                <c:pt idx="23">
                  <c:v>1.9633200000000461E-3</c:v>
                </c:pt>
                <c:pt idx="24">
                  <c:v>-1.1400500000000036E-3</c:v>
                </c:pt>
                <c:pt idx="25">
                  <c:v>-4.7762999999995115E-4</c:v>
                </c:pt>
                <c:pt idx="26">
                  <c:v>-3.1333600000000295E-3</c:v>
                </c:pt>
                <c:pt idx="27">
                  <c:v>-4.6985999999999972E-3</c:v>
                </c:pt>
                <c:pt idx="28">
                  <c:v>-5.5720699999999845E-3</c:v>
                </c:pt>
                <c:pt idx="29">
                  <c:v>-2.0611600000000063E-3</c:v>
                </c:pt>
                <c:pt idx="30">
                  <c:v>-2.9652199999999906E-3</c:v>
                </c:pt>
                <c:pt idx="31">
                  <c:v>-1.8159200000000264E-3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ZMEN_NAZEV!$L$2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ZMEN_NAZEV!$B$3:$B$34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22.5</c:v>
                      </c:pt>
                      <c:pt idx="2">
                        <c:v>45</c:v>
                      </c:pt>
                      <c:pt idx="3">
                        <c:v>67.5</c:v>
                      </c:pt>
                      <c:pt idx="4">
                        <c:v>90</c:v>
                      </c:pt>
                      <c:pt idx="5">
                        <c:v>112.5</c:v>
                      </c:pt>
                      <c:pt idx="6">
                        <c:v>135</c:v>
                      </c:pt>
                      <c:pt idx="7">
                        <c:v>157.5</c:v>
                      </c:pt>
                      <c:pt idx="8">
                        <c:v>180</c:v>
                      </c:pt>
                      <c:pt idx="9">
                        <c:v>202.5</c:v>
                      </c:pt>
                      <c:pt idx="10">
                        <c:v>225</c:v>
                      </c:pt>
                      <c:pt idx="11">
                        <c:v>247.5</c:v>
                      </c:pt>
                      <c:pt idx="12">
                        <c:v>270</c:v>
                      </c:pt>
                      <c:pt idx="13">
                        <c:v>292.5</c:v>
                      </c:pt>
                      <c:pt idx="14">
                        <c:v>315</c:v>
                      </c:pt>
                      <c:pt idx="15">
                        <c:v>337.5</c:v>
                      </c:pt>
                      <c:pt idx="16">
                        <c:v>0</c:v>
                      </c:pt>
                      <c:pt idx="17">
                        <c:v>22.5</c:v>
                      </c:pt>
                      <c:pt idx="18">
                        <c:v>45</c:v>
                      </c:pt>
                      <c:pt idx="19">
                        <c:v>67.5</c:v>
                      </c:pt>
                      <c:pt idx="20">
                        <c:v>90</c:v>
                      </c:pt>
                      <c:pt idx="21">
                        <c:v>112.5</c:v>
                      </c:pt>
                      <c:pt idx="22">
                        <c:v>135</c:v>
                      </c:pt>
                      <c:pt idx="23">
                        <c:v>157.5</c:v>
                      </c:pt>
                      <c:pt idx="24">
                        <c:v>180</c:v>
                      </c:pt>
                      <c:pt idx="25">
                        <c:v>202.5</c:v>
                      </c:pt>
                      <c:pt idx="26">
                        <c:v>225</c:v>
                      </c:pt>
                      <c:pt idx="27">
                        <c:v>247.5</c:v>
                      </c:pt>
                      <c:pt idx="28">
                        <c:v>270</c:v>
                      </c:pt>
                      <c:pt idx="29">
                        <c:v>292.5</c:v>
                      </c:pt>
                      <c:pt idx="30">
                        <c:v>315</c:v>
                      </c:pt>
                      <c:pt idx="31">
                        <c:v>337.5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ZMEN_NAZEV!$L$3:$L$18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7.54918E-3</c:v>
                      </c:pt>
                      <c:pt idx="1">
                        <c:v>-1.802459E-2</c:v>
                      </c:pt>
                      <c:pt idx="2">
                        <c:v>-4.0672430000000002E-2</c:v>
                      </c:pt>
                      <c:pt idx="3">
                        <c:v>-5.7370230000000001E-2</c:v>
                      </c:pt>
                      <c:pt idx="4">
                        <c:v>-6.6137879999999996E-2</c:v>
                      </c:pt>
                      <c:pt idx="5">
                        <c:v>-6.3743320000000006E-2</c:v>
                      </c:pt>
                      <c:pt idx="6">
                        <c:v>-5.2643240000000001E-2</c:v>
                      </c:pt>
                      <c:pt idx="7">
                        <c:v>-3.3402660000000001E-2</c:v>
                      </c:pt>
                      <c:pt idx="8">
                        <c:v>-8.6667500000000008E-3</c:v>
                      </c:pt>
                      <c:pt idx="9">
                        <c:v>1.6842220000000001E-2</c:v>
                      </c:pt>
                      <c:pt idx="10">
                        <c:v>4.0098330000000001E-2</c:v>
                      </c:pt>
                      <c:pt idx="11">
                        <c:v>5.7007009999999997E-2</c:v>
                      </c:pt>
                      <c:pt idx="12">
                        <c:v>6.4626050000000004E-2</c:v>
                      </c:pt>
                      <c:pt idx="13">
                        <c:v>6.3225699999999996E-2</c:v>
                      </c:pt>
                      <c:pt idx="14">
                        <c:v>5.1435849999999998E-2</c:v>
                      </c:pt>
                      <c:pt idx="15">
                        <c:v>3.1697089999999997E-2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ZMEN_NAZEV!$O$2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ZMEN_NAZEV!$B$3:$B$34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22.5</c:v>
                      </c:pt>
                      <c:pt idx="2">
                        <c:v>45</c:v>
                      </c:pt>
                      <c:pt idx="3">
                        <c:v>67.5</c:v>
                      </c:pt>
                      <c:pt idx="4">
                        <c:v>90</c:v>
                      </c:pt>
                      <c:pt idx="5">
                        <c:v>112.5</c:v>
                      </c:pt>
                      <c:pt idx="6">
                        <c:v>135</c:v>
                      </c:pt>
                      <c:pt idx="7">
                        <c:v>157.5</c:v>
                      </c:pt>
                      <c:pt idx="8">
                        <c:v>180</c:v>
                      </c:pt>
                      <c:pt idx="9">
                        <c:v>202.5</c:v>
                      </c:pt>
                      <c:pt idx="10">
                        <c:v>225</c:v>
                      </c:pt>
                      <c:pt idx="11">
                        <c:v>247.5</c:v>
                      </c:pt>
                      <c:pt idx="12">
                        <c:v>270</c:v>
                      </c:pt>
                      <c:pt idx="13">
                        <c:v>292.5</c:v>
                      </c:pt>
                      <c:pt idx="14">
                        <c:v>315</c:v>
                      </c:pt>
                      <c:pt idx="15">
                        <c:v>337.5</c:v>
                      </c:pt>
                      <c:pt idx="16">
                        <c:v>0</c:v>
                      </c:pt>
                      <c:pt idx="17">
                        <c:v>22.5</c:v>
                      </c:pt>
                      <c:pt idx="18">
                        <c:v>45</c:v>
                      </c:pt>
                      <c:pt idx="19">
                        <c:v>67.5</c:v>
                      </c:pt>
                      <c:pt idx="20">
                        <c:v>90</c:v>
                      </c:pt>
                      <c:pt idx="21">
                        <c:v>112.5</c:v>
                      </c:pt>
                      <c:pt idx="22">
                        <c:v>135</c:v>
                      </c:pt>
                      <c:pt idx="23">
                        <c:v>157.5</c:v>
                      </c:pt>
                      <c:pt idx="24">
                        <c:v>180</c:v>
                      </c:pt>
                      <c:pt idx="25">
                        <c:v>202.5</c:v>
                      </c:pt>
                      <c:pt idx="26">
                        <c:v>225</c:v>
                      </c:pt>
                      <c:pt idx="27">
                        <c:v>247.5</c:v>
                      </c:pt>
                      <c:pt idx="28">
                        <c:v>270</c:v>
                      </c:pt>
                      <c:pt idx="29">
                        <c:v>292.5</c:v>
                      </c:pt>
                      <c:pt idx="30">
                        <c:v>315</c:v>
                      </c:pt>
                      <c:pt idx="31">
                        <c:v>337.5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ZMEN_NAZEV!$O$3:$O$18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-6.5910999999999997E-2</c:v>
                      </c:pt>
                      <c:pt idx="1">
                        <c:v>-6.3944360000000006E-2</c:v>
                      </c:pt>
                      <c:pt idx="2">
                        <c:v>-5.2380370000000002E-2</c:v>
                      </c:pt>
                      <c:pt idx="3">
                        <c:v>-3.2965750000000002E-2</c:v>
                      </c:pt>
                      <c:pt idx="4">
                        <c:v>-8.3948700000000005E-3</c:v>
                      </c:pt>
                      <c:pt idx="5">
                        <c:v>1.723096E-2</c:v>
                      </c:pt>
                      <c:pt idx="6">
                        <c:v>4.061584E-2</c:v>
                      </c:pt>
                      <c:pt idx="7">
                        <c:v>5.7539729999999997E-2</c:v>
                      </c:pt>
                      <c:pt idx="8">
                        <c:v>6.5885009999999994E-2</c:v>
                      </c:pt>
                      <c:pt idx="9">
                        <c:v>6.3755060000000002E-2</c:v>
                      </c:pt>
                      <c:pt idx="10">
                        <c:v>5.2277700000000003E-2</c:v>
                      </c:pt>
                      <c:pt idx="11">
                        <c:v>3.258366E-2</c:v>
                      </c:pt>
                      <c:pt idx="12">
                        <c:v>8.0662000000000008E-3</c:v>
                      </c:pt>
                      <c:pt idx="13">
                        <c:v>-1.7902830000000002E-2</c:v>
                      </c:pt>
                      <c:pt idx="14">
                        <c:v>-4.0988049999999998E-2</c:v>
                      </c:pt>
                      <c:pt idx="15">
                        <c:v>-5.7484439999999998E-2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ZMEN_NAZEV!$Y$2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ZMEN_NAZEV!$B$3:$B$34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ZMEN_NAZEV!$Y$3:$Y$34</c:f>
              <c:numCache>
                <c:formatCode>0.00</c:formatCode>
                <c:ptCount val="32"/>
                <c:pt idx="0">
                  <c:v>3.7596597627273005</c:v>
                </c:pt>
                <c:pt idx="1">
                  <c:v>3.1424778016188979</c:v>
                </c:pt>
                <c:pt idx="2">
                  <c:v>2.4381152608976535</c:v>
                </c:pt>
                <c:pt idx="3">
                  <c:v>1.7004575210700159</c:v>
                </c:pt>
                <c:pt idx="4">
                  <c:v>1.0923112192061615</c:v>
                </c:pt>
                <c:pt idx="5">
                  <c:v>1.0659329602386365</c:v>
                </c:pt>
                <c:pt idx="6">
                  <c:v>1.6814214619019499</c:v>
                </c:pt>
                <c:pt idx="7">
                  <c:v>2.3890885383128424</c:v>
                </c:pt>
                <c:pt idx="8">
                  <c:v>3.1083985629109514</c:v>
                </c:pt>
                <c:pt idx="9">
                  <c:v>3.7173369272254297</c:v>
                </c:pt>
                <c:pt idx="10">
                  <c:v>4.2286571229789409</c:v>
                </c:pt>
                <c:pt idx="11">
                  <c:v>4.5833290741161941</c:v>
                </c:pt>
                <c:pt idx="12">
                  <c:v>4.7289851116247315</c:v>
                </c:pt>
                <c:pt idx="13">
                  <c:v>4.7698854384286076</c:v>
                </c:pt>
                <c:pt idx="14">
                  <c:v>4.601634148925176</c:v>
                </c:pt>
                <c:pt idx="15">
                  <c:v>4.2365088305501644</c:v>
                </c:pt>
                <c:pt idx="16">
                  <c:v>3.7839292197002927</c:v>
                </c:pt>
                <c:pt idx="17">
                  <c:v>3.1422033571787646</c:v>
                </c:pt>
                <c:pt idx="18">
                  <c:v>2.4378436149772584</c:v>
                </c:pt>
                <c:pt idx="19">
                  <c:v>1.7153738036803647</c:v>
                </c:pt>
                <c:pt idx="20">
                  <c:v>1.087936813273743</c:v>
                </c:pt>
                <c:pt idx="21">
                  <c:v>1.1206243840680341</c:v>
                </c:pt>
                <c:pt idx="22">
                  <c:v>1.6867067181171336</c:v>
                </c:pt>
                <c:pt idx="23">
                  <c:v>2.4190935001017082</c:v>
                </c:pt>
                <c:pt idx="24">
                  <c:v>3.1402852966518933</c:v>
                </c:pt>
                <c:pt idx="25">
                  <c:v>3.7612832455912617</c:v>
                </c:pt>
                <c:pt idx="26">
                  <c:v>4.2682980321541502</c:v>
                </c:pt>
                <c:pt idx="27">
                  <c:v>4.5987387578233996</c:v>
                </c:pt>
                <c:pt idx="28">
                  <c:v>4.783375584286973</c:v>
                </c:pt>
                <c:pt idx="29">
                  <c:v>4.7612543550486359</c:v>
                </c:pt>
                <c:pt idx="30">
                  <c:v>4.6065341255490395</c:v>
                </c:pt>
                <c:pt idx="31">
                  <c:v>4.2628947397230395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ZMEN_NAZEV!$Z$2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ZMEN_NAZEV!$B$3:$B$34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ZMEN_NAZEV!$Z$3:$Z$34</c:f>
              <c:numCache>
                <c:formatCode>0.00</c:formatCode>
                <c:ptCount val="32"/>
                <c:pt idx="0">
                  <c:v>3.1453478960868351</c:v>
                </c:pt>
                <c:pt idx="1">
                  <c:v>3.7515528664054343</c:v>
                </c:pt>
                <c:pt idx="2">
                  <c:v>4.2350389319092683</c:v>
                </c:pt>
                <c:pt idx="3">
                  <c:v>4.5781494974948931</c:v>
                </c:pt>
                <c:pt idx="4">
                  <c:v>4.7667885921274555</c:v>
                </c:pt>
                <c:pt idx="5">
                  <c:v>4.7495028053696222</c:v>
                </c:pt>
                <c:pt idx="6">
                  <c:v>4.6311671008567412</c:v>
                </c:pt>
                <c:pt idx="7">
                  <c:v>4.2742966264206785</c:v>
                </c:pt>
                <c:pt idx="8">
                  <c:v>3.7875331282946383</c:v>
                </c:pt>
                <c:pt idx="9">
                  <c:v>3.1613397272363177</c:v>
                </c:pt>
                <c:pt idx="10">
                  <c:v>2.4541347699233937</c:v>
                </c:pt>
                <c:pt idx="11">
                  <c:v>1.7175409876519725</c:v>
                </c:pt>
                <c:pt idx="12">
                  <c:v>1.1228435224011546</c:v>
                </c:pt>
                <c:pt idx="13">
                  <c:v>1.1241190729284527</c:v>
                </c:pt>
                <c:pt idx="14">
                  <c:v>1.7191429804027101</c:v>
                </c:pt>
                <c:pt idx="15">
                  <c:v>2.4438172413305632</c:v>
                </c:pt>
                <c:pt idx="16">
                  <c:v>3.22267528096038</c:v>
                </c:pt>
                <c:pt idx="17">
                  <c:v>3.8182650712998489</c:v>
                </c:pt>
                <c:pt idx="18">
                  <c:v>4.2680454452267957</c:v>
                </c:pt>
                <c:pt idx="19">
                  <c:v>4.62304723978946</c:v>
                </c:pt>
                <c:pt idx="20">
                  <c:v>4.8087355089506501</c:v>
                </c:pt>
                <c:pt idx="21">
                  <c:v>4.8040270773504528</c:v>
                </c:pt>
                <c:pt idx="22">
                  <c:v>4.6144452893103951</c:v>
                </c:pt>
                <c:pt idx="23">
                  <c:v>4.2839919034295688</c:v>
                </c:pt>
                <c:pt idx="24">
                  <c:v>3.8083830273937989</c:v>
                </c:pt>
                <c:pt idx="25">
                  <c:v>3.1764037851411588</c:v>
                </c:pt>
                <c:pt idx="26">
                  <c:v>2.4530727570867716</c:v>
                </c:pt>
                <c:pt idx="27">
                  <c:v>1.7136763248737543</c:v>
                </c:pt>
                <c:pt idx="28">
                  <c:v>1.1506492280991698</c:v>
                </c:pt>
                <c:pt idx="29">
                  <c:v>1.1593658723575577</c:v>
                </c:pt>
                <c:pt idx="30">
                  <c:v>1.7617252649060753</c:v>
                </c:pt>
                <c:pt idx="31">
                  <c:v>2.460910769704344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12</xdr:col>
      <xdr:colOff>0</xdr:colOff>
      <xdr:row>48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20</xdr:row>
      <xdr:rowOff>0</xdr:rowOff>
    </xdr:from>
    <xdr:to>
      <xdr:col>25</xdr:col>
      <xdr:colOff>1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8"/>
  <sheetViews>
    <sheetView tabSelected="1" zoomScale="85" zoomScaleNormal="85" workbookViewId="0">
      <selection activeCell="G8" sqref="G8:H8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25" ht="15.75" customHeight="1" x14ac:dyDescent="0.25">
      <c r="A1" s="33" t="s">
        <v>30</v>
      </c>
      <c r="B1" s="33"/>
      <c r="C1" s="33" t="s">
        <v>50</v>
      </c>
      <c r="D1" s="33"/>
      <c r="E1" s="33" t="s">
        <v>46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15.7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4" spans="1:25" x14ac:dyDescent="0.25">
      <c r="A4" s="27" t="s">
        <v>31</v>
      </c>
      <c r="B4" s="27"/>
      <c r="C4" s="27"/>
      <c r="D4" s="27"/>
      <c r="E4" s="27"/>
      <c r="F4" s="27"/>
      <c r="G4" s="30">
        <v>0</v>
      </c>
      <c r="H4" s="31"/>
      <c r="I4" s="2" t="s">
        <v>19</v>
      </c>
      <c r="K4" s="34" t="s">
        <v>47</v>
      </c>
      <c r="L4" s="34"/>
      <c r="M4" s="34"/>
      <c r="N4" s="34"/>
      <c r="O4" s="34"/>
      <c r="P4" s="34"/>
      <c r="R4" s="34" t="s">
        <v>48</v>
      </c>
      <c r="S4" s="34"/>
      <c r="T4" s="34"/>
      <c r="U4" s="34"/>
      <c r="V4" s="34"/>
      <c r="W4" s="34"/>
      <c r="X4" s="34"/>
      <c r="Y4" s="34"/>
    </row>
    <row r="5" spans="1:25" ht="15.75" customHeight="1" x14ac:dyDescent="0.25">
      <c r="A5" s="22" t="s">
        <v>32</v>
      </c>
      <c r="B5" s="23"/>
      <c r="C5" s="23"/>
      <c r="D5" s="23"/>
      <c r="E5" s="23"/>
      <c r="F5" s="24"/>
      <c r="G5" s="30">
        <v>0</v>
      </c>
      <c r="H5" s="31"/>
      <c r="I5" s="2" t="s">
        <v>19</v>
      </c>
      <c r="K5" s="35" t="s">
        <v>52</v>
      </c>
      <c r="L5" s="36"/>
      <c r="M5" s="36"/>
      <c r="N5" s="36"/>
      <c r="O5" s="36"/>
      <c r="P5" s="37"/>
      <c r="R5" s="28" t="s">
        <v>51</v>
      </c>
      <c r="S5" s="28"/>
      <c r="T5" s="28"/>
      <c r="U5" s="28"/>
      <c r="V5" s="28"/>
      <c r="W5" s="28"/>
      <c r="X5" s="28"/>
      <c r="Y5" s="28"/>
    </row>
    <row r="6" spans="1:25" x14ac:dyDescent="0.25">
      <c r="A6" s="27" t="s">
        <v>33</v>
      </c>
      <c r="B6" s="27"/>
      <c r="C6" s="27"/>
      <c r="D6" s="27"/>
      <c r="E6" s="27"/>
      <c r="F6" s="27"/>
      <c r="G6" s="32">
        <v>0</v>
      </c>
      <c r="H6" s="32"/>
      <c r="I6" s="2" t="s">
        <v>25</v>
      </c>
      <c r="K6" s="38"/>
      <c r="L6" s="39"/>
      <c r="M6" s="39"/>
      <c r="N6" s="39"/>
      <c r="O6" s="39"/>
      <c r="P6" s="40"/>
      <c r="R6" s="28"/>
      <c r="S6" s="28"/>
      <c r="T6" s="28"/>
      <c r="U6" s="28"/>
      <c r="V6" s="28"/>
      <c r="W6" s="28"/>
      <c r="X6" s="28"/>
      <c r="Y6" s="28"/>
    </row>
    <row r="7" spans="1:25" ht="15.75" customHeight="1" x14ac:dyDescent="0.25">
      <c r="A7" s="27" t="s">
        <v>16</v>
      </c>
      <c r="B7" s="27"/>
      <c r="C7" s="27"/>
      <c r="D7" s="27"/>
      <c r="E7" s="27"/>
      <c r="F7" s="27"/>
      <c r="G7" s="29">
        <f>360/((23*60*60)+(56*60)+4.09)</f>
        <v>4.1780746480349299E-3</v>
      </c>
      <c r="H7" s="29"/>
      <c r="I7" s="2" t="s">
        <v>17</v>
      </c>
      <c r="K7" s="38"/>
      <c r="L7" s="39"/>
      <c r="M7" s="39"/>
      <c r="N7" s="39"/>
      <c r="O7" s="39"/>
      <c r="P7" s="40"/>
      <c r="R7" s="28"/>
      <c r="S7" s="28"/>
      <c r="T7" s="28"/>
      <c r="U7" s="28"/>
      <c r="V7" s="28"/>
      <c r="W7" s="28"/>
      <c r="X7" s="28"/>
      <c r="Y7" s="28"/>
    </row>
    <row r="8" spans="1:25" x14ac:dyDescent="0.25">
      <c r="A8" s="27" t="s">
        <v>18</v>
      </c>
      <c r="B8" s="27"/>
      <c r="C8" s="27"/>
      <c r="D8" s="27"/>
      <c r="E8" s="27"/>
      <c r="F8" s="27"/>
      <c r="G8" s="32">
        <v>49</v>
      </c>
      <c r="H8" s="32"/>
      <c r="I8" s="2" t="s">
        <v>19</v>
      </c>
      <c r="K8" s="38"/>
      <c r="L8" s="39"/>
      <c r="M8" s="39"/>
      <c r="N8" s="39"/>
      <c r="O8" s="39"/>
      <c r="P8" s="40"/>
      <c r="R8" s="28"/>
      <c r="S8" s="28"/>
      <c r="T8" s="28"/>
      <c r="U8" s="28"/>
      <c r="V8" s="28"/>
      <c r="W8" s="28"/>
      <c r="X8" s="28"/>
      <c r="Y8" s="28"/>
    </row>
    <row r="9" spans="1:25" ht="15.75" customHeight="1" x14ac:dyDescent="0.25">
      <c r="A9" s="46" t="s">
        <v>20</v>
      </c>
      <c r="B9" s="47"/>
      <c r="C9" s="47"/>
      <c r="D9" s="47"/>
      <c r="E9" s="47"/>
      <c r="F9" s="48"/>
      <c r="G9" s="49">
        <f>(COS(RADIANS(G8))*G7)</f>
        <v>2.7410635966396515E-3</v>
      </c>
      <c r="H9" s="50"/>
      <c r="I9" s="3" t="s">
        <v>17</v>
      </c>
      <c r="K9" s="38"/>
      <c r="L9" s="39"/>
      <c r="M9" s="39"/>
      <c r="N9" s="39"/>
      <c r="O9" s="39"/>
      <c r="P9" s="40"/>
      <c r="R9" s="15"/>
      <c r="S9" s="15"/>
      <c r="T9" s="15"/>
      <c r="U9" s="15"/>
      <c r="V9" s="15"/>
      <c r="W9" s="15"/>
      <c r="X9" s="15"/>
      <c r="Y9" s="15"/>
    </row>
    <row r="10" spans="1:25" x14ac:dyDescent="0.25">
      <c r="A10" s="27" t="s">
        <v>34</v>
      </c>
      <c r="B10" s="27"/>
      <c r="C10" s="27"/>
      <c r="D10" s="27"/>
      <c r="E10" s="27"/>
      <c r="F10" s="27"/>
      <c r="G10" s="32">
        <v>22.5</v>
      </c>
      <c r="H10" s="32"/>
      <c r="I10" s="2" t="s">
        <v>19</v>
      </c>
      <c r="K10" s="38"/>
      <c r="L10" s="39"/>
      <c r="M10" s="39"/>
      <c r="N10" s="39"/>
      <c r="O10" s="39"/>
      <c r="P10" s="40"/>
      <c r="R10" s="15"/>
      <c r="S10" s="15"/>
      <c r="T10" s="15"/>
      <c r="U10" s="15"/>
      <c r="V10" s="15"/>
      <c r="W10" s="15"/>
      <c r="X10" s="15"/>
      <c r="Y10" s="15"/>
    </row>
    <row r="11" spans="1:25" ht="15.75" customHeight="1" x14ac:dyDescent="0.25">
      <c r="A11" s="22" t="s">
        <v>35</v>
      </c>
      <c r="B11" s="23"/>
      <c r="C11" s="23"/>
      <c r="D11" s="23"/>
      <c r="E11" s="23"/>
      <c r="F11" s="24"/>
      <c r="G11" s="30">
        <f>360/G10</f>
        <v>16</v>
      </c>
      <c r="H11" s="31"/>
      <c r="I11" s="2"/>
      <c r="K11" s="38"/>
      <c r="L11" s="39"/>
      <c r="M11" s="39"/>
      <c r="N11" s="39"/>
      <c r="O11" s="39"/>
      <c r="P11" s="40"/>
      <c r="R11" s="10"/>
      <c r="S11" s="10"/>
      <c r="T11" s="10"/>
      <c r="U11" s="10"/>
      <c r="V11" s="10"/>
      <c r="W11" s="10"/>
      <c r="X11" s="10"/>
      <c r="Y11" s="10"/>
    </row>
    <row r="12" spans="1:25" ht="15.75" customHeight="1" x14ac:dyDescent="0.25">
      <c r="A12" s="27" t="s">
        <v>21</v>
      </c>
      <c r="B12" s="27"/>
      <c r="C12" s="27"/>
      <c r="D12" s="27"/>
      <c r="E12" s="27"/>
      <c r="F12" s="27"/>
      <c r="G12" s="32" t="s">
        <v>49</v>
      </c>
      <c r="H12" s="32"/>
      <c r="I12" s="2"/>
      <c r="K12" s="38"/>
      <c r="L12" s="39"/>
      <c r="M12" s="39"/>
      <c r="N12" s="39"/>
      <c r="O12" s="39"/>
      <c r="P12" s="40"/>
      <c r="R12" s="26" t="s">
        <v>26</v>
      </c>
      <c r="S12" s="26"/>
      <c r="T12" s="26" t="s">
        <v>27</v>
      </c>
      <c r="U12" s="26"/>
      <c r="V12" s="26" t="s">
        <v>28</v>
      </c>
      <c r="W12" s="26"/>
      <c r="X12" s="26" t="s">
        <v>29</v>
      </c>
      <c r="Y12" s="26"/>
    </row>
    <row r="13" spans="1:25" ht="15.75" customHeight="1" x14ac:dyDescent="0.25">
      <c r="A13" s="22" t="s">
        <v>22</v>
      </c>
      <c r="B13" s="23"/>
      <c r="C13" s="23"/>
      <c r="D13" s="23"/>
      <c r="E13" s="23"/>
      <c r="F13" s="24"/>
      <c r="G13" s="30">
        <v>480</v>
      </c>
      <c r="H13" s="31"/>
      <c r="I13" s="2"/>
      <c r="K13" s="38"/>
      <c r="L13" s="39"/>
      <c r="M13" s="39"/>
      <c r="N13" s="39"/>
      <c r="O13" s="39"/>
      <c r="P13" s="40"/>
      <c r="R13" s="26"/>
      <c r="S13" s="26"/>
      <c r="T13" s="26"/>
      <c r="U13" s="26"/>
      <c r="V13" s="26"/>
      <c r="W13" s="26"/>
      <c r="X13" s="26"/>
      <c r="Y13" s="26"/>
    </row>
    <row r="14" spans="1:25" ht="15.75" customHeight="1" x14ac:dyDescent="0.25">
      <c r="A14" s="22" t="s">
        <v>23</v>
      </c>
      <c r="B14" s="23"/>
      <c r="C14" s="23"/>
      <c r="D14" s="23"/>
      <c r="E14" s="23"/>
      <c r="F14" s="24"/>
      <c r="G14" s="30">
        <v>200</v>
      </c>
      <c r="H14" s="31"/>
      <c r="I14" s="2"/>
      <c r="K14" s="38"/>
      <c r="L14" s="39"/>
      <c r="M14" s="39"/>
      <c r="N14" s="39"/>
      <c r="O14" s="39"/>
      <c r="P14" s="40"/>
      <c r="R14" s="26"/>
      <c r="S14" s="26"/>
      <c r="T14" s="26"/>
      <c r="U14" s="26"/>
      <c r="V14" s="26"/>
      <c r="W14" s="26"/>
      <c r="X14" s="26"/>
      <c r="Y14" s="26"/>
    </row>
    <row r="15" spans="1:25" ht="15.75" customHeight="1" x14ac:dyDescent="0.25">
      <c r="A15" s="22" t="s">
        <v>24</v>
      </c>
      <c r="B15" s="23"/>
      <c r="C15" s="23"/>
      <c r="D15" s="23"/>
      <c r="E15" s="23"/>
      <c r="F15" s="24"/>
      <c r="G15" s="30">
        <v>50</v>
      </c>
      <c r="H15" s="31"/>
      <c r="I15" s="2"/>
      <c r="K15" s="38"/>
      <c r="L15" s="39"/>
      <c r="M15" s="39"/>
      <c r="N15" s="39"/>
      <c r="O15" s="39"/>
      <c r="P15" s="40"/>
      <c r="R15" s="26"/>
      <c r="S15" s="26"/>
      <c r="T15" s="26"/>
      <c r="U15" s="26"/>
      <c r="V15" s="26"/>
      <c r="W15" s="26"/>
      <c r="X15" s="26"/>
      <c r="Y15" s="26"/>
    </row>
    <row r="16" spans="1:25" x14ac:dyDescent="0.25">
      <c r="A16" s="19" t="s">
        <v>37</v>
      </c>
      <c r="B16" s="20"/>
      <c r="C16" s="20"/>
      <c r="D16" s="20"/>
      <c r="E16" s="20"/>
      <c r="F16" s="21"/>
      <c r="G16" s="44">
        <v>400</v>
      </c>
      <c r="H16" s="45"/>
      <c r="I16" s="4" t="s">
        <v>19</v>
      </c>
      <c r="K16" s="38"/>
      <c r="L16" s="39"/>
      <c r="M16" s="39"/>
      <c r="N16" s="39"/>
      <c r="O16" s="39"/>
      <c r="P16" s="40"/>
      <c r="R16" s="25">
        <f>MIN(ZMEN_NAZEV!R3:R18)</f>
        <v>-3.0261000000000038E-3</v>
      </c>
      <c r="S16" s="25"/>
      <c r="T16" s="25">
        <f>MIN(ZMEN_NAZEV!S3:S18)</f>
        <v>-3.9653000000000049E-3</v>
      </c>
      <c r="U16" s="25"/>
      <c r="V16" s="25">
        <f>MAX(ZMEN_NAZEV!R3:R18)</f>
        <v>4.9450399999999839E-3</v>
      </c>
      <c r="W16" s="25"/>
      <c r="X16" s="25">
        <f>MAX(ZMEN_NAZEV!S3:S18)</f>
        <v>6.519250000000032E-3</v>
      </c>
      <c r="Y16" s="25"/>
    </row>
    <row r="17" spans="1:25" x14ac:dyDescent="0.25">
      <c r="A17" s="19" t="s">
        <v>36</v>
      </c>
      <c r="B17" s="20"/>
      <c r="C17" s="20"/>
      <c r="D17" s="20"/>
      <c r="E17" s="20"/>
      <c r="F17" s="21"/>
      <c r="G17" s="44">
        <f>G11*G13*G14</f>
        <v>1536000</v>
      </c>
      <c r="H17" s="45"/>
      <c r="I17" s="2"/>
      <c r="K17" s="41"/>
      <c r="L17" s="42"/>
      <c r="M17" s="42"/>
      <c r="N17" s="42"/>
      <c r="O17" s="42"/>
      <c r="P17" s="43"/>
      <c r="R17" s="25"/>
      <c r="S17" s="25"/>
      <c r="T17" s="25"/>
      <c r="U17" s="25"/>
      <c r="V17" s="25"/>
      <c r="W17" s="25"/>
      <c r="X17" s="25"/>
      <c r="Y17" s="25"/>
    </row>
    <row r="18" spans="1:25" ht="15.75" customHeight="1" x14ac:dyDescent="0.25">
      <c r="A18" s="11"/>
      <c r="B18" s="11"/>
      <c r="C18" s="11"/>
      <c r="D18" s="11"/>
      <c r="E18" s="11"/>
      <c r="F18" s="11"/>
      <c r="G18" s="12"/>
      <c r="H18" s="12"/>
      <c r="I18" s="13"/>
      <c r="K18" s="9"/>
      <c r="L18" s="9"/>
      <c r="M18" s="9"/>
      <c r="N18" s="9"/>
      <c r="O18" s="9"/>
      <c r="P18" s="9"/>
      <c r="R18" s="14"/>
      <c r="S18" s="14"/>
      <c r="T18" s="14"/>
      <c r="U18" s="14"/>
      <c r="V18" s="14"/>
      <c r="W18" s="14"/>
      <c r="X18" s="14"/>
      <c r="Y18" s="14"/>
    </row>
  </sheetData>
  <mergeCells count="43"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  <mergeCell ref="G4:H4"/>
    <mergeCell ref="A1:B2"/>
    <mergeCell ref="C1:D2"/>
    <mergeCell ref="E1:Y2"/>
    <mergeCell ref="K4:P4"/>
    <mergeCell ref="A4:F4"/>
    <mergeCell ref="R4:Y4"/>
    <mergeCell ref="R5:Y8"/>
    <mergeCell ref="G7:H7"/>
    <mergeCell ref="A5:F5"/>
    <mergeCell ref="G5:H5"/>
    <mergeCell ref="A6:F6"/>
    <mergeCell ref="G6:H6"/>
    <mergeCell ref="A7:F7"/>
    <mergeCell ref="T12:U15"/>
    <mergeCell ref="V12:W15"/>
    <mergeCell ref="X12:Y15"/>
    <mergeCell ref="T16:U17"/>
    <mergeCell ref="V16:W17"/>
    <mergeCell ref="X16:Y17"/>
    <mergeCell ref="A17:F17"/>
    <mergeCell ref="A13:F13"/>
    <mergeCell ref="A14:F14"/>
    <mergeCell ref="A15:F15"/>
    <mergeCell ref="R16:S17"/>
    <mergeCell ref="R12:S15"/>
    <mergeCell ref="A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74"/>
  <sheetViews>
    <sheetView topLeftCell="A2" workbookViewId="0">
      <selection activeCell="S7" sqref="S7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5"/>
      <c r="V1" s="5"/>
      <c r="W1" s="5"/>
      <c r="X1" s="5"/>
      <c r="Y1" s="5"/>
      <c r="Z1" s="5"/>
      <c r="AA1" s="5"/>
      <c r="AB1" s="5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6" t="s">
        <v>38</v>
      </c>
      <c r="V2" s="6" t="s">
        <v>39</v>
      </c>
      <c r="W2" s="6" t="s">
        <v>40</v>
      </c>
      <c r="X2" s="6" t="s">
        <v>41</v>
      </c>
      <c r="Y2" s="6" t="s">
        <v>42</v>
      </c>
      <c r="Z2" s="5" t="s">
        <v>43</v>
      </c>
      <c r="AA2" s="5" t="s">
        <v>44</v>
      </c>
      <c r="AB2" s="5" t="s">
        <v>45</v>
      </c>
    </row>
    <row r="3" spans="1:28" x14ac:dyDescent="0.25">
      <c r="A3">
        <v>1</v>
      </c>
      <c r="B3">
        <v>0</v>
      </c>
      <c r="C3">
        <v>15</v>
      </c>
      <c r="D3">
        <v>-0.35198220000000002</v>
      </c>
      <c r="E3">
        <v>-0.34623930000000003</v>
      </c>
      <c r="F3">
        <v>-5.7428799999999997E-3</v>
      </c>
      <c r="G3">
        <v>0.6306214</v>
      </c>
      <c r="H3">
        <v>0.63132149999999998</v>
      </c>
      <c r="I3">
        <v>-7.0012000000000004E-4</v>
      </c>
      <c r="J3">
        <v>5.4160510000000002E-2</v>
      </c>
      <c r="K3">
        <v>4.6611329999999999E-2</v>
      </c>
      <c r="L3">
        <v>7.54918E-3</v>
      </c>
      <c r="M3">
        <v>-3.6962719999999998E-2</v>
      </c>
      <c r="N3">
        <v>2.894828E-2</v>
      </c>
      <c r="O3">
        <v>-6.5910999999999997E-2</v>
      </c>
      <c r="R3">
        <f>(D3-E3)/2</f>
        <v>-2.8714499999999976E-3</v>
      </c>
      <c r="S3">
        <f>(G3-H3)/2</f>
        <v>-3.5004999999999065E-4</v>
      </c>
      <c r="U3" s="7">
        <f>J3</f>
        <v>5.4160510000000002E-2</v>
      </c>
      <c r="V3" s="7">
        <f>M3</f>
        <v>-3.6962719999999998E-2</v>
      </c>
      <c r="W3" s="7">
        <f>K3</f>
        <v>4.6611329999999999E-2</v>
      </c>
      <c r="X3" s="7">
        <f>N3</f>
        <v>2.894828E-2</v>
      </c>
      <c r="Y3" s="8">
        <f>IF(U3="","",DEGREES(ASIN(SQRT(U3^2+V3^2))))</f>
        <v>3.7596597627273005</v>
      </c>
      <c r="Z3" s="8">
        <f>IF(W3="","",DEGREES(ASIN(SQRT(W3^2+X3^2))))</f>
        <v>3.1453478960868351</v>
      </c>
      <c r="AA3" s="8">
        <f>IF(U3="","",MOD(DEGREES(ATAN2(U3,V3)),360))</f>
        <v>325.68778285434007</v>
      </c>
      <c r="AB3" s="8">
        <f>IF(U3="","",MOD(F3+AA3,360))</f>
        <v>325.68203997434006</v>
      </c>
    </row>
    <row r="4" spans="1:28" x14ac:dyDescent="0.25">
      <c r="A4">
        <v>2</v>
      </c>
      <c r="B4">
        <v>22.5</v>
      </c>
      <c r="C4">
        <v>15</v>
      </c>
      <c r="D4">
        <v>-0.34862828000000001</v>
      </c>
      <c r="E4">
        <v>-0.34257608000000001</v>
      </c>
      <c r="F4">
        <v>-6.0522299999999996E-3</v>
      </c>
      <c r="G4">
        <v>0.61766299999999996</v>
      </c>
      <c r="H4">
        <v>0.61594344000000001</v>
      </c>
      <c r="I4">
        <v>1.71959E-3</v>
      </c>
      <c r="J4">
        <v>4.1209339999999997E-2</v>
      </c>
      <c r="K4">
        <v>5.9233929999999997E-2</v>
      </c>
      <c r="L4">
        <v>-1.802459E-2</v>
      </c>
      <c r="M4">
        <v>-3.6151389999999999E-2</v>
      </c>
      <c r="N4">
        <v>2.779297E-2</v>
      </c>
      <c r="O4">
        <v>-6.3944360000000006E-2</v>
      </c>
      <c r="R4">
        <f>(D4-E4)/2</f>
        <v>-3.0261000000000038E-3</v>
      </c>
      <c r="S4">
        <f t="shared" ref="S4:S18" si="0">(G4-H4)/2</f>
        <v>8.5977999999997667E-4</v>
      </c>
      <c r="U4" s="7">
        <f t="shared" ref="U4:U18" si="1">J4</f>
        <v>4.1209339999999997E-2</v>
      </c>
      <c r="V4" s="7">
        <f t="shared" ref="V4:V18" si="2">M4</f>
        <v>-3.6151389999999999E-2</v>
      </c>
      <c r="W4" s="7">
        <f t="shared" ref="W4:W18" si="3">K4</f>
        <v>5.9233929999999997E-2</v>
      </c>
      <c r="X4" s="7">
        <f t="shared" ref="X4:X18" si="4">N4</f>
        <v>2.779297E-2</v>
      </c>
      <c r="Y4" s="8">
        <f t="shared" ref="Y4:Y18" si="5">IF(U4="","",DEGREES(ASIN(SQRT(U4^2+V4^2))))</f>
        <v>3.1424778016188979</v>
      </c>
      <c r="Z4" s="8">
        <f t="shared" ref="Z4:Z18" si="6">IF(W4="","",DEGREES(ASIN(SQRT(W4^2+X4^2))))</f>
        <v>3.7515528664054343</v>
      </c>
      <c r="AA4" s="8">
        <f t="shared" ref="AA4:AA18" si="7">IF(U4="","",MOD(DEGREES(ATAN2(U4,V4)),360))</f>
        <v>318.74075201754408</v>
      </c>
      <c r="AB4" s="8">
        <f t="shared" ref="AB4:AB18" si="8">IF(U4="","",MOD(F4+AA4,360))</f>
        <v>318.73469978754406</v>
      </c>
    </row>
    <row r="5" spans="1:28" x14ac:dyDescent="0.25">
      <c r="A5">
        <v>3</v>
      </c>
      <c r="B5">
        <v>45</v>
      </c>
      <c r="C5">
        <v>15</v>
      </c>
      <c r="D5">
        <v>-0.34687852000000002</v>
      </c>
      <c r="E5">
        <v>-0.34162140000000002</v>
      </c>
      <c r="F5">
        <v>-5.2571299999999996E-3</v>
      </c>
      <c r="G5">
        <v>0.61750704000000001</v>
      </c>
      <c r="H5">
        <v>0.61707849999999997</v>
      </c>
      <c r="I5">
        <v>4.2855999999999998E-4</v>
      </c>
      <c r="J5">
        <v>2.981201E-2</v>
      </c>
      <c r="K5">
        <v>7.0484439999999995E-2</v>
      </c>
      <c r="L5">
        <v>-4.0672430000000002E-2</v>
      </c>
      <c r="M5">
        <v>-3.0346680000000001E-2</v>
      </c>
      <c r="N5">
        <v>2.2033690000000002E-2</v>
      </c>
      <c r="O5">
        <v>-5.2380370000000002E-2</v>
      </c>
      <c r="R5">
        <f t="shared" ref="R5:R18" si="9">(D5-E5)/2</f>
        <v>-2.628560000000002E-3</v>
      </c>
      <c r="S5">
        <f t="shared" si="0"/>
        <v>2.1427000000001639E-4</v>
      </c>
      <c r="U5" s="7">
        <f t="shared" si="1"/>
        <v>2.981201E-2</v>
      </c>
      <c r="V5" s="7">
        <f t="shared" si="2"/>
        <v>-3.0346680000000001E-2</v>
      </c>
      <c r="W5" s="7">
        <f t="shared" si="3"/>
        <v>7.0484439999999995E-2</v>
      </c>
      <c r="X5" s="7">
        <f t="shared" si="4"/>
        <v>2.2033690000000002E-2</v>
      </c>
      <c r="Y5" s="8">
        <f t="shared" si="5"/>
        <v>2.4381152608976535</v>
      </c>
      <c r="Z5" s="8">
        <f t="shared" si="6"/>
        <v>4.2350389319092683</v>
      </c>
      <c r="AA5" s="8">
        <f t="shared" si="7"/>
        <v>314.49078798319408</v>
      </c>
      <c r="AB5" s="8">
        <f t="shared" si="8"/>
        <v>314.48553085319406</v>
      </c>
    </row>
    <row r="6" spans="1:28" x14ac:dyDescent="0.25">
      <c r="A6">
        <v>4</v>
      </c>
      <c r="B6">
        <v>67.5</v>
      </c>
      <c r="C6">
        <v>15</v>
      </c>
      <c r="D6">
        <v>-0.35008460000000002</v>
      </c>
      <c r="E6">
        <v>-0.34887689999999999</v>
      </c>
      <c r="F6">
        <v>-1.2077100000000001E-3</v>
      </c>
      <c r="G6">
        <v>0.62616539999999998</v>
      </c>
      <c r="H6">
        <v>0.61924230000000002</v>
      </c>
      <c r="I6">
        <v>6.9230799999999999E-3</v>
      </c>
      <c r="J6">
        <v>2.1467090000000001E-2</v>
      </c>
      <c r="K6">
        <v>7.8837320000000002E-2</v>
      </c>
      <c r="L6">
        <v>-5.7370230000000001E-2</v>
      </c>
      <c r="M6">
        <v>-2.0487160000000001E-2</v>
      </c>
      <c r="N6">
        <v>1.2478589999999999E-2</v>
      </c>
      <c r="O6">
        <v>-3.2965750000000002E-2</v>
      </c>
      <c r="R6">
        <f t="shared" si="9"/>
        <v>-6.0385000000001687E-4</v>
      </c>
      <c r="S6">
        <f t="shared" si="0"/>
        <v>3.4615499999999799E-3</v>
      </c>
      <c r="U6" s="7">
        <f t="shared" si="1"/>
        <v>2.1467090000000001E-2</v>
      </c>
      <c r="V6" s="7">
        <f t="shared" si="2"/>
        <v>-2.0487160000000001E-2</v>
      </c>
      <c r="W6" s="7">
        <f t="shared" si="3"/>
        <v>7.8837320000000002E-2</v>
      </c>
      <c r="X6" s="7">
        <f t="shared" si="4"/>
        <v>1.2478589999999999E-2</v>
      </c>
      <c r="Y6" s="8">
        <f t="shared" si="5"/>
        <v>1.7004575210700159</v>
      </c>
      <c r="Z6" s="8">
        <f t="shared" si="6"/>
        <v>4.5781494974948931</v>
      </c>
      <c r="AA6" s="8">
        <f t="shared" si="7"/>
        <v>316.33802049495569</v>
      </c>
      <c r="AB6" s="8">
        <f t="shared" si="8"/>
        <v>316.33681278495567</v>
      </c>
    </row>
    <row r="7" spans="1:28" x14ac:dyDescent="0.25">
      <c r="A7">
        <v>5</v>
      </c>
      <c r="B7">
        <v>90</v>
      </c>
      <c r="C7">
        <v>15</v>
      </c>
      <c r="D7">
        <v>-0.33920383999999998</v>
      </c>
      <c r="E7">
        <v>-0.3372115</v>
      </c>
      <c r="F7">
        <v>-1.99234E-3</v>
      </c>
      <c r="G7">
        <v>0.60936920000000006</v>
      </c>
      <c r="H7">
        <v>0.59633069999999999</v>
      </c>
      <c r="I7">
        <v>1.303852E-2</v>
      </c>
      <c r="J7">
        <v>1.6961759999999999E-2</v>
      </c>
      <c r="K7">
        <v>8.3099649999999997E-2</v>
      </c>
      <c r="L7">
        <v>-6.6137879999999996E-2</v>
      </c>
      <c r="M7">
        <v>-8.7009800000000005E-3</v>
      </c>
      <c r="N7">
        <v>-3.0611000000000001E-4</v>
      </c>
      <c r="O7">
        <v>-8.3948700000000005E-3</v>
      </c>
      <c r="R7">
        <f t="shared" si="9"/>
        <v>-9.9616999999999067E-4</v>
      </c>
      <c r="S7">
        <f t="shared" si="0"/>
        <v>6.519250000000032E-3</v>
      </c>
      <c r="U7" s="7">
        <f t="shared" si="1"/>
        <v>1.6961759999999999E-2</v>
      </c>
      <c r="V7" s="7">
        <f t="shared" si="2"/>
        <v>-8.7009800000000005E-3</v>
      </c>
      <c r="W7" s="7">
        <f t="shared" si="3"/>
        <v>8.3099649999999997E-2</v>
      </c>
      <c r="X7" s="7">
        <f t="shared" si="4"/>
        <v>-3.0611000000000001E-4</v>
      </c>
      <c r="Y7" s="8">
        <f t="shared" si="5"/>
        <v>1.0923112192061615</v>
      </c>
      <c r="Z7" s="8">
        <f t="shared" si="6"/>
        <v>4.7667885921274555</v>
      </c>
      <c r="AA7" s="8">
        <f t="shared" si="7"/>
        <v>332.84325377597708</v>
      </c>
      <c r="AB7" s="8">
        <f t="shared" si="8"/>
        <v>332.84126143597706</v>
      </c>
    </row>
    <row r="8" spans="1:28" x14ac:dyDescent="0.25">
      <c r="A8">
        <v>6</v>
      </c>
      <c r="B8">
        <v>112.5</v>
      </c>
      <c r="C8">
        <v>15</v>
      </c>
      <c r="D8">
        <v>-0.34447336000000001</v>
      </c>
      <c r="E8">
        <v>-0.34496004000000002</v>
      </c>
      <c r="F8">
        <v>4.8666999999999997E-4</v>
      </c>
      <c r="G8">
        <v>0.61437668000000001</v>
      </c>
      <c r="H8">
        <v>0.60956323999999995</v>
      </c>
      <c r="I8">
        <v>4.8134299999999996E-3</v>
      </c>
      <c r="J8">
        <v>1.806348E-2</v>
      </c>
      <c r="K8">
        <v>8.1806799999999999E-2</v>
      </c>
      <c r="L8">
        <v>-6.3743320000000006E-2</v>
      </c>
      <c r="M8">
        <v>4.4475900000000004E-3</v>
      </c>
      <c r="N8">
        <v>-1.278337E-2</v>
      </c>
      <c r="O8">
        <v>1.723096E-2</v>
      </c>
      <c r="R8">
        <f t="shared" si="9"/>
        <v>2.4334000000000855E-4</v>
      </c>
      <c r="S8">
        <f t="shared" si="0"/>
        <v>2.4067200000000288E-3</v>
      </c>
      <c r="U8" s="7">
        <f t="shared" si="1"/>
        <v>1.806348E-2</v>
      </c>
      <c r="V8" s="7">
        <f t="shared" si="2"/>
        <v>4.4475900000000004E-3</v>
      </c>
      <c r="W8" s="7">
        <f t="shared" si="3"/>
        <v>8.1806799999999999E-2</v>
      </c>
      <c r="X8" s="7">
        <f t="shared" si="4"/>
        <v>-1.278337E-2</v>
      </c>
      <c r="Y8" s="8">
        <f t="shared" si="5"/>
        <v>1.0659329602386365</v>
      </c>
      <c r="Z8" s="8">
        <f t="shared" si="6"/>
        <v>4.7495028053696222</v>
      </c>
      <c r="AA8" s="8">
        <f t="shared" si="7"/>
        <v>13.832224574913047</v>
      </c>
      <c r="AB8" s="8">
        <f t="shared" si="8"/>
        <v>13.832711244913048</v>
      </c>
    </row>
    <row r="9" spans="1:28" x14ac:dyDescent="0.25">
      <c r="A9">
        <v>7</v>
      </c>
      <c r="B9">
        <v>135</v>
      </c>
      <c r="C9">
        <v>15</v>
      </c>
      <c r="D9">
        <v>-0.35220415999999999</v>
      </c>
      <c r="E9">
        <v>-0.35767090000000001</v>
      </c>
      <c r="F9">
        <v>5.4667300000000004E-3</v>
      </c>
      <c r="G9">
        <v>0.63459569999999998</v>
      </c>
      <c r="H9">
        <v>0.62979160000000001</v>
      </c>
      <c r="I9">
        <v>4.8040699999999997E-3</v>
      </c>
      <c r="J9">
        <v>2.4365029999999999E-2</v>
      </c>
      <c r="K9">
        <v>7.7008270000000004E-2</v>
      </c>
      <c r="L9">
        <v>-5.2643240000000001E-2</v>
      </c>
      <c r="M9">
        <v>1.6349490000000001E-2</v>
      </c>
      <c r="N9">
        <v>-2.4266360000000001E-2</v>
      </c>
      <c r="O9">
        <v>4.061584E-2</v>
      </c>
      <c r="R9">
        <f t="shared" si="9"/>
        <v>2.7333700000000127E-3</v>
      </c>
      <c r="S9">
        <f t="shared" si="0"/>
        <v>2.4020499999999889E-3</v>
      </c>
      <c r="U9" s="7">
        <f t="shared" si="1"/>
        <v>2.4365029999999999E-2</v>
      </c>
      <c r="V9" s="7">
        <f t="shared" si="2"/>
        <v>1.6349490000000001E-2</v>
      </c>
      <c r="W9" s="7">
        <f t="shared" si="3"/>
        <v>7.7008270000000004E-2</v>
      </c>
      <c r="X9" s="7">
        <f t="shared" si="4"/>
        <v>-2.4266360000000001E-2</v>
      </c>
      <c r="Y9" s="8">
        <f t="shared" si="5"/>
        <v>1.6814214619019499</v>
      </c>
      <c r="Z9" s="8">
        <f t="shared" si="6"/>
        <v>4.6311671008567412</v>
      </c>
      <c r="AA9" s="8">
        <f t="shared" si="7"/>
        <v>33.86251097266225</v>
      </c>
      <c r="AB9" s="8">
        <f t="shared" si="8"/>
        <v>33.867977702662252</v>
      </c>
    </row>
    <row r="10" spans="1:28" x14ac:dyDescent="0.25">
      <c r="A10">
        <v>8</v>
      </c>
      <c r="B10">
        <v>157.5</v>
      </c>
      <c r="C10">
        <v>15</v>
      </c>
      <c r="D10">
        <v>-0.34700908000000003</v>
      </c>
      <c r="E10">
        <v>-0.35517729999999997</v>
      </c>
      <c r="F10">
        <v>8.1682500000000002E-3</v>
      </c>
      <c r="G10">
        <v>0.62863179999999996</v>
      </c>
      <c r="H10">
        <v>0.63029531999999999</v>
      </c>
      <c r="I10">
        <v>-1.6635700000000001E-3</v>
      </c>
      <c r="J10">
        <v>3.3534050000000003E-2</v>
      </c>
      <c r="K10">
        <v>6.6936700000000002E-2</v>
      </c>
      <c r="L10">
        <v>-3.3402660000000001E-2</v>
      </c>
      <c r="M10">
        <v>2.476163E-2</v>
      </c>
      <c r="N10">
        <v>-3.2778099999999998E-2</v>
      </c>
      <c r="O10">
        <v>5.7539729999999997E-2</v>
      </c>
      <c r="R10">
        <f>(D10-E10)/2</f>
        <v>4.0841099999999741E-3</v>
      </c>
      <c r="S10">
        <f t="shared" si="0"/>
        <v>-8.3176000000001471E-4</v>
      </c>
      <c r="U10" s="7">
        <f t="shared" si="1"/>
        <v>3.3534050000000003E-2</v>
      </c>
      <c r="V10" s="7">
        <f t="shared" si="2"/>
        <v>2.476163E-2</v>
      </c>
      <c r="W10" s="7">
        <f t="shared" si="3"/>
        <v>6.6936700000000002E-2</v>
      </c>
      <c r="X10" s="7">
        <f t="shared" si="4"/>
        <v>-3.2778099999999998E-2</v>
      </c>
      <c r="Y10" s="8">
        <f t="shared" si="5"/>
        <v>2.3890885383128424</v>
      </c>
      <c r="Z10" s="8">
        <f t="shared" si="6"/>
        <v>4.2742966264206785</v>
      </c>
      <c r="AA10" s="8">
        <f t="shared" si="7"/>
        <v>36.442256765591956</v>
      </c>
      <c r="AB10" s="8">
        <f t="shared" si="8"/>
        <v>36.450425015591954</v>
      </c>
    </row>
    <row r="11" spans="1:28" x14ac:dyDescent="0.25">
      <c r="A11">
        <v>9</v>
      </c>
      <c r="B11">
        <v>180</v>
      </c>
      <c r="C11">
        <v>15</v>
      </c>
      <c r="D11">
        <v>-0.34359496</v>
      </c>
      <c r="E11">
        <v>-0.35348503999999997</v>
      </c>
      <c r="F11">
        <v>9.8900800000000007E-3</v>
      </c>
      <c r="G11">
        <v>0.61596490000000004</v>
      </c>
      <c r="H11">
        <v>0.62251000000000001</v>
      </c>
      <c r="I11">
        <v>-6.5451299999999997E-3</v>
      </c>
      <c r="J11">
        <v>4.5970209999999997E-2</v>
      </c>
      <c r="K11">
        <v>5.4636959999999998E-2</v>
      </c>
      <c r="L11">
        <v>-8.6667500000000008E-3</v>
      </c>
      <c r="M11">
        <v>2.875952E-2</v>
      </c>
      <c r="N11">
        <v>-3.7125489999999997E-2</v>
      </c>
      <c r="O11">
        <v>6.5885009999999994E-2</v>
      </c>
      <c r="R11">
        <f t="shared" si="9"/>
        <v>4.9450399999999839E-3</v>
      </c>
      <c r="S11">
        <f t="shared" si="0"/>
        <v>-3.2725499999999852E-3</v>
      </c>
      <c r="U11" s="7">
        <f t="shared" si="1"/>
        <v>4.5970209999999997E-2</v>
      </c>
      <c r="V11" s="7">
        <f t="shared" si="2"/>
        <v>2.875952E-2</v>
      </c>
      <c r="W11" s="7">
        <f t="shared" si="3"/>
        <v>5.4636959999999998E-2</v>
      </c>
      <c r="X11" s="7">
        <f t="shared" si="4"/>
        <v>-3.7125489999999997E-2</v>
      </c>
      <c r="Y11" s="8">
        <f t="shared" si="5"/>
        <v>3.1083985629109514</v>
      </c>
      <c r="Z11" s="8">
        <f t="shared" si="6"/>
        <v>3.7875331282946383</v>
      </c>
      <c r="AA11" s="8">
        <f t="shared" si="7"/>
        <v>32.030596028176745</v>
      </c>
      <c r="AB11" s="8">
        <f t="shared" si="8"/>
        <v>32.040486108176744</v>
      </c>
    </row>
    <row r="12" spans="1:28" x14ac:dyDescent="0.25">
      <c r="A12">
        <v>10</v>
      </c>
      <c r="B12">
        <v>202.5</v>
      </c>
      <c r="C12">
        <v>15</v>
      </c>
      <c r="D12">
        <v>-0.34421064000000001</v>
      </c>
      <c r="E12">
        <v>-0.3505393</v>
      </c>
      <c r="F12">
        <v>6.32864E-3</v>
      </c>
      <c r="G12">
        <v>0.61692491999999999</v>
      </c>
      <c r="H12">
        <v>0.61830350000000001</v>
      </c>
      <c r="I12">
        <v>-1.3785399999999999E-3</v>
      </c>
      <c r="J12">
        <v>5.8602120000000001E-2</v>
      </c>
      <c r="K12">
        <v>4.1759909999999997E-2</v>
      </c>
      <c r="L12">
        <v>1.6842220000000001E-2</v>
      </c>
      <c r="M12">
        <v>2.773577E-2</v>
      </c>
      <c r="N12">
        <v>-3.6019290000000002E-2</v>
      </c>
      <c r="O12">
        <v>6.3755060000000002E-2</v>
      </c>
      <c r="R12">
        <f t="shared" si="9"/>
        <v>3.164329999999993E-3</v>
      </c>
      <c r="S12">
        <f t="shared" si="0"/>
        <v>-6.8929000000000906E-4</v>
      </c>
      <c r="U12" s="7">
        <f t="shared" si="1"/>
        <v>5.8602120000000001E-2</v>
      </c>
      <c r="V12" s="7">
        <f t="shared" si="2"/>
        <v>2.773577E-2</v>
      </c>
      <c r="W12" s="7">
        <f t="shared" si="3"/>
        <v>4.1759909999999997E-2</v>
      </c>
      <c r="X12" s="7">
        <f t="shared" si="4"/>
        <v>-3.6019290000000002E-2</v>
      </c>
      <c r="Y12" s="8">
        <f t="shared" si="5"/>
        <v>3.7173369272254297</v>
      </c>
      <c r="Z12" s="8">
        <f t="shared" si="6"/>
        <v>3.1613397272363177</v>
      </c>
      <c r="AA12" s="8">
        <f t="shared" si="7"/>
        <v>25.327703836088329</v>
      </c>
      <c r="AB12" s="8">
        <f t="shared" si="8"/>
        <v>25.334032476088328</v>
      </c>
    </row>
    <row r="13" spans="1:28" x14ac:dyDescent="0.25">
      <c r="A13">
        <v>11</v>
      </c>
      <c r="B13">
        <v>225</v>
      </c>
      <c r="C13">
        <v>15</v>
      </c>
      <c r="D13">
        <v>-0.34359719999999999</v>
      </c>
      <c r="E13">
        <v>-0.35026668</v>
      </c>
      <c r="F13">
        <v>6.6694600000000003E-3</v>
      </c>
      <c r="G13">
        <v>0.6117861</v>
      </c>
      <c r="H13">
        <v>0.61971670000000001</v>
      </c>
      <c r="I13">
        <v>-7.9305799999999996E-3</v>
      </c>
      <c r="J13">
        <v>7.037815E-2</v>
      </c>
      <c r="K13">
        <v>3.0279819999999999E-2</v>
      </c>
      <c r="L13">
        <v>4.0098330000000001E-2</v>
      </c>
      <c r="M13">
        <v>2.2001409999999999E-2</v>
      </c>
      <c r="N13">
        <v>-3.0276290000000001E-2</v>
      </c>
      <c r="O13">
        <v>5.2277700000000003E-2</v>
      </c>
      <c r="R13">
        <f t="shared" si="9"/>
        <v>3.3347400000000027E-3</v>
      </c>
      <c r="S13">
        <f t="shared" si="0"/>
        <v>-3.9653000000000049E-3</v>
      </c>
      <c r="U13" s="7">
        <f t="shared" si="1"/>
        <v>7.037815E-2</v>
      </c>
      <c r="V13" s="7">
        <f t="shared" si="2"/>
        <v>2.2001409999999999E-2</v>
      </c>
      <c r="W13" s="7">
        <f t="shared" si="3"/>
        <v>3.0279819999999999E-2</v>
      </c>
      <c r="X13" s="7">
        <f t="shared" si="4"/>
        <v>-3.0276290000000001E-2</v>
      </c>
      <c r="Y13" s="8">
        <f t="shared" si="5"/>
        <v>4.2286571229789409</v>
      </c>
      <c r="Z13" s="8">
        <f t="shared" si="6"/>
        <v>2.4541347699233937</v>
      </c>
      <c r="AA13" s="8">
        <f t="shared" si="7"/>
        <v>17.360134511388075</v>
      </c>
      <c r="AB13" s="8">
        <f t="shared" si="8"/>
        <v>17.366803971388077</v>
      </c>
    </row>
    <row r="14" spans="1:28" x14ac:dyDescent="0.25">
      <c r="A14">
        <v>12</v>
      </c>
      <c r="B14">
        <v>247.5</v>
      </c>
      <c r="C14">
        <v>15</v>
      </c>
      <c r="D14">
        <v>-0.34606332000000001</v>
      </c>
      <c r="E14">
        <v>-0.3514467</v>
      </c>
      <c r="F14">
        <v>5.3833700000000002E-3</v>
      </c>
      <c r="G14">
        <v>0.61746330000000005</v>
      </c>
      <c r="H14">
        <v>0.62372329999999998</v>
      </c>
      <c r="I14">
        <v>-6.2600399999999997E-3</v>
      </c>
      <c r="J14">
        <v>7.897332E-2</v>
      </c>
      <c r="K14">
        <v>2.1966309999999999E-2</v>
      </c>
      <c r="L14">
        <v>5.7007009999999997E-2</v>
      </c>
      <c r="M14">
        <v>1.2192059999999999E-2</v>
      </c>
      <c r="N14">
        <v>-2.0391599999999999E-2</v>
      </c>
      <c r="O14">
        <v>3.258366E-2</v>
      </c>
      <c r="R14">
        <f t="shared" si="9"/>
        <v>2.6916899999999966E-3</v>
      </c>
      <c r="S14">
        <f t="shared" si="0"/>
        <v>-3.1299999999999661E-3</v>
      </c>
      <c r="U14" s="7">
        <f t="shared" si="1"/>
        <v>7.897332E-2</v>
      </c>
      <c r="V14" s="7">
        <f t="shared" si="2"/>
        <v>1.2192059999999999E-2</v>
      </c>
      <c r="W14" s="7">
        <f t="shared" si="3"/>
        <v>2.1966309999999999E-2</v>
      </c>
      <c r="X14" s="7">
        <f t="shared" si="4"/>
        <v>-2.0391599999999999E-2</v>
      </c>
      <c r="Y14" s="8">
        <f t="shared" si="5"/>
        <v>4.5833290741161941</v>
      </c>
      <c r="Z14" s="8">
        <f t="shared" si="6"/>
        <v>1.7175409876519725</v>
      </c>
      <c r="AA14" s="8">
        <f t="shared" si="7"/>
        <v>8.7761523474575309</v>
      </c>
      <c r="AB14" s="8">
        <f t="shared" si="8"/>
        <v>8.7815357174575315</v>
      </c>
    </row>
    <row r="15" spans="1:28" x14ac:dyDescent="0.25">
      <c r="A15">
        <v>13</v>
      </c>
      <c r="B15">
        <v>270</v>
      </c>
      <c r="C15">
        <v>15</v>
      </c>
      <c r="D15">
        <v>-0.34322503999999998</v>
      </c>
      <c r="E15">
        <v>-0.34492919999999999</v>
      </c>
      <c r="F15">
        <v>1.7041599999999999E-3</v>
      </c>
      <c r="G15">
        <v>0.61064160000000001</v>
      </c>
      <c r="H15">
        <v>0.61595829999999996</v>
      </c>
      <c r="I15">
        <v>-5.3166699999999999E-3</v>
      </c>
      <c r="J15">
        <v>8.2442630000000003E-2</v>
      </c>
      <c r="K15">
        <v>1.781657E-2</v>
      </c>
      <c r="L15">
        <v>6.4626050000000004E-2</v>
      </c>
      <c r="M15">
        <v>-9.3179999999999999E-5</v>
      </c>
      <c r="N15">
        <v>-8.1593800000000008E-3</v>
      </c>
      <c r="O15">
        <v>8.0662000000000008E-3</v>
      </c>
      <c r="R15">
        <f t="shared" si="9"/>
        <v>8.5208000000000506E-4</v>
      </c>
      <c r="S15">
        <f t="shared" si="0"/>
        <v>-2.658349999999976E-3</v>
      </c>
      <c r="U15" s="7">
        <f t="shared" si="1"/>
        <v>8.2442630000000003E-2</v>
      </c>
      <c r="V15" s="7">
        <f t="shared" si="2"/>
        <v>-9.3179999999999999E-5</v>
      </c>
      <c r="W15" s="7">
        <f t="shared" si="3"/>
        <v>1.781657E-2</v>
      </c>
      <c r="X15" s="7">
        <f t="shared" si="4"/>
        <v>-8.1593800000000008E-3</v>
      </c>
      <c r="Y15" s="8">
        <f t="shared" si="5"/>
        <v>4.7289851116247315</v>
      </c>
      <c r="Z15" s="8">
        <f t="shared" si="6"/>
        <v>1.1228435224011546</v>
      </c>
      <c r="AA15" s="8">
        <f t="shared" si="7"/>
        <v>359.93524201664013</v>
      </c>
      <c r="AB15" s="8">
        <f t="shared" si="8"/>
        <v>359.93694617664011</v>
      </c>
    </row>
    <row r="16" spans="1:28" x14ac:dyDescent="0.25">
      <c r="A16">
        <v>14</v>
      </c>
      <c r="B16">
        <v>292.5</v>
      </c>
      <c r="C16">
        <v>15</v>
      </c>
      <c r="D16">
        <v>-0.35295836000000003</v>
      </c>
      <c r="E16">
        <v>-0.34907500000000002</v>
      </c>
      <c r="F16">
        <v>-3.8833600000000002E-3</v>
      </c>
      <c r="G16">
        <v>0.62794159999999999</v>
      </c>
      <c r="H16">
        <v>0.63491249999999999</v>
      </c>
      <c r="I16">
        <v>-6.9708799999999996E-3</v>
      </c>
      <c r="J16">
        <v>8.2165119999999994E-2</v>
      </c>
      <c r="K16">
        <v>1.893941E-2</v>
      </c>
      <c r="L16">
        <v>6.3225699999999996E-2</v>
      </c>
      <c r="M16">
        <v>-1.2786459999999999E-2</v>
      </c>
      <c r="N16">
        <v>5.1163700000000003E-3</v>
      </c>
      <c r="O16">
        <v>-1.7902830000000002E-2</v>
      </c>
      <c r="R16">
        <f t="shared" si="9"/>
        <v>-1.9416800000000012E-3</v>
      </c>
      <c r="S16">
        <f t="shared" si="0"/>
        <v>-3.485450000000001E-3</v>
      </c>
      <c r="U16" s="7">
        <f t="shared" si="1"/>
        <v>8.2165119999999994E-2</v>
      </c>
      <c r="V16" s="7">
        <f t="shared" si="2"/>
        <v>-1.2786459999999999E-2</v>
      </c>
      <c r="W16" s="7">
        <f t="shared" si="3"/>
        <v>1.893941E-2</v>
      </c>
      <c r="X16" s="7">
        <f t="shared" si="4"/>
        <v>5.1163700000000003E-3</v>
      </c>
      <c r="Y16" s="8">
        <f t="shared" si="5"/>
        <v>4.7698854384286076</v>
      </c>
      <c r="Z16" s="8">
        <f t="shared" si="6"/>
        <v>1.1241190729284527</v>
      </c>
      <c r="AA16" s="8">
        <f t="shared" si="7"/>
        <v>351.15463204252103</v>
      </c>
      <c r="AB16" s="8">
        <f t="shared" si="8"/>
        <v>351.15074868252105</v>
      </c>
    </row>
    <row r="17" spans="1:28" x14ac:dyDescent="0.25">
      <c r="A17">
        <v>15</v>
      </c>
      <c r="B17">
        <v>315</v>
      </c>
      <c r="C17">
        <v>15</v>
      </c>
      <c r="D17">
        <v>-0.35392943999999998</v>
      </c>
      <c r="E17">
        <v>-0.34927348000000003</v>
      </c>
      <c r="F17">
        <v>-4.6559599999999998E-3</v>
      </c>
      <c r="G17">
        <v>0.62407636</v>
      </c>
      <c r="H17">
        <v>0.63118523999999998</v>
      </c>
      <c r="I17">
        <v>-7.1088699999999998E-3</v>
      </c>
      <c r="J17">
        <v>7.642881E-2</v>
      </c>
      <c r="K17">
        <v>2.4992960000000002E-2</v>
      </c>
      <c r="L17">
        <v>5.1435849999999998E-2</v>
      </c>
      <c r="M17">
        <v>-2.4393959999999999E-2</v>
      </c>
      <c r="N17">
        <v>1.6594100000000001E-2</v>
      </c>
      <c r="O17">
        <v>-4.0988049999999998E-2</v>
      </c>
      <c r="R17">
        <f t="shared" si="9"/>
        <v>-2.3279799999999795E-3</v>
      </c>
      <c r="S17">
        <f t="shared" si="0"/>
        <v>-3.5544399999999921E-3</v>
      </c>
      <c r="U17" s="7">
        <f t="shared" si="1"/>
        <v>7.642881E-2</v>
      </c>
      <c r="V17" s="7">
        <f t="shared" si="2"/>
        <v>-2.4393959999999999E-2</v>
      </c>
      <c r="W17" s="7">
        <f t="shared" si="3"/>
        <v>2.4992960000000002E-2</v>
      </c>
      <c r="X17" s="7">
        <f t="shared" si="4"/>
        <v>1.6594100000000001E-2</v>
      </c>
      <c r="Y17" s="8">
        <f t="shared" si="5"/>
        <v>4.601634148925176</v>
      </c>
      <c r="Z17" s="8">
        <f t="shared" si="6"/>
        <v>1.7191429804027101</v>
      </c>
      <c r="AA17" s="8">
        <f t="shared" si="7"/>
        <v>342.2983566859524</v>
      </c>
      <c r="AB17" s="8">
        <f t="shared" si="8"/>
        <v>342.29370072595242</v>
      </c>
    </row>
    <row r="18" spans="1:28" x14ac:dyDescent="0.25">
      <c r="A18">
        <v>16</v>
      </c>
      <c r="B18">
        <v>337.5</v>
      </c>
      <c r="C18">
        <v>15</v>
      </c>
      <c r="D18">
        <v>-0.35330623999999999</v>
      </c>
      <c r="E18">
        <v>-0.35165311999999999</v>
      </c>
      <c r="F18">
        <v>-1.6531E-3</v>
      </c>
      <c r="G18">
        <v>0.62960309999999997</v>
      </c>
      <c r="H18">
        <v>0.63189996000000004</v>
      </c>
      <c r="I18">
        <v>-2.29686E-3</v>
      </c>
      <c r="J18">
        <v>6.6304020000000005E-2</v>
      </c>
      <c r="K18">
        <v>3.4606930000000001E-2</v>
      </c>
      <c r="L18">
        <v>3.1697089999999997E-2</v>
      </c>
      <c r="M18">
        <v>-3.2574470000000001E-2</v>
      </c>
      <c r="N18">
        <v>2.490997E-2</v>
      </c>
      <c r="O18">
        <v>-5.7484439999999998E-2</v>
      </c>
      <c r="R18">
        <f t="shared" si="9"/>
        <v>-8.2656000000000396E-4</v>
      </c>
      <c r="S18">
        <f t="shared" si="0"/>
        <v>-1.1484300000000336E-3</v>
      </c>
      <c r="U18" s="7">
        <f t="shared" si="1"/>
        <v>6.6304020000000005E-2</v>
      </c>
      <c r="V18" s="7">
        <f t="shared" si="2"/>
        <v>-3.2574470000000001E-2</v>
      </c>
      <c r="W18" s="7">
        <f t="shared" si="3"/>
        <v>3.4606930000000001E-2</v>
      </c>
      <c r="X18" s="7">
        <f t="shared" si="4"/>
        <v>2.490997E-2</v>
      </c>
      <c r="Y18" s="8">
        <f t="shared" si="5"/>
        <v>4.2365088305501644</v>
      </c>
      <c r="Z18" s="8">
        <f t="shared" si="6"/>
        <v>2.4438172413305632</v>
      </c>
      <c r="AA18" s="8">
        <f t="shared" si="7"/>
        <v>333.83559735592854</v>
      </c>
      <c r="AB18" s="8">
        <f t="shared" si="8"/>
        <v>333.83394425592854</v>
      </c>
    </row>
    <row r="19" spans="1:28" s="16" customFormat="1" x14ac:dyDescent="0.25">
      <c r="A19" s="16">
        <v>17</v>
      </c>
      <c r="B19" s="16">
        <v>0</v>
      </c>
      <c r="C19" s="16">
        <v>15</v>
      </c>
      <c r="D19">
        <v>-0.35379443999999999</v>
      </c>
      <c r="E19">
        <v>-0.34684164000000001</v>
      </c>
      <c r="F19">
        <v>-6.9527900000000004E-3</v>
      </c>
      <c r="G19">
        <v>0.62485000000000002</v>
      </c>
      <c r="H19">
        <v>0.62329159999999995</v>
      </c>
      <c r="I19">
        <v>1.55836E-3</v>
      </c>
      <c r="J19">
        <v>5.4692240000000003E-2</v>
      </c>
      <c r="K19">
        <v>4.8260360000000002E-2</v>
      </c>
      <c r="L19">
        <v>6.4318800000000001E-3</v>
      </c>
      <c r="M19">
        <v>-3.6931970000000001E-2</v>
      </c>
      <c r="N19">
        <v>2.883138E-2</v>
      </c>
      <c r="O19">
        <v>-6.5763360000000007E-2</v>
      </c>
      <c r="R19" s="16">
        <f t="shared" ref="R19:R34" si="10">(D19-E19)/2</f>
        <v>-3.4763999999999906E-3</v>
      </c>
      <c r="S19" s="16">
        <f t="shared" ref="S19:S34" si="11">(G19-H19)/2</f>
        <v>7.7920000000003542E-4</v>
      </c>
      <c r="U19" s="17">
        <f t="shared" ref="U19:U34" si="12">J19</f>
        <v>5.4692240000000003E-2</v>
      </c>
      <c r="V19" s="17">
        <f t="shared" ref="V19:V34" si="13">M19</f>
        <v>-3.6931970000000001E-2</v>
      </c>
      <c r="W19" s="17">
        <f t="shared" ref="W19:W34" si="14">K19</f>
        <v>4.8260360000000002E-2</v>
      </c>
      <c r="X19" s="17">
        <f t="shared" ref="X19:X34" si="15">N19</f>
        <v>2.883138E-2</v>
      </c>
      <c r="Y19" s="18">
        <f t="shared" ref="Y19:Y34" si="16">IF(U19="","",DEGREES(ASIN(SQRT(U19^2+V19^2))))</f>
        <v>3.7839292197002927</v>
      </c>
      <c r="Z19" s="18">
        <f t="shared" ref="Z19:Z34" si="17">IF(W19="","",DEGREES(ASIN(SQRT(W19^2+X19^2))))</f>
        <v>3.22267528096038</v>
      </c>
      <c r="AA19" s="18">
        <f t="shared" ref="AA19:AA34" si="18">IF(U19="","",MOD(DEGREES(ATAN2(U19,V19)),360))</f>
        <v>325.97006608217362</v>
      </c>
      <c r="AB19" s="18">
        <f t="shared" ref="AB19:AB34" si="19">IF(U19="","",MOD(F19+AA19,360))</f>
        <v>325.9631132921736</v>
      </c>
    </row>
    <row r="20" spans="1:28" x14ac:dyDescent="0.25">
      <c r="A20">
        <v>18</v>
      </c>
      <c r="B20">
        <v>22.5</v>
      </c>
      <c r="C20">
        <v>15</v>
      </c>
      <c r="D20">
        <v>-0.35321871999999999</v>
      </c>
      <c r="E20">
        <v>-0.34892499999999999</v>
      </c>
      <c r="F20">
        <v>-4.2937399999999999E-3</v>
      </c>
      <c r="G20">
        <v>0.63301870000000005</v>
      </c>
      <c r="H20">
        <v>0.63021870000000002</v>
      </c>
      <c r="I20">
        <v>2.79999E-3</v>
      </c>
      <c r="J20">
        <v>4.1418919999999998E-2</v>
      </c>
      <c r="K20">
        <v>6.0484919999999998E-2</v>
      </c>
      <c r="L20">
        <v>-1.9066010000000001E-2</v>
      </c>
      <c r="M20">
        <v>-3.5903780000000003E-2</v>
      </c>
      <c r="N20">
        <v>2.7857969999999999E-2</v>
      </c>
      <c r="O20">
        <v>-6.3761750000000006E-2</v>
      </c>
      <c r="R20">
        <f t="shared" si="10"/>
        <v>-2.1468600000000004E-3</v>
      </c>
      <c r="S20">
        <f t="shared" si="11"/>
        <v>1.4000000000000123E-3</v>
      </c>
      <c r="U20" s="7">
        <f t="shared" si="12"/>
        <v>4.1418919999999998E-2</v>
      </c>
      <c r="V20" s="7">
        <f t="shared" si="13"/>
        <v>-3.5903780000000003E-2</v>
      </c>
      <c r="W20" s="7">
        <f t="shared" si="14"/>
        <v>6.0484919999999998E-2</v>
      </c>
      <c r="X20" s="7">
        <f t="shared" si="15"/>
        <v>2.7857969999999999E-2</v>
      </c>
      <c r="Y20" s="8">
        <f t="shared" si="16"/>
        <v>3.1422033571787646</v>
      </c>
      <c r="Z20" s="8">
        <f t="shared" si="17"/>
        <v>3.8182650712998489</v>
      </c>
      <c r="AA20" s="8">
        <f t="shared" si="18"/>
        <v>319.07978521516822</v>
      </c>
      <c r="AB20" s="8">
        <f t="shared" si="19"/>
        <v>319.07549147516823</v>
      </c>
    </row>
    <row r="21" spans="1:28" x14ac:dyDescent="0.25">
      <c r="A21">
        <v>19</v>
      </c>
      <c r="B21">
        <v>45</v>
      </c>
      <c r="C21">
        <v>15</v>
      </c>
      <c r="D21">
        <v>-0.35573529999999998</v>
      </c>
      <c r="E21">
        <v>-0.35038829999999999</v>
      </c>
      <c r="F21">
        <v>-5.3470100000000001E-3</v>
      </c>
      <c r="G21">
        <v>0.62792060000000005</v>
      </c>
      <c r="H21">
        <v>0.62532339999999997</v>
      </c>
      <c r="I21">
        <v>2.59721E-3</v>
      </c>
      <c r="J21">
        <v>2.987979E-2</v>
      </c>
      <c r="K21">
        <v>7.1036600000000005E-2</v>
      </c>
      <c r="L21">
        <v>-4.1156810000000002E-2</v>
      </c>
      <c r="M21">
        <v>-3.0273290000000001E-2</v>
      </c>
      <c r="N21">
        <v>2.219281E-2</v>
      </c>
      <c r="O21">
        <v>-5.2466110000000003E-2</v>
      </c>
      <c r="R21">
        <f t="shared" si="10"/>
        <v>-2.6734999999999953E-3</v>
      </c>
      <c r="S21">
        <f t="shared" si="11"/>
        <v>1.2986000000000386E-3</v>
      </c>
      <c r="U21" s="7">
        <f t="shared" si="12"/>
        <v>2.987979E-2</v>
      </c>
      <c r="V21" s="7">
        <f t="shared" si="13"/>
        <v>-3.0273290000000001E-2</v>
      </c>
      <c r="W21" s="7">
        <f t="shared" si="14"/>
        <v>7.1036600000000005E-2</v>
      </c>
      <c r="X21" s="7">
        <f t="shared" si="15"/>
        <v>2.219281E-2</v>
      </c>
      <c r="Y21" s="8">
        <f t="shared" si="16"/>
        <v>2.4378436149772584</v>
      </c>
      <c r="Z21" s="8">
        <f t="shared" si="17"/>
        <v>4.2680454452267957</v>
      </c>
      <c r="AA21" s="8">
        <f t="shared" si="18"/>
        <v>314.62519678719968</v>
      </c>
      <c r="AB21" s="8">
        <f t="shared" si="19"/>
        <v>314.6198497771997</v>
      </c>
    </row>
    <row r="22" spans="1:28" x14ac:dyDescent="0.25">
      <c r="A22">
        <v>20</v>
      </c>
      <c r="B22">
        <v>67.5</v>
      </c>
      <c r="C22">
        <v>15</v>
      </c>
      <c r="D22">
        <v>-0.35650008</v>
      </c>
      <c r="E22">
        <v>-0.35239999999999999</v>
      </c>
      <c r="F22">
        <v>-4.10005E-3</v>
      </c>
      <c r="G22">
        <v>0.63252489999999995</v>
      </c>
      <c r="H22">
        <v>0.62341999999999997</v>
      </c>
      <c r="I22">
        <v>9.1049100000000008E-3</v>
      </c>
      <c r="J22">
        <v>2.186768E-2</v>
      </c>
      <c r="K22">
        <v>7.9641600000000007E-2</v>
      </c>
      <c r="L22">
        <v>-5.7773919999999999E-2</v>
      </c>
      <c r="M22">
        <v>-2.044201E-2</v>
      </c>
      <c r="N22">
        <v>1.239173E-2</v>
      </c>
      <c r="O22">
        <v>-3.283374E-2</v>
      </c>
      <c r="R22">
        <f t="shared" si="10"/>
        <v>-2.050040000000003E-3</v>
      </c>
      <c r="S22">
        <f t="shared" si="11"/>
        <v>4.5524499999999857E-3</v>
      </c>
      <c r="U22" s="7">
        <f t="shared" si="12"/>
        <v>2.186768E-2</v>
      </c>
      <c r="V22" s="7">
        <f t="shared" si="13"/>
        <v>-2.044201E-2</v>
      </c>
      <c r="W22" s="7">
        <f t="shared" si="14"/>
        <v>7.9641600000000007E-2</v>
      </c>
      <c r="X22" s="7">
        <f t="shared" si="15"/>
        <v>1.239173E-2</v>
      </c>
      <c r="Y22" s="8">
        <f t="shared" si="16"/>
        <v>1.7153738036803647</v>
      </c>
      <c r="Z22" s="8">
        <f t="shared" si="17"/>
        <v>4.62304723978946</v>
      </c>
      <c r="AA22" s="8">
        <f t="shared" si="18"/>
        <v>316.92991202129951</v>
      </c>
      <c r="AB22" s="8">
        <f t="shared" si="19"/>
        <v>316.92581197129954</v>
      </c>
    </row>
    <row r="23" spans="1:28" x14ac:dyDescent="0.25">
      <c r="A23">
        <v>21</v>
      </c>
      <c r="B23">
        <v>90</v>
      </c>
      <c r="C23">
        <v>15</v>
      </c>
      <c r="D23">
        <v>-0.35384692000000001</v>
      </c>
      <c r="E23">
        <v>-0.35281252000000002</v>
      </c>
      <c r="F23">
        <v>-1.0344099999999999E-3</v>
      </c>
      <c r="G23">
        <v>0.63147180000000003</v>
      </c>
      <c r="H23">
        <v>0.62355936000000001</v>
      </c>
      <c r="I23">
        <v>7.9124599999999996E-3</v>
      </c>
      <c r="J23">
        <v>1.7097319999999999E-2</v>
      </c>
      <c r="K23">
        <v>8.3829029999999999E-2</v>
      </c>
      <c r="L23">
        <v>-6.6731700000000005E-2</v>
      </c>
      <c r="M23">
        <v>-8.2574499999999995E-3</v>
      </c>
      <c r="N23">
        <v>3.5248000000000001E-4</v>
      </c>
      <c r="O23">
        <v>-8.6099200000000001E-3</v>
      </c>
      <c r="R23">
        <f t="shared" si="10"/>
        <v>-5.1719999999999544E-4</v>
      </c>
      <c r="S23">
        <f t="shared" si="11"/>
        <v>3.9562200000000103E-3</v>
      </c>
      <c r="U23" s="7">
        <f t="shared" si="12"/>
        <v>1.7097319999999999E-2</v>
      </c>
      <c r="V23" s="7">
        <f t="shared" si="13"/>
        <v>-8.2574499999999995E-3</v>
      </c>
      <c r="W23" s="7">
        <f t="shared" si="14"/>
        <v>8.3829029999999999E-2</v>
      </c>
      <c r="X23" s="7">
        <f t="shared" si="15"/>
        <v>3.5248000000000001E-4</v>
      </c>
      <c r="Y23" s="8">
        <f t="shared" si="16"/>
        <v>1.087936813273743</v>
      </c>
      <c r="Z23" s="8">
        <f t="shared" si="17"/>
        <v>4.8087355089506501</v>
      </c>
      <c r="AA23" s="8">
        <f t="shared" si="18"/>
        <v>334.22096700134239</v>
      </c>
      <c r="AB23" s="8">
        <f t="shared" si="19"/>
        <v>334.2199325913424</v>
      </c>
    </row>
    <row r="24" spans="1:28" x14ac:dyDescent="0.25">
      <c r="A24">
        <v>22</v>
      </c>
      <c r="B24">
        <v>112.5</v>
      </c>
      <c r="C24">
        <v>15</v>
      </c>
      <c r="D24">
        <v>-0.35242356000000002</v>
      </c>
      <c r="E24">
        <v>-0.35251475999999998</v>
      </c>
      <c r="F24">
        <v>9.1199999999999994E-5</v>
      </c>
      <c r="G24">
        <v>0.63439995999999998</v>
      </c>
      <c r="H24">
        <v>0.62426470000000001</v>
      </c>
      <c r="I24">
        <v>1.013523E-2</v>
      </c>
      <c r="J24">
        <v>1.893655E-2</v>
      </c>
      <c r="K24">
        <v>8.2770999999999997E-2</v>
      </c>
      <c r="L24">
        <v>-6.3834440000000006E-2</v>
      </c>
      <c r="M24">
        <v>4.8884100000000002E-3</v>
      </c>
      <c r="N24">
        <v>-1.275419E-2</v>
      </c>
      <c r="O24">
        <v>1.764261E-2</v>
      </c>
      <c r="R24">
        <f t="shared" si="10"/>
        <v>4.5599999999978991E-5</v>
      </c>
      <c r="S24">
        <f t="shared" si="11"/>
        <v>5.0676299999999896E-3</v>
      </c>
      <c r="U24" s="7">
        <f t="shared" si="12"/>
        <v>1.893655E-2</v>
      </c>
      <c r="V24" s="7">
        <f t="shared" si="13"/>
        <v>4.8884100000000002E-3</v>
      </c>
      <c r="W24" s="7">
        <f t="shared" si="14"/>
        <v>8.2770999999999997E-2</v>
      </c>
      <c r="X24" s="7">
        <f t="shared" si="15"/>
        <v>-1.275419E-2</v>
      </c>
      <c r="Y24" s="8">
        <f t="shared" si="16"/>
        <v>1.1206243840680341</v>
      </c>
      <c r="Z24" s="8">
        <f t="shared" si="17"/>
        <v>4.8040270773504528</v>
      </c>
      <c r="AA24" s="8">
        <f t="shared" si="18"/>
        <v>14.474714768996103</v>
      </c>
      <c r="AB24" s="8">
        <f t="shared" si="19"/>
        <v>14.474805968996103</v>
      </c>
    </row>
    <row r="25" spans="1:28" x14ac:dyDescent="0.25">
      <c r="A25">
        <v>23</v>
      </c>
      <c r="B25">
        <v>135</v>
      </c>
      <c r="C25">
        <v>15</v>
      </c>
      <c r="D25">
        <v>-0.34712692000000001</v>
      </c>
      <c r="E25">
        <v>-0.35375000000000001</v>
      </c>
      <c r="F25">
        <v>6.6230899999999999E-3</v>
      </c>
      <c r="G25">
        <v>0.62367300000000003</v>
      </c>
      <c r="H25">
        <v>0.62056535999999995</v>
      </c>
      <c r="I25">
        <v>3.1076699999999999E-3</v>
      </c>
      <c r="J25">
        <v>2.4490499999999998E-2</v>
      </c>
      <c r="K25">
        <v>7.6658660000000003E-2</v>
      </c>
      <c r="L25">
        <v>-5.2168159999999998E-2</v>
      </c>
      <c r="M25">
        <v>1.6327749999999999E-2</v>
      </c>
      <c r="N25">
        <v>-2.440674E-2</v>
      </c>
      <c r="O25">
        <v>4.0734489999999998E-2</v>
      </c>
      <c r="R25">
        <f t="shared" si="10"/>
        <v>3.3115400000000017E-3</v>
      </c>
      <c r="S25">
        <f t="shared" si="11"/>
        <v>1.5538200000000391E-3</v>
      </c>
      <c r="U25" s="7">
        <f t="shared" si="12"/>
        <v>2.4490499999999998E-2</v>
      </c>
      <c r="V25" s="7">
        <f t="shared" si="13"/>
        <v>1.6327749999999999E-2</v>
      </c>
      <c r="W25" s="7">
        <f t="shared" si="14"/>
        <v>7.6658660000000003E-2</v>
      </c>
      <c r="X25" s="7">
        <f t="shared" si="15"/>
        <v>-2.440674E-2</v>
      </c>
      <c r="Y25" s="8">
        <f t="shared" si="16"/>
        <v>1.6867067181171336</v>
      </c>
      <c r="Z25" s="8">
        <f t="shared" si="17"/>
        <v>4.6144452893103951</v>
      </c>
      <c r="AA25" s="8">
        <f t="shared" si="18"/>
        <v>33.69128225459631</v>
      </c>
      <c r="AB25" s="8">
        <f t="shared" si="19"/>
        <v>33.697905344596307</v>
      </c>
    </row>
    <row r="26" spans="1:28" x14ac:dyDescent="0.25">
      <c r="A26">
        <v>24</v>
      </c>
      <c r="B26">
        <v>157.5</v>
      </c>
      <c r="C26">
        <v>15</v>
      </c>
      <c r="D26">
        <v>-0.34097667999999998</v>
      </c>
      <c r="E26">
        <v>-0.34746660000000001</v>
      </c>
      <c r="F26">
        <v>6.4899600000000003E-3</v>
      </c>
      <c r="G26">
        <v>0.61949664000000004</v>
      </c>
      <c r="H26">
        <v>0.61556999999999995</v>
      </c>
      <c r="I26">
        <v>3.9266300000000004E-3</v>
      </c>
      <c r="J26">
        <v>3.436703E-2</v>
      </c>
      <c r="K26">
        <v>6.7091960000000006E-2</v>
      </c>
      <c r="L26">
        <v>-3.2724929999999999E-2</v>
      </c>
      <c r="M26">
        <v>2.4504560000000002E-2</v>
      </c>
      <c r="N26">
        <v>-3.2844730000000003E-2</v>
      </c>
      <c r="O26">
        <v>5.7349280000000002E-2</v>
      </c>
      <c r="R26">
        <f t="shared" si="10"/>
        <v>3.2449600000000189E-3</v>
      </c>
      <c r="S26">
        <f t="shared" si="11"/>
        <v>1.9633200000000461E-3</v>
      </c>
      <c r="U26" s="7">
        <f t="shared" si="12"/>
        <v>3.436703E-2</v>
      </c>
      <c r="V26" s="7">
        <f t="shared" si="13"/>
        <v>2.4504560000000002E-2</v>
      </c>
      <c r="W26" s="7">
        <f t="shared" si="14"/>
        <v>6.7091960000000006E-2</v>
      </c>
      <c r="X26" s="7">
        <f t="shared" si="15"/>
        <v>-3.2844730000000003E-2</v>
      </c>
      <c r="Y26" s="8">
        <f t="shared" si="16"/>
        <v>2.4190935001017082</v>
      </c>
      <c r="Z26" s="8">
        <f t="shared" si="17"/>
        <v>4.2839919034295688</v>
      </c>
      <c r="AA26" s="8">
        <f t="shared" si="18"/>
        <v>35.489828225737291</v>
      </c>
      <c r="AB26" s="8">
        <f t="shared" si="19"/>
        <v>35.496318185737294</v>
      </c>
    </row>
    <row r="27" spans="1:28" x14ac:dyDescent="0.25">
      <c r="A27">
        <v>25</v>
      </c>
      <c r="B27">
        <v>180</v>
      </c>
      <c r="C27">
        <v>15</v>
      </c>
      <c r="D27">
        <v>-0.34917508000000003</v>
      </c>
      <c r="E27">
        <v>-0.35612507999999998</v>
      </c>
      <c r="F27">
        <v>6.9499899999999996E-3</v>
      </c>
      <c r="G27">
        <v>0.62911490000000003</v>
      </c>
      <c r="H27">
        <v>0.63139500000000004</v>
      </c>
      <c r="I27">
        <v>-2.28006E-3</v>
      </c>
      <c r="J27">
        <v>4.6398200000000001E-2</v>
      </c>
      <c r="K27">
        <v>5.536133E-2</v>
      </c>
      <c r="L27">
        <v>-8.9631299999999997E-3</v>
      </c>
      <c r="M27">
        <v>2.9123050000000001E-2</v>
      </c>
      <c r="N27">
        <v>-3.6697750000000001E-2</v>
      </c>
      <c r="O27">
        <v>6.5820799999999999E-2</v>
      </c>
      <c r="R27">
        <f t="shared" si="10"/>
        <v>3.4749999999999781E-3</v>
      </c>
      <c r="S27">
        <f t="shared" si="11"/>
        <v>-1.1400500000000036E-3</v>
      </c>
      <c r="U27" s="7">
        <f t="shared" si="12"/>
        <v>4.6398200000000001E-2</v>
      </c>
      <c r="V27" s="7">
        <f t="shared" si="13"/>
        <v>2.9123050000000001E-2</v>
      </c>
      <c r="W27" s="7">
        <f t="shared" si="14"/>
        <v>5.536133E-2</v>
      </c>
      <c r="X27" s="7">
        <f t="shared" si="15"/>
        <v>-3.6697750000000001E-2</v>
      </c>
      <c r="Y27" s="8">
        <f t="shared" si="16"/>
        <v>3.1402852966518933</v>
      </c>
      <c r="Z27" s="8">
        <f t="shared" si="17"/>
        <v>3.8083830273937989</v>
      </c>
      <c r="AA27" s="8">
        <f t="shared" si="18"/>
        <v>32.11551761917616</v>
      </c>
      <c r="AB27" s="8">
        <f t="shared" si="19"/>
        <v>32.122467609176162</v>
      </c>
    </row>
    <row r="28" spans="1:28" x14ac:dyDescent="0.25">
      <c r="A28">
        <v>26</v>
      </c>
      <c r="B28">
        <v>202.5</v>
      </c>
      <c r="C28">
        <v>15</v>
      </c>
      <c r="D28">
        <v>-0.34691319999999998</v>
      </c>
      <c r="E28">
        <v>-0.35402368000000001</v>
      </c>
      <c r="F28">
        <v>7.1104499999999999E-3</v>
      </c>
      <c r="G28">
        <v>0.62199990000000005</v>
      </c>
      <c r="H28">
        <v>0.62295515999999995</v>
      </c>
      <c r="I28">
        <v>-9.5522000000000001E-4</v>
      </c>
      <c r="J28">
        <v>5.9353419999999997E-2</v>
      </c>
      <c r="K28">
        <v>4.2205230000000003E-2</v>
      </c>
      <c r="L28">
        <v>1.7148179999999999E-2</v>
      </c>
      <c r="M28">
        <v>2.7937139999999999E-2</v>
      </c>
      <c r="N28">
        <v>-3.5902940000000001E-2</v>
      </c>
      <c r="O28">
        <v>6.3840079999999993E-2</v>
      </c>
      <c r="R28">
        <f t="shared" si="10"/>
        <v>3.5552400000000151E-3</v>
      </c>
      <c r="S28">
        <f t="shared" si="11"/>
        <v>-4.7762999999995115E-4</v>
      </c>
      <c r="U28" s="7">
        <f t="shared" si="12"/>
        <v>5.9353419999999997E-2</v>
      </c>
      <c r="V28" s="7">
        <f t="shared" si="13"/>
        <v>2.7937139999999999E-2</v>
      </c>
      <c r="W28" s="7">
        <f t="shared" si="14"/>
        <v>4.2205230000000003E-2</v>
      </c>
      <c r="X28" s="7">
        <f t="shared" si="15"/>
        <v>-3.5902940000000001E-2</v>
      </c>
      <c r="Y28" s="8">
        <f t="shared" si="16"/>
        <v>3.7612832455912617</v>
      </c>
      <c r="Z28" s="8">
        <f t="shared" si="17"/>
        <v>3.1764037851411588</v>
      </c>
      <c r="AA28" s="8">
        <f t="shared" si="18"/>
        <v>25.205959249155011</v>
      </c>
      <c r="AB28" s="8">
        <f t="shared" si="19"/>
        <v>25.21306969915501</v>
      </c>
    </row>
    <row r="29" spans="1:28" x14ac:dyDescent="0.25">
      <c r="A29">
        <v>27</v>
      </c>
      <c r="B29">
        <v>225</v>
      </c>
      <c r="C29">
        <v>15</v>
      </c>
      <c r="D29">
        <v>-0.34885667999999997</v>
      </c>
      <c r="E29">
        <v>-0.3528133</v>
      </c>
      <c r="F29">
        <v>3.9566499999999999E-3</v>
      </c>
      <c r="G29">
        <v>0.62125651999999998</v>
      </c>
      <c r="H29">
        <v>0.62752324000000004</v>
      </c>
      <c r="I29">
        <v>-6.26671E-3</v>
      </c>
      <c r="J29">
        <v>7.1056320000000006E-2</v>
      </c>
      <c r="K29">
        <v>3.0419270000000002E-2</v>
      </c>
      <c r="L29">
        <v>4.0637039999999999E-2</v>
      </c>
      <c r="M29">
        <v>2.214437E-2</v>
      </c>
      <c r="N29">
        <v>-3.0109859999999999E-2</v>
      </c>
      <c r="O29">
        <v>5.225424E-2</v>
      </c>
      <c r="R29">
        <f t="shared" si="10"/>
        <v>1.9783100000000109E-3</v>
      </c>
      <c r="S29">
        <f t="shared" si="11"/>
        <v>-3.1333600000000295E-3</v>
      </c>
      <c r="U29" s="7">
        <f t="shared" si="12"/>
        <v>7.1056320000000006E-2</v>
      </c>
      <c r="V29" s="7">
        <f t="shared" si="13"/>
        <v>2.214437E-2</v>
      </c>
      <c r="W29" s="7">
        <f t="shared" si="14"/>
        <v>3.0419270000000002E-2</v>
      </c>
      <c r="X29" s="7">
        <f t="shared" si="15"/>
        <v>-3.0109859999999999E-2</v>
      </c>
      <c r="Y29" s="8">
        <f t="shared" si="16"/>
        <v>4.2682980321541502</v>
      </c>
      <c r="Z29" s="8">
        <f t="shared" si="17"/>
        <v>2.4530727570867716</v>
      </c>
      <c r="AA29" s="8">
        <f t="shared" si="18"/>
        <v>17.309401257949563</v>
      </c>
      <c r="AB29" s="8">
        <f t="shared" si="19"/>
        <v>17.313357907949563</v>
      </c>
    </row>
    <row r="30" spans="1:28" x14ac:dyDescent="0.25">
      <c r="A30">
        <v>28</v>
      </c>
      <c r="B30">
        <v>247.5</v>
      </c>
      <c r="C30">
        <v>15</v>
      </c>
      <c r="D30">
        <v>-0.34540272</v>
      </c>
      <c r="E30">
        <v>-0.34711944</v>
      </c>
      <c r="F30">
        <v>1.7167300000000001E-3</v>
      </c>
      <c r="G30">
        <v>0.61065550000000002</v>
      </c>
      <c r="H30">
        <v>0.62005270000000001</v>
      </c>
      <c r="I30">
        <v>-9.3972099999999996E-3</v>
      </c>
      <c r="J30">
        <v>7.9234079999999998E-2</v>
      </c>
      <c r="K30">
        <v>2.190077E-2</v>
      </c>
      <c r="L30">
        <v>5.7333309999999998E-2</v>
      </c>
      <c r="M30">
        <v>1.226006E-2</v>
      </c>
      <c r="N30">
        <v>-2.036309E-2</v>
      </c>
      <c r="O30">
        <v>3.2623159999999998E-2</v>
      </c>
      <c r="R30">
        <f t="shared" si="10"/>
        <v>8.5836000000000245E-4</v>
      </c>
      <c r="S30">
        <f t="shared" si="11"/>
        <v>-4.6985999999999972E-3</v>
      </c>
      <c r="U30" s="7">
        <f t="shared" si="12"/>
        <v>7.9234079999999998E-2</v>
      </c>
      <c r="V30" s="7">
        <f t="shared" si="13"/>
        <v>1.226006E-2</v>
      </c>
      <c r="W30" s="7">
        <f t="shared" si="14"/>
        <v>2.190077E-2</v>
      </c>
      <c r="X30" s="7">
        <f t="shared" si="15"/>
        <v>-2.036309E-2</v>
      </c>
      <c r="Y30" s="8">
        <f t="shared" si="16"/>
        <v>4.5987387578233996</v>
      </c>
      <c r="Z30" s="8">
        <f t="shared" si="17"/>
        <v>1.7136763248737543</v>
      </c>
      <c r="AA30" s="8">
        <f t="shared" si="18"/>
        <v>8.7957460743448799</v>
      </c>
      <c r="AB30" s="8">
        <f t="shared" si="19"/>
        <v>8.7974628043448799</v>
      </c>
    </row>
    <row r="31" spans="1:28" x14ac:dyDescent="0.25">
      <c r="A31">
        <v>29</v>
      </c>
      <c r="B31">
        <v>270</v>
      </c>
      <c r="C31">
        <v>15</v>
      </c>
      <c r="D31">
        <v>-0.3448</v>
      </c>
      <c r="E31">
        <v>-0.347553</v>
      </c>
      <c r="F31">
        <v>2.7529899999999999E-3</v>
      </c>
      <c r="G31">
        <v>0.61096170000000005</v>
      </c>
      <c r="H31">
        <v>0.62210584000000002</v>
      </c>
      <c r="I31">
        <v>-1.114416E-2</v>
      </c>
      <c r="J31">
        <v>8.3388660000000003E-2</v>
      </c>
      <c r="K31">
        <v>1.847182E-2</v>
      </c>
      <c r="L31">
        <v>6.4916840000000003E-2</v>
      </c>
      <c r="M31">
        <v>-8.8179999999999999E-5</v>
      </c>
      <c r="N31">
        <v>-7.8771299999999995E-3</v>
      </c>
      <c r="O31">
        <v>7.7889500000000002E-3</v>
      </c>
      <c r="R31">
        <f t="shared" si="10"/>
        <v>1.3765000000000027E-3</v>
      </c>
      <c r="S31">
        <f t="shared" si="11"/>
        <v>-5.5720699999999845E-3</v>
      </c>
      <c r="U31" s="7">
        <f t="shared" si="12"/>
        <v>8.3388660000000003E-2</v>
      </c>
      <c r="V31" s="7">
        <f t="shared" si="13"/>
        <v>-8.8179999999999999E-5</v>
      </c>
      <c r="W31" s="7">
        <f t="shared" si="14"/>
        <v>1.847182E-2</v>
      </c>
      <c r="X31" s="7">
        <f t="shared" si="15"/>
        <v>-7.8771299999999995E-3</v>
      </c>
      <c r="Y31" s="8">
        <f t="shared" si="16"/>
        <v>4.783375584286973</v>
      </c>
      <c r="Z31" s="8">
        <f t="shared" si="17"/>
        <v>1.1506492280991698</v>
      </c>
      <c r="AA31" s="8">
        <f t="shared" si="18"/>
        <v>359.93941214603689</v>
      </c>
      <c r="AB31" s="8">
        <f t="shared" si="19"/>
        <v>359.94216513603686</v>
      </c>
    </row>
    <row r="32" spans="1:28" x14ac:dyDescent="0.25">
      <c r="A32">
        <v>30</v>
      </c>
      <c r="B32">
        <v>292.5</v>
      </c>
      <c r="C32">
        <v>15</v>
      </c>
      <c r="D32">
        <v>-0.34919159999999999</v>
      </c>
      <c r="E32">
        <v>-0.34947223999999999</v>
      </c>
      <c r="F32">
        <v>2.8065000000000002E-4</v>
      </c>
      <c r="G32">
        <v>0.61512215999999997</v>
      </c>
      <c r="H32">
        <v>0.61924447999999999</v>
      </c>
      <c r="I32">
        <v>-4.1223199999999996E-3</v>
      </c>
      <c r="J32">
        <v>8.1986900000000001E-2</v>
      </c>
      <c r="K32">
        <v>1.9674210000000001E-2</v>
      </c>
      <c r="L32">
        <v>6.2312699999999999E-2</v>
      </c>
      <c r="M32">
        <v>-1.295396E-2</v>
      </c>
      <c r="N32">
        <v>4.7238499999999999E-3</v>
      </c>
      <c r="O32">
        <v>-1.7677809999999999E-2</v>
      </c>
      <c r="R32">
        <f t="shared" si="10"/>
        <v>1.4031999999999933E-4</v>
      </c>
      <c r="S32">
        <f t="shared" si="11"/>
        <v>-2.0611600000000063E-3</v>
      </c>
      <c r="U32" s="7">
        <f t="shared" si="12"/>
        <v>8.1986900000000001E-2</v>
      </c>
      <c r="V32" s="7">
        <f t="shared" si="13"/>
        <v>-1.295396E-2</v>
      </c>
      <c r="W32" s="7">
        <f t="shared" si="14"/>
        <v>1.9674210000000001E-2</v>
      </c>
      <c r="X32" s="7">
        <f t="shared" si="15"/>
        <v>4.7238499999999999E-3</v>
      </c>
      <c r="Y32" s="8">
        <f t="shared" si="16"/>
        <v>4.7612543550486359</v>
      </c>
      <c r="Z32" s="8">
        <f t="shared" si="17"/>
        <v>1.1593658723575577</v>
      </c>
      <c r="AA32" s="8">
        <f t="shared" si="18"/>
        <v>351.02146873091016</v>
      </c>
      <c r="AB32" s="8">
        <f t="shared" si="19"/>
        <v>351.02174938091014</v>
      </c>
    </row>
    <row r="33" spans="1:28" x14ac:dyDescent="0.25">
      <c r="A33">
        <v>31</v>
      </c>
      <c r="B33">
        <v>315</v>
      </c>
      <c r="C33">
        <v>15</v>
      </c>
      <c r="D33">
        <v>-0.3486861</v>
      </c>
      <c r="E33">
        <v>-0.34618330000000003</v>
      </c>
      <c r="F33">
        <v>-2.5027999999999999E-3</v>
      </c>
      <c r="G33">
        <v>0.61487219999999998</v>
      </c>
      <c r="H33">
        <v>0.62080263999999996</v>
      </c>
      <c r="I33">
        <v>-5.9304199999999996E-3</v>
      </c>
      <c r="J33">
        <v>7.6448710000000003E-2</v>
      </c>
      <c r="K33">
        <v>2.5888810000000002E-2</v>
      </c>
      <c r="L33">
        <v>5.0559899999999998E-2</v>
      </c>
      <c r="M33">
        <v>-2.461114E-2</v>
      </c>
      <c r="N33">
        <v>1.6580270000000001E-2</v>
      </c>
      <c r="O33">
        <v>-4.1191409999999998E-2</v>
      </c>
      <c r="R33">
        <f t="shared" si="10"/>
        <v>-1.2513999999999859E-3</v>
      </c>
      <c r="S33">
        <f t="shared" si="11"/>
        <v>-2.9652199999999906E-3</v>
      </c>
      <c r="U33" s="7">
        <f t="shared" si="12"/>
        <v>7.6448710000000003E-2</v>
      </c>
      <c r="V33" s="7">
        <f t="shared" si="13"/>
        <v>-2.461114E-2</v>
      </c>
      <c r="W33" s="7">
        <f t="shared" si="14"/>
        <v>2.5888810000000002E-2</v>
      </c>
      <c r="X33" s="7">
        <f t="shared" si="15"/>
        <v>1.6580270000000001E-2</v>
      </c>
      <c r="Y33" s="8">
        <f t="shared" si="16"/>
        <v>4.6065341255490395</v>
      </c>
      <c r="Z33" s="8">
        <f t="shared" si="17"/>
        <v>1.7617252649060753</v>
      </c>
      <c r="AA33" s="8">
        <f t="shared" si="18"/>
        <v>342.15507083834592</v>
      </c>
      <c r="AB33" s="8">
        <f t="shared" si="19"/>
        <v>342.15256803834592</v>
      </c>
    </row>
    <row r="34" spans="1:28" x14ac:dyDescent="0.25">
      <c r="A34">
        <v>32</v>
      </c>
      <c r="B34">
        <v>337.5</v>
      </c>
      <c r="C34">
        <v>15</v>
      </c>
      <c r="D34">
        <v>-0.34826812000000001</v>
      </c>
      <c r="E34">
        <v>-0.34360447999999999</v>
      </c>
      <c r="F34">
        <v>-4.6636500000000001E-3</v>
      </c>
      <c r="G34">
        <v>0.61547719999999995</v>
      </c>
      <c r="H34">
        <v>0.61910904</v>
      </c>
      <c r="I34">
        <v>-3.63183E-3</v>
      </c>
      <c r="J34">
        <v>6.6610890000000006E-2</v>
      </c>
      <c r="K34">
        <v>3.4997109999999998E-2</v>
      </c>
      <c r="L34">
        <v>3.1613780000000001E-2</v>
      </c>
      <c r="M34">
        <v>-3.2990499999999999E-2</v>
      </c>
      <c r="N34">
        <v>2.4876820000000001E-2</v>
      </c>
      <c r="O34">
        <v>-5.786732E-2</v>
      </c>
      <c r="R34">
        <f t="shared" si="10"/>
        <v>-2.3318200000000122E-3</v>
      </c>
      <c r="S34">
        <f t="shared" si="11"/>
        <v>-1.8159200000000264E-3</v>
      </c>
      <c r="U34" s="7">
        <f t="shared" si="12"/>
        <v>6.6610890000000006E-2</v>
      </c>
      <c r="V34" s="7">
        <f t="shared" si="13"/>
        <v>-3.2990499999999999E-2</v>
      </c>
      <c r="W34" s="7">
        <f t="shared" si="14"/>
        <v>3.4997109999999998E-2</v>
      </c>
      <c r="X34" s="7">
        <f t="shared" si="15"/>
        <v>2.4876820000000001E-2</v>
      </c>
      <c r="Y34" s="8">
        <f t="shared" si="16"/>
        <v>4.2628947397230395</v>
      </c>
      <c r="Z34" s="8">
        <f t="shared" si="17"/>
        <v>2.460910769704344</v>
      </c>
      <c r="AA34" s="8">
        <f t="shared" si="18"/>
        <v>333.65207998668802</v>
      </c>
      <c r="AB34" s="8">
        <f t="shared" si="19"/>
        <v>333.64741633668802</v>
      </c>
    </row>
    <row r="42" spans="1:28" x14ac:dyDescent="0.25"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M42" t="s">
        <v>8</v>
      </c>
      <c r="N42" t="s">
        <v>9</v>
      </c>
      <c r="O42" t="s">
        <v>10</v>
      </c>
      <c r="P42" t="s">
        <v>11</v>
      </c>
      <c r="Q42" t="s">
        <v>12</v>
      </c>
      <c r="R42" t="s">
        <v>13</v>
      </c>
    </row>
    <row r="43" spans="1:28" x14ac:dyDescent="0.25">
      <c r="B43">
        <v>0</v>
      </c>
      <c r="C43">
        <v>14</v>
      </c>
      <c r="D43">
        <v>-0.35198220000000002</v>
      </c>
      <c r="E43">
        <v>-0.34623930000000003</v>
      </c>
      <c r="F43">
        <v>-5.7428799999999997E-3</v>
      </c>
      <c r="G43">
        <v>0.6306214</v>
      </c>
      <c r="H43">
        <v>0.63132149999999998</v>
      </c>
      <c r="I43">
        <v>-7.0012000000000004E-4</v>
      </c>
      <c r="M43">
        <v>5.4160510000000002E-2</v>
      </c>
      <c r="N43">
        <v>4.6611329999999999E-2</v>
      </c>
      <c r="O43">
        <v>7.54918E-3</v>
      </c>
      <c r="P43">
        <v>-3.6962719999999998E-2</v>
      </c>
      <c r="Q43">
        <v>2.894828E-2</v>
      </c>
      <c r="R43">
        <v>-6.5910999999999997E-2</v>
      </c>
    </row>
    <row r="44" spans="1:28" x14ac:dyDescent="0.25">
      <c r="B44">
        <v>22.5</v>
      </c>
      <c r="C44">
        <v>23</v>
      </c>
      <c r="D44">
        <v>-0.34862828000000001</v>
      </c>
      <c r="E44">
        <v>-0.34257608000000001</v>
      </c>
      <c r="F44">
        <v>-6.0522299999999996E-3</v>
      </c>
      <c r="G44">
        <v>0.61766299999999996</v>
      </c>
      <c r="H44">
        <v>0.61594344000000001</v>
      </c>
      <c r="I44">
        <v>1.71959E-3</v>
      </c>
      <c r="M44">
        <v>4.1209339999999997E-2</v>
      </c>
      <c r="N44">
        <v>5.9233929999999997E-2</v>
      </c>
      <c r="O44">
        <v>-1.802459E-2</v>
      </c>
      <c r="P44">
        <v>-3.6151389999999999E-2</v>
      </c>
      <c r="Q44">
        <v>2.779297E-2</v>
      </c>
      <c r="R44">
        <v>-6.3944360000000006E-2</v>
      </c>
    </row>
    <row r="45" spans="1:28" x14ac:dyDescent="0.25">
      <c r="B45">
        <v>45</v>
      </c>
      <c r="C45">
        <v>7</v>
      </c>
      <c r="D45">
        <v>-0.34687852000000002</v>
      </c>
      <c r="E45">
        <v>-0.34162140000000002</v>
      </c>
      <c r="F45">
        <v>-5.2571299999999996E-3</v>
      </c>
      <c r="G45">
        <v>0.61750704000000001</v>
      </c>
      <c r="H45">
        <v>0.61707849999999997</v>
      </c>
      <c r="I45">
        <v>4.2855999999999998E-4</v>
      </c>
      <c r="M45">
        <v>2.981201E-2</v>
      </c>
      <c r="N45">
        <v>7.0484439999999995E-2</v>
      </c>
      <c r="O45">
        <v>-4.0672430000000002E-2</v>
      </c>
      <c r="P45">
        <v>-3.0346680000000001E-2</v>
      </c>
      <c r="Q45">
        <v>2.2033690000000002E-2</v>
      </c>
      <c r="R45">
        <v>-5.2380370000000002E-2</v>
      </c>
    </row>
    <row r="46" spans="1:28" x14ac:dyDescent="0.25">
      <c r="B46">
        <v>67.5</v>
      </c>
      <c r="C46">
        <v>13</v>
      </c>
      <c r="D46">
        <v>-0.35008460000000002</v>
      </c>
      <c r="E46">
        <v>-0.34887689999999999</v>
      </c>
      <c r="F46">
        <v>-1.2077100000000001E-3</v>
      </c>
      <c r="G46">
        <v>0.62616539999999998</v>
      </c>
      <c r="H46">
        <v>0.61924230000000002</v>
      </c>
      <c r="I46">
        <v>6.9230799999999999E-3</v>
      </c>
      <c r="M46">
        <v>2.1467090000000001E-2</v>
      </c>
      <c r="N46">
        <v>7.8837320000000002E-2</v>
      </c>
      <c r="O46">
        <v>-5.7370230000000001E-2</v>
      </c>
      <c r="P46">
        <v>-2.0487160000000001E-2</v>
      </c>
      <c r="Q46">
        <v>1.2478589999999999E-2</v>
      </c>
      <c r="R46">
        <v>-3.2965750000000002E-2</v>
      </c>
    </row>
    <row r="47" spans="1:28" x14ac:dyDescent="0.25">
      <c r="B47">
        <v>90</v>
      </c>
      <c r="C47">
        <v>13</v>
      </c>
      <c r="D47">
        <v>-0.33920383999999998</v>
      </c>
      <c r="E47">
        <v>-0.3372115</v>
      </c>
      <c r="F47">
        <v>-1.99234E-3</v>
      </c>
      <c r="G47">
        <v>0.60936920000000006</v>
      </c>
      <c r="H47">
        <v>0.59633069999999999</v>
      </c>
      <c r="I47">
        <v>1.303852E-2</v>
      </c>
      <c r="M47">
        <v>1.6961759999999999E-2</v>
      </c>
      <c r="N47">
        <v>8.3099649999999997E-2</v>
      </c>
      <c r="O47">
        <v>-6.6137879999999996E-2</v>
      </c>
      <c r="P47">
        <v>-8.7009800000000005E-3</v>
      </c>
      <c r="Q47">
        <v>-3.0611000000000001E-4</v>
      </c>
      <c r="R47">
        <v>-8.3948700000000005E-3</v>
      </c>
    </row>
    <row r="48" spans="1:28" x14ac:dyDescent="0.25">
      <c r="B48">
        <v>112.5</v>
      </c>
      <c r="C48">
        <v>15</v>
      </c>
      <c r="D48">
        <v>-0.34447336000000001</v>
      </c>
      <c r="E48">
        <v>-0.34496004000000002</v>
      </c>
      <c r="F48">
        <v>4.8666999999999997E-4</v>
      </c>
      <c r="G48">
        <v>0.61437668000000001</v>
      </c>
      <c r="H48">
        <v>0.60956323999999995</v>
      </c>
      <c r="I48">
        <v>4.8134299999999996E-3</v>
      </c>
      <c r="M48">
        <v>1.806348E-2</v>
      </c>
      <c r="N48">
        <v>8.1806799999999999E-2</v>
      </c>
      <c r="O48">
        <v>-6.3743320000000006E-2</v>
      </c>
      <c r="P48">
        <v>4.4475900000000004E-3</v>
      </c>
      <c r="Q48">
        <v>-1.278337E-2</v>
      </c>
      <c r="R48">
        <v>1.723096E-2</v>
      </c>
    </row>
    <row r="49" spans="2:18" x14ac:dyDescent="0.25">
      <c r="B49">
        <v>135</v>
      </c>
      <c r="C49">
        <v>12</v>
      </c>
      <c r="D49">
        <v>-0.35220415999999999</v>
      </c>
      <c r="E49">
        <v>-0.35767090000000001</v>
      </c>
      <c r="F49">
        <v>5.4667300000000004E-3</v>
      </c>
      <c r="G49">
        <v>0.63459569999999998</v>
      </c>
      <c r="H49">
        <v>0.62979160000000001</v>
      </c>
      <c r="I49">
        <v>4.8040699999999997E-3</v>
      </c>
      <c r="M49">
        <v>2.4365029999999999E-2</v>
      </c>
      <c r="N49">
        <v>7.7008270000000004E-2</v>
      </c>
      <c r="O49">
        <v>-5.2643240000000001E-2</v>
      </c>
      <c r="P49">
        <v>1.6349490000000001E-2</v>
      </c>
      <c r="Q49">
        <v>-2.4266360000000001E-2</v>
      </c>
      <c r="R49">
        <v>4.061584E-2</v>
      </c>
    </row>
    <row r="50" spans="2:18" x14ac:dyDescent="0.25">
      <c r="B50">
        <v>157.5</v>
      </c>
      <c r="C50">
        <v>11</v>
      </c>
      <c r="D50">
        <v>-0.34700908000000003</v>
      </c>
      <c r="E50">
        <v>-0.35517729999999997</v>
      </c>
      <c r="F50">
        <v>8.1682500000000002E-3</v>
      </c>
      <c r="G50">
        <v>0.62863179999999996</v>
      </c>
      <c r="H50">
        <v>0.63029531999999999</v>
      </c>
      <c r="I50">
        <v>-1.6635700000000001E-3</v>
      </c>
      <c r="M50">
        <v>3.3534050000000003E-2</v>
      </c>
      <c r="N50">
        <v>6.6936700000000002E-2</v>
      </c>
      <c r="O50">
        <v>-3.3402660000000001E-2</v>
      </c>
      <c r="P50">
        <v>2.476163E-2</v>
      </c>
      <c r="Q50">
        <v>-3.2778099999999998E-2</v>
      </c>
      <c r="R50">
        <v>5.7539729999999997E-2</v>
      </c>
    </row>
    <row r="51" spans="2:18" x14ac:dyDescent="0.25">
      <c r="B51">
        <v>180</v>
      </c>
      <c r="C51">
        <v>10</v>
      </c>
      <c r="D51">
        <v>-0.34359496</v>
      </c>
      <c r="E51">
        <v>-0.35348503999999997</v>
      </c>
      <c r="F51">
        <v>9.8900800000000007E-3</v>
      </c>
      <c r="G51">
        <v>0.61596490000000004</v>
      </c>
      <c r="H51">
        <v>0.62251000000000001</v>
      </c>
      <c r="I51">
        <v>-6.5451299999999997E-3</v>
      </c>
      <c r="M51">
        <v>4.5970209999999997E-2</v>
      </c>
      <c r="N51">
        <v>5.4636959999999998E-2</v>
      </c>
      <c r="O51">
        <v>-8.6667500000000008E-3</v>
      </c>
      <c r="P51">
        <v>2.875952E-2</v>
      </c>
      <c r="Q51">
        <v>-3.7125489999999997E-2</v>
      </c>
      <c r="R51">
        <v>6.5885009999999994E-2</v>
      </c>
    </row>
    <row r="52" spans="2:18" x14ac:dyDescent="0.25">
      <c r="B52">
        <v>202.5</v>
      </c>
      <c r="C52">
        <v>14</v>
      </c>
      <c r="D52">
        <v>-0.34421064000000001</v>
      </c>
      <c r="E52">
        <v>-0.3505393</v>
      </c>
      <c r="F52">
        <v>6.32864E-3</v>
      </c>
      <c r="G52">
        <v>0.61692491999999999</v>
      </c>
      <c r="H52">
        <v>0.61830350000000001</v>
      </c>
      <c r="I52">
        <v>-1.3785399999999999E-3</v>
      </c>
      <c r="M52">
        <v>5.8602120000000001E-2</v>
      </c>
      <c r="N52">
        <v>4.1759909999999997E-2</v>
      </c>
      <c r="O52">
        <v>1.6842220000000001E-2</v>
      </c>
      <c r="P52">
        <v>2.773577E-2</v>
      </c>
      <c r="Q52">
        <v>-3.6019290000000002E-2</v>
      </c>
      <c r="R52">
        <v>6.3755060000000002E-2</v>
      </c>
    </row>
    <row r="53" spans="2:18" x14ac:dyDescent="0.25">
      <c r="B53">
        <v>225</v>
      </c>
      <c r="C53">
        <v>18</v>
      </c>
      <c r="D53">
        <v>-0.34359719999999999</v>
      </c>
      <c r="E53">
        <v>-0.35026668</v>
      </c>
      <c r="F53">
        <v>6.6694600000000003E-3</v>
      </c>
      <c r="G53">
        <v>0.6117861</v>
      </c>
      <c r="H53">
        <v>0.61971670000000001</v>
      </c>
      <c r="I53">
        <v>-7.9305799999999996E-3</v>
      </c>
      <c r="M53">
        <v>7.037815E-2</v>
      </c>
      <c r="N53">
        <v>3.0279819999999999E-2</v>
      </c>
      <c r="O53">
        <v>4.0098330000000001E-2</v>
      </c>
      <c r="P53">
        <v>2.2001409999999999E-2</v>
      </c>
      <c r="Q53">
        <v>-3.0276290000000001E-2</v>
      </c>
      <c r="R53">
        <v>5.2277700000000003E-2</v>
      </c>
    </row>
    <row r="54" spans="2:18" x14ac:dyDescent="0.25">
      <c r="B54">
        <v>247.5</v>
      </c>
      <c r="C54">
        <v>15</v>
      </c>
      <c r="D54">
        <v>-0.34606332000000001</v>
      </c>
      <c r="E54">
        <v>-0.3514467</v>
      </c>
      <c r="F54">
        <v>5.3833700000000002E-3</v>
      </c>
      <c r="G54">
        <v>0.61746330000000005</v>
      </c>
      <c r="H54">
        <v>0.62372329999999998</v>
      </c>
      <c r="I54">
        <v>-6.2600399999999997E-3</v>
      </c>
      <c r="M54">
        <v>7.897332E-2</v>
      </c>
      <c r="N54">
        <v>2.1966309999999999E-2</v>
      </c>
      <c r="O54">
        <v>5.7007009999999997E-2</v>
      </c>
      <c r="P54">
        <v>1.2192059999999999E-2</v>
      </c>
      <c r="Q54">
        <v>-2.0391599999999999E-2</v>
      </c>
      <c r="R54">
        <v>3.258366E-2</v>
      </c>
    </row>
    <row r="55" spans="2:18" x14ac:dyDescent="0.25">
      <c r="B55">
        <v>270</v>
      </c>
      <c r="C55">
        <v>12</v>
      </c>
      <c r="D55">
        <v>-0.34322503999999998</v>
      </c>
      <c r="E55">
        <v>-0.34492919999999999</v>
      </c>
      <c r="F55">
        <v>1.7041599999999999E-3</v>
      </c>
      <c r="G55">
        <v>0.61064160000000001</v>
      </c>
      <c r="H55">
        <v>0.61595829999999996</v>
      </c>
      <c r="I55">
        <v>-5.3166699999999999E-3</v>
      </c>
      <c r="M55">
        <v>8.2442630000000003E-2</v>
      </c>
      <c r="N55">
        <v>1.781657E-2</v>
      </c>
      <c r="O55">
        <v>6.4626050000000004E-2</v>
      </c>
      <c r="P55">
        <v>-9.3179999999999999E-5</v>
      </c>
      <c r="Q55">
        <v>-8.1593800000000008E-3</v>
      </c>
      <c r="R55">
        <v>8.0662000000000008E-3</v>
      </c>
    </row>
    <row r="56" spans="2:18" x14ac:dyDescent="0.25">
      <c r="B56">
        <v>292.5</v>
      </c>
      <c r="C56">
        <v>12</v>
      </c>
      <c r="D56">
        <v>-0.35295836000000003</v>
      </c>
      <c r="E56">
        <v>-0.34907500000000002</v>
      </c>
      <c r="F56">
        <v>-3.8833600000000002E-3</v>
      </c>
      <c r="G56">
        <v>0.62794159999999999</v>
      </c>
      <c r="H56">
        <v>0.63491249999999999</v>
      </c>
      <c r="I56">
        <v>-6.9708799999999996E-3</v>
      </c>
      <c r="M56">
        <v>8.2165119999999994E-2</v>
      </c>
      <c r="N56">
        <v>1.893941E-2</v>
      </c>
      <c r="O56">
        <v>6.3225699999999996E-2</v>
      </c>
      <c r="P56">
        <v>-1.2786459999999999E-2</v>
      </c>
      <c r="Q56">
        <v>5.1163700000000003E-3</v>
      </c>
      <c r="R56">
        <v>-1.7902830000000002E-2</v>
      </c>
    </row>
    <row r="57" spans="2:18" x14ac:dyDescent="0.25">
      <c r="B57">
        <v>315</v>
      </c>
      <c r="C57">
        <v>17</v>
      </c>
      <c r="D57">
        <v>-0.35392943999999998</v>
      </c>
      <c r="E57">
        <v>-0.34927348000000003</v>
      </c>
      <c r="F57">
        <v>-4.6559599999999998E-3</v>
      </c>
      <c r="G57">
        <v>0.62407636</v>
      </c>
      <c r="H57">
        <v>0.63118523999999998</v>
      </c>
      <c r="I57">
        <v>-7.1088699999999998E-3</v>
      </c>
      <c r="M57">
        <v>7.642881E-2</v>
      </c>
      <c r="N57">
        <v>2.4992960000000002E-2</v>
      </c>
      <c r="O57">
        <v>5.1435849999999998E-2</v>
      </c>
      <c r="P57">
        <v>-2.4393959999999999E-2</v>
      </c>
      <c r="Q57">
        <v>1.6594100000000001E-2</v>
      </c>
      <c r="R57">
        <v>-4.0988049999999998E-2</v>
      </c>
    </row>
    <row r="58" spans="2:18" x14ac:dyDescent="0.25">
      <c r="B58">
        <v>337.5</v>
      </c>
      <c r="C58">
        <v>16</v>
      </c>
      <c r="D58">
        <v>-0.35330623999999999</v>
      </c>
      <c r="E58">
        <v>-0.35165311999999999</v>
      </c>
      <c r="F58">
        <v>-1.6531E-3</v>
      </c>
      <c r="G58">
        <v>0.62960309999999997</v>
      </c>
      <c r="H58">
        <v>0.63189996000000004</v>
      </c>
      <c r="I58">
        <v>-2.29686E-3</v>
      </c>
      <c r="M58">
        <v>6.6304020000000005E-2</v>
      </c>
      <c r="N58">
        <v>3.4606930000000001E-2</v>
      </c>
      <c r="O58">
        <v>3.1697089999999997E-2</v>
      </c>
      <c r="P58">
        <v>-3.2574470000000001E-2</v>
      </c>
      <c r="Q58">
        <v>2.490997E-2</v>
      </c>
      <c r="R58">
        <v>-5.7484439999999998E-2</v>
      </c>
    </row>
    <row r="59" spans="2:18" x14ac:dyDescent="0.25">
      <c r="B59">
        <v>0</v>
      </c>
      <c r="C59">
        <v>18</v>
      </c>
      <c r="D59">
        <v>-0.35379443999999999</v>
      </c>
      <c r="E59">
        <v>-0.34684164000000001</v>
      </c>
      <c r="F59">
        <v>-6.9527900000000004E-3</v>
      </c>
      <c r="G59">
        <v>0.62485000000000002</v>
      </c>
      <c r="H59">
        <v>0.62329159999999995</v>
      </c>
      <c r="I59">
        <v>1.55836E-3</v>
      </c>
      <c r="M59">
        <v>5.4692240000000003E-2</v>
      </c>
      <c r="N59">
        <v>4.8260360000000002E-2</v>
      </c>
      <c r="O59">
        <v>6.4318800000000001E-3</v>
      </c>
      <c r="P59">
        <v>-3.6931970000000001E-2</v>
      </c>
      <c r="Q59">
        <v>2.883138E-2</v>
      </c>
      <c r="R59">
        <v>-6.5763360000000007E-2</v>
      </c>
    </row>
    <row r="60" spans="2:18" x14ac:dyDescent="0.25">
      <c r="B60">
        <v>22.5</v>
      </c>
      <c r="C60">
        <v>16</v>
      </c>
      <c r="D60">
        <v>-0.35321871999999999</v>
      </c>
      <c r="E60">
        <v>-0.34892499999999999</v>
      </c>
      <c r="F60">
        <v>-4.2937399999999999E-3</v>
      </c>
      <c r="G60">
        <v>0.63301870000000005</v>
      </c>
      <c r="H60">
        <v>0.63021870000000002</v>
      </c>
      <c r="I60">
        <v>2.79999E-3</v>
      </c>
      <c r="M60">
        <v>4.1418919999999998E-2</v>
      </c>
      <c r="N60">
        <v>6.0484919999999998E-2</v>
      </c>
      <c r="O60">
        <v>-1.9066010000000001E-2</v>
      </c>
      <c r="P60">
        <v>-3.5903780000000003E-2</v>
      </c>
      <c r="Q60">
        <v>2.7857969999999999E-2</v>
      </c>
      <c r="R60">
        <v>-6.3761750000000006E-2</v>
      </c>
    </row>
    <row r="61" spans="2:18" x14ac:dyDescent="0.25">
      <c r="B61">
        <v>45</v>
      </c>
      <c r="C61">
        <v>17</v>
      </c>
      <c r="D61">
        <v>-0.35573529999999998</v>
      </c>
      <c r="E61">
        <v>-0.35038829999999999</v>
      </c>
      <c r="F61">
        <v>-5.3470100000000001E-3</v>
      </c>
      <c r="G61">
        <v>0.62792060000000005</v>
      </c>
      <c r="H61">
        <v>0.62532339999999997</v>
      </c>
      <c r="I61">
        <v>2.59721E-3</v>
      </c>
      <c r="M61">
        <v>2.987979E-2</v>
      </c>
      <c r="N61">
        <v>7.1036600000000005E-2</v>
      </c>
      <c r="O61">
        <v>-4.1156810000000002E-2</v>
      </c>
      <c r="P61">
        <v>-3.0273290000000001E-2</v>
      </c>
      <c r="Q61">
        <v>2.219281E-2</v>
      </c>
      <c r="R61">
        <v>-5.2466110000000003E-2</v>
      </c>
    </row>
    <row r="62" spans="2:18" x14ac:dyDescent="0.25">
      <c r="B62">
        <v>67.5</v>
      </c>
      <c r="C62">
        <v>20</v>
      </c>
      <c r="D62">
        <v>-0.35650008</v>
      </c>
      <c r="E62">
        <v>-0.35239999999999999</v>
      </c>
      <c r="F62">
        <v>-4.10005E-3</v>
      </c>
      <c r="G62">
        <v>0.63252489999999995</v>
      </c>
      <c r="H62">
        <v>0.62341999999999997</v>
      </c>
      <c r="I62">
        <v>9.1049100000000008E-3</v>
      </c>
      <c r="M62">
        <v>2.186768E-2</v>
      </c>
      <c r="N62">
        <v>7.9641600000000007E-2</v>
      </c>
      <c r="O62">
        <v>-5.7773919999999999E-2</v>
      </c>
      <c r="P62">
        <v>-2.044201E-2</v>
      </c>
      <c r="Q62">
        <v>1.239173E-2</v>
      </c>
      <c r="R62">
        <v>-3.283374E-2</v>
      </c>
    </row>
    <row r="63" spans="2:18" x14ac:dyDescent="0.25">
      <c r="B63">
        <v>90</v>
      </c>
      <c r="C63">
        <v>16</v>
      </c>
      <c r="D63">
        <v>-0.35384692000000001</v>
      </c>
      <c r="E63">
        <v>-0.35281252000000002</v>
      </c>
      <c r="F63">
        <v>-1.0344099999999999E-3</v>
      </c>
      <c r="G63">
        <v>0.63147180000000003</v>
      </c>
      <c r="H63">
        <v>0.62355936000000001</v>
      </c>
      <c r="I63">
        <v>7.9124599999999996E-3</v>
      </c>
      <c r="M63">
        <v>1.7097319999999999E-2</v>
      </c>
      <c r="N63">
        <v>8.3829029999999999E-2</v>
      </c>
      <c r="O63">
        <v>-6.6731700000000005E-2</v>
      </c>
      <c r="P63">
        <v>-8.2574499999999995E-3</v>
      </c>
      <c r="Q63">
        <v>3.5248000000000001E-4</v>
      </c>
      <c r="R63">
        <v>-8.6099200000000001E-3</v>
      </c>
    </row>
    <row r="64" spans="2:18" x14ac:dyDescent="0.25">
      <c r="B64">
        <v>112.5</v>
      </c>
      <c r="C64">
        <v>17</v>
      </c>
      <c r="D64">
        <v>-0.35242356000000002</v>
      </c>
      <c r="E64">
        <v>-0.35251475999999998</v>
      </c>
      <c r="F64">
        <v>9.1199999999999994E-5</v>
      </c>
      <c r="G64">
        <v>0.63439995999999998</v>
      </c>
      <c r="H64">
        <v>0.62426470000000001</v>
      </c>
      <c r="I64">
        <v>1.013523E-2</v>
      </c>
      <c r="M64">
        <v>1.893655E-2</v>
      </c>
      <c r="N64">
        <v>8.2770999999999997E-2</v>
      </c>
      <c r="O64">
        <v>-6.3834440000000006E-2</v>
      </c>
      <c r="P64">
        <v>4.8884100000000002E-3</v>
      </c>
      <c r="Q64">
        <v>-1.275419E-2</v>
      </c>
      <c r="R64">
        <v>1.764261E-2</v>
      </c>
    </row>
    <row r="65" spans="2:18" x14ac:dyDescent="0.25">
      <c r="B65">
        <v>135</v>
      </c>
      <c r="C65">
        <v>13</v>
      </c>
      <c r="D65">
        <v>-0.34712692000000001</v>
      </c>
      <c r="E65">
        <v>-0.35375000000000001</v>
      </c>
      <c r="F65">
        <v>6.6230899999999999E-3</v>
      </c>
      <c r="G65">
        <v>0.62367300000000003</v>
      </c>
      <c r="H65">
        <v>0.62056535999999995</v>
      </c>
      <c r="I65">
        <v>3.1076699999999999E-3</v>
      </c>
      <c r="M65">
        <v>2.4490499999999998E-2</v>
      </c>
      <c r="N65">
        <v>7.6658660000000003E-2</v>
      </c>
      <c r="O65">
        <v>-5.2168159999999998E-2</v>
      </c>
      <c r="P65">
        <v>1.6327749999999999E-2</v>
      </c>
      <c r="Q65">
        <v>-2.440674E-2</v>
      </c>
      <c r="R65">
        <v>4.0734489999999998E-2</v>
      </c>
    </row>
    <row r="66" spans="2:18" x14ac:dyDescent="0.25">
      <c r="B66">
        <v>157.5</v>
      </c>
      <c r="C66">
        <v>15</v>
      </c>
      <c r="D66">
        <v>-0.34097667999999998</v>
      </c>
      <c r="E66">
        <v>-0.34746660000000001</v>
      </c>
      <c r="F66">
        <v>6.4899600000000003E-3</v>
      </c>
      <c r="G66">
        <v>0.61949664000000004</v>
      </c>
      <c r="H66">
        <v>0.61556999999999995</v>
      </c>
      <c r="I66">
        <v>3.9266300000000004E-3</v>
      </c>
      <c r="M66">
        <v>3.436703E-2</v>
      </c>
      <c r="N66">
        <v>6.7091960000000006E-2</v>
      </c>
      <c r="O66">
        <v>-3.2724929999999999E-2</v>
      </c>
      <c r="P66">
        <v>2.4504560000000002E-2</v>
      </c>
      <c r="Q66">
        <v>-3.2844730000000003E-2</v>
      </c>
      <c r="R66">
        <v>5.7349280000000002E-2</v>
      </c>
    </row>
    <row r="67" spans="2:18" x14ac:dyDescent="0.25">
      <c r="B67">
        <v>180</v>
      </c>
      <c r="C67">
        <v>10</v>
      </c>
      <c r="D67">
        <v>-0.34917508000000003</v>
      </c>
      <c r="E67">
        <v>-0.35612507999999998</v>
      </c>
      <c r="F67">
        <v>6.9499899999999996E-3</v>
      </c>
      <c r="G67">
        <v>0.62911490000000003</v>
      </c>
      <c r="H67">
        <v>0.63139500000000004</v>
      </c>
      <c r="I67">
        <v>-2.28006E-3</v>
      </c>
      <c r="M67">
        <v>4.6398200000000001E-2</v>
      </c>
      <c r="N67">
        <v>5.536133E-2</v>
      </c>
      <c r="O67">
        <v>-8.9631299999999997E-3</v>
      </c>
      <c r="P67">
        <v>2.9123050000000001E-2</v>
      </c>
      <c r="Q67">
        <v>-3.6697750000000001E-2</v>
      </c>
      <c r="R67">
        <v>6.5820799999999999E-2</v>
      </c>
    </row>
    <row r="68" spans="2:18" x14ac:dyDescent="0.25">
      <c r="B68">
        <v>202.5</v>
      </c>
      <c r="C68">
        <v>19</v>
      </c>
      <c r="D68">
        <v>-0.34691319999999998</v>
      </c>
      <c r="E68">
        <v>-0.35402368000000001</v>
      </c>
      <c r="F68">
        <v>7.1104499999999999E-3</v>
      </c>
      <c r="G68">
        <v>0.62199990000000005</v>
      </c>
      <c r="H68">
        <v>0.62295515999999995</v>
      </c>
      <c r="I68">
        <v>-9.5522000000000001E-4</v>
      </c>
      <c r="M68">
        <v>5.9353419999999997E-2</v>
      </c>
      <c r="N68">
        <v>4.2205230000000003E-2</v>
      </c>
      <c r="O68">
        <v>1.7148179999999999E-2</v>
      </c>
      <c r="P68">
        <v>2.7937139999999999E-2</v>
      </c>
      <c r="Q68">
        <v>-3.5902940000000001E-2</v>
      </c>
      <c r="R68">
        <v>6.3840079999999993E-2</v>
      </c>
    </row>
    <row r="69" spans="2:18" x14ac:dyDescent="0.25">
      <c r="B69">
        <v>225</v>
      </c>
      <c r="C69">
        <v>15</v>
      </c>
      <c r="D69">
        <v>-0.34885667999999997</v>
      </c>
      <c r="E69">
        <v>-0.3528133</v>
      </c>
      <c r="F69">
        <v>3.9566499999999999E-3</v>
      </c>
      <c r="G69">
        <v>0.62125651999999998</v>
      </c>
      <c r="H69">
        <v>0.62752324000000004</v>
      </c>
      <c r="I69">
        <v>-6.26671E-3</v>
      </c>
      <c r="M69">
        <v>7.1056320000000006E-2</v>
      </c>
      <c r="N69">
        <v>3.0419270000000002E-2</v>
      </c>
      <c r="O69">
        <v>4.0637039999999999E-2</v>
      </c>
      <c r="P69">
        <v>2.214437E-2</v>
      </c>
      <c r="Q69">
        <v>-3.0109859999999999E-2</v>
      </c>
      <c r="R69">
        <v>5.225424E-2</v>
      </c>
    </row>
    <row r="70" spans="2:18" x14ac:dyDescent="0.25">
      <c r="B70">
        <v>247.5</v>
      </c>
      <c r="C70">
        <v>18</v>
      </c>
      <c r="D70">
        <v>-0.34540272</v>
      </c>
      <c r="E70">
        <v>-0.34711944</v>
      </c>
      <c r="F70">
        <v>1.7167300000000001E-3</v>
      </c>
      <c r="G70">
        <v>0.61065550000000002</v>
      </c>
      <c r="H70">
        <v>0.62005270000000001</v>
      </c>
      <c r="I70">
        <v>-9.3972099999999996E-3</v>
      </c>
      <c r="M70">
        <v>7.9234079999999998E-2</v>
      </c>
      <c r="N70">
        <v>2.190077E-2</v>
      </c>
      <c r="O70">
        <v>5.7333309999999998E-2</v>
      </c>
      <c r="P70">
        <v>1.226006E-2</v>
      </c>
      <c r="Q70">
        <v>-2.036309E-2</v>
      </c>
      <c r="R70">
        <v>3.2623159999999998E-2</v>
      </c>
    </row>
    <row r="71" spans="2:18" x14ac:dyDescent="0.25">
      <c r="B71">
        <v>270</v>
      </c>
      <c r="C71">
        <v>17</v>
      </c>
      <c r="D71">
        <v>-0.3448</v>
      </c>
      <c r="E71">
        <v>-0.347553</v>
      </c>
      <c r="F71">
        <v>2.7529899999999999E-3</v>
      </c>
      <c r="G71">
        <v>0.61096170000000005</v>
      </c>
      <c r="H71">
        <v>0.62210584000000002</v>
      </c>
      <c r="I71">
        <v>-1.114416E-2</v>
      </c>
      <c r="M71">
        <v>8.3388660000000003E-2</v>
      </c>
      <c r="N71">
        <v>1.847182E-2</v>
      </c>
      <c r="O71">
        <v>6.4916840000000003E-2</v>
      </c>
      <c r="P71">
        <v>-8.8179999999999999E-5</v>
      </c>
      <c r="Q71">
        <v>-7.8771299999999995E-3</v>
      </c>
      <c r="R71">
        <v>7.7889500000000002E-3</v>
      </c>
    </row>
    <row r="72" spans="2:18" x14ac:dyDescent="0.25">
      <c r="B72">
        <v>292.5</v>
      </c>
      <c r="C72">
        <v>18</v>
      </c>
      <c r="D72">
        <v>-0.34919159999999999</v>
      </c>
      <c r="E72">
        <v>-0.34947223999999999</v>
      </c>
      <c r="F72">
        <v>2.8065000000000002E-4</v>
      </c>
      <c r="G72">
        <v>0.61512215999999997</v>
      </c>
      <c r="H72">
        <v>0.61924447999999999</v>
      </c>
      <c r="I72">
        <v>-4.1223199999999996E-3</v>
      </c>
      <c r="M72">
        <v>8.1986900000000001E-2</v>
      </c>
      <c r="N72">
        <v>1.9674210000000001E-2</v>
      </c>
      <c r="O72">
        <v>6.2312699999999999E-2</v>
      </c>
      <c r="P72">
        <v>-1.295396E-2</v>
      </c>
      <c r="Q72">
        <v>4.7238499999999999E-3</v>
      </c>
      <c r="R72">
        <v>-1.7677809999999999E-2</v>
      </c>
    </row>
    <row r="73" spans="2:18" x14ac:dyDescent="0.25">
      <c r="B73">
        <v>315</v>
      </c>
      <c r="C73">
        <v>18</v>
      </c>
      <c r="D73">
        <v>-0.3486861</v>
      </c>
      <c r="E73">
        <v>-0.34618330000000003</v>
      </c>
      <c r="F73">
        <v>-2.5027999999999999E-3</v>
      </c>
      <c r="G73">
        <v>0.61487219999999998</v>
      </c>
      <c r="H73">
        <v>0.62080263999999996</v>
      </c>
      <c r="I73">
        <v>-5.9304199999999996E-3</v>
      </c>
      <c r="M73">
        <v>7.6448710000000003E-2</v>
      </c>
      <c r="N73">
        <v>2.5888810000000002E-2</v>
      </c>
      <c r="O73">
        <v>5.0559899999999998E-2</v>
      </c>
      <c r="P73">
        <v>-2.461114E-2</v>
      </c>
      <c r="Q73">
        <v>1.6580270000000001E-2</v>
      </c>
      <c r="R73">
        <v>-4.1191409999999998E-2</v>
      </c>
    </row>
    <row r="74" spans="2:18" x14ac:dyDescent="0.25">
      <c r="B74">
        <v>337.5</v>
      </c>
      <c r="C74">
        <v>11</v>
      </c>
      <c r="D74">
        <v>-0.34826812000000001</v>
      </c>
      <c r="E74">
        <v>-0.34360447999999999</v>
      </c>
      <c r="F74">
        <v>-4.6636500000000001E-3</v>
      </c>
      <c r="G74">
        <v>0.61547719999999995</v>
      </c>
      <c r="H74">
        <v>0.61910904</v>
      </c>
      <c r="I74">
        <v>-3.63183E-3</v>
      </c>
      <c r="M74">
        <v>6.6610890000000006E-2</v>
      </c>
      <c r="N74">
        <v>3.4997109999999998E-2</v>
      </c>
      <c r="O74">
        <v>3.1613780000000001E-2</v>
      </c>
      <c r="P74">
        <v>-3.2990499999999999E-2</v>
      </c>
      <c r="Q74">
        <v>2.4876820000000001E-2</v>
      </c>
      <c r="R74">
        <v>-5.786732E-2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ZMEN_NAZEV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2026-08-02T16:47:10Z</dcterms:modified>
</cp:coreProperties>
</file>