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5\T15-2_3\"/>
    </mc:Choice>
  </mc:AlternateContent>
  <xr:revisionPtr revIDLastSave="0" documentId="13_ncr:1_{221A2FB5-4CC4-4306-9AFF-476F5DFA261B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5-2_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AA34" i="1"/>
  <c r="AB34" i="1" s="1"/>
  <c r="Z34" i="1"/>
  <c r="Y34" i="1"/>
  <c r="X34" i="1"/>
  <c r="W34" i="1"/>
  <c r="V34" i="1"/>
  <c r="U34" i="1"/>
  <c r="Z33" i="1"/>
  <c r="X33" i="1"/>
  <c r="W33" i="1"/>
  <c r="V33" i="1"/>
  <c r="AA33" i="1" s="1"/>
  <c r="AB33" i="1" s="1"/>
  <c r="U33" i="1"/>
  <c r="X32" i="1"/>
  <c r="W32" i="1"/>
  <c r="Z32" i="1" s="1"/>
  <c r="V32" i="1"/>
  <c r="AA32" i="1" s="1"/>
  <c r="U32" i="1"/>
  <c r="AB32" i="1" s="1"/>
  <c r="AA31" i="1"/>
  <c r="Z31" i="1"/>
  <c r="X31" i="1"/>
  <c r="W31" i="1"/>
  <c r="V31" i="1"/>
  <c r="U31" i="1"/>
  <c r="AB31" i="1" s="1"/>
  <c r="Z30" i="1"/>
  <c r="X30" i="1"/>
  <c r="W30" i="1"/>
  <c r="V30" i="1"/>
  <c r="AA30" i="1" s="1"/>
  <c r="AB30" i="1" s="1"/>
  <c r="U30" i="1"/>
  <c r="Y30" i="1" s="1"/>
  <c r="X29" i="1"/>
  <c r="W29" i="1"/>
  <c r="Z29" i="1" s="1"/>
  <c r="V29" i="1"/>
  <c r="AA29" i="1" s="1"/>
  <c r="U29" i="1"/>
  <c r="AA28" i="1"/>
  <c r="Z28" i="1"/>
  <c r="X28" i="1"/>
  <c r="W28" i="1"/>
  <c r="V28" i="1"/>
  <c r="U28" i="1"/>
  <c r="AB28" i="1" s="1"/>
  <c r="Z27" i="1"/>
  <c r="X27" i="1"/>
  <c r="W27" i="1"/>
  <c r="V27" i="1"/>
  <c r="AA27" i="1" s="1"/>
  <c r="AB27" i="1" s="1"/>
  <c r="U27" i="1"/>
  <c r="Y27" i="1" s="1"/>
  <c r="X26" i="1"/>
  <c r="W26" i="1"/>
  <c r="Z26" i="1" s="1"/>
  <c r="V26" i="1"/>
  <c r="AA26" i="1" s="1"/>
  <c r="U26" i="1"/>
  <c r="AA25" i="1"/>
  <c r="Z25" i="1"/>
  <c r="X25" i="1"/>
  <c r="W25" i="1"/>
  <c r="V25" i="1"/>
  <c r="U25" i="1"/>
  <c r="AB25" i="1" s="1"/>
  <c r="Z24" i="1"/>
  <c r="X24" i="1"/>
  <c r="W24" i="1"/>
  <c r="V24" i="1"/>
  <c r="AA24" i="1" s="1"/>
  <c r="AB24" i="1" s="1"/>
  <c r="U24" i="1"/>
  <c r="Y24" i="1" s="1"/>
  <c r="X23" i="1"/>
  <c r="W23" i="1"/>
  <c r="Z23" i="1" s="1"/>
  <c r="V23" i="1"/>
  <c r="AA23" i="1" s="1"/>
  <c r="U23" i="1"/>
  <c r="AA22" i="1"/>
  <c r="Z22" i="1"/>
  <c r="X22" i="1"/>
  <c r="W22" i="1"/>
  <c r="V22" i="1"/>
  <c r="U22" i="1"/>
  <c r="AB22" i="1" s="1"/>
  <c r="Z21" i="1"/>
  <c r="X21" i="1"/>
  <c r="W21" i="1"/>
  <c r="V21" i="1"/>
  <c r="AA21" i="1" s="1"/>
  <c r="AB21" i="1" s="1"/>
  <c r="U21" i="1"/>
  <c r="Y21" i="1" s="1"/>
  <c r="X20" i="1"/>
  <c r="W20" i="1"/>
  <c r="Z20" i="1" s="1"/>
  <c r="V20" i="1"/>
  <c r="AA20" i="1" s="1"/>
  <c r="U20" i="1"/>
  <c r="AB20" i="1" s="1"/>
  <c r="AA19" i="1"/>
  <c r="Z19" i="1"/>
  <c r="Y19" i="1"/>
  <c r="X19" i="1"/>
  <c r="W19" i="1"/>
  <c r="V19" i="1"/>
  <c r="U19" i="1"/>
  <c r="AB19" i="1" s="1"/>
  <c r="U18" i="1"/>
  <c r="V18" i="1"/>
  <c r="W18" i="1"/>
  <c r="X18" i="1"/>
  <c r="Y18" i="1"/>
  <c r="Z18" i="1"/>
  <c r="AA18" i="1"/>
  <c r="AB18" i="1" s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X17" i="1"/>
  <c r="W17" i="1"/>
  <c r="V17" i="1"/>
  <c r="U17" i="1"/>
  <c r="X16" i="1"/>
  <c r="W16" i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V13" i="1"/>
  <c r="U13" i="1"/>
  <c r="X12" i="1"/>
  <c r="W12" i="1"/>
  <c r="Z12" i="1" s="1"/>
  <c r="V12" i="1"/>
  <c r="U12" i="1"/>
  <c r="Y12" i="1" s="1"/>
  <c r="X11" i="1"/>
  <c r="W11" i="1"/>
  <c r="Z11" i="1" s="1"/>
  <c r="V11" i="1"/>
  <c r="U11" i="1"/>
  <c r="X10" i="1"/>
  <c r="W10" i="1"/>
  <c r="V10" i="1"/>
  <c r="U10" i="1"/>
  <c r="X9" i="1"/>
  <c r="W9" i="1"/>
  <c r="Z9" i="1" s="1"/>
  <c r="V9" i="1"/>
  <c r="U9" i="1"/>
  <c r="X8" i="1"/>
  <c r="W8" i="1"/>
  <c r="Z8" i="1" s="1"/>
  <c r="V8" i="1"/>
  <c r="U8" i="1"/>
  <c r="X7" i="1"/>
  <c r="W7" i="1"/>
  <c r="V7" i="1"/>
  <c r="U7" i="1"/>
  <c r="X6" i="1"/>
  <c r="W6" i="1"/>
  <c r="Z6" i="1" s="1"/>
  <c r="V6" i="1"/>
  <c r="U6" i="1"/>
  <c r="Y6" i="1" s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1" i="2"/>
  <c r="G17" i="2" s="1"/>
  <c r="G9" i="2"/>
  <c r="AB29" i="1" l="1"/>
  <c r="AB26" i="1"/>
  <c r="AB23" i="1"/>
  <c r="Y33" i="1"/>
  <c r="Y20" i="1"/>
  <c r="Y23" i="1"/>
  <c r="Y26" i="1"/>
  <c r="Y29" i="1"/>
  <c r="Y32" i="1"/>
  <c r="Y22" i="1"/>
  <c r="Y25" i="1"/>
  <c r="Y28" i="1"/>
  <c r="Y31" i="1"/>
  <c r="Z13" i="1"/>
  <c r="Z16" i="1"/>
  <c r="Z7" i="1"/>
  <c r="Z10" i="1"/>
  <c r="Z5" i="1"/>
  <c r="Y9" i="1"/>
  <c r="Z17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R16" i="2" l="1"/>
  <c r="V16" i="2"/>
  <c r="T16" i="2"/>
  <c r="X16" i="2"/>
</calcChain>
</file>

<file path=xl/sharedStrings.xml><?xml version="1.0" encoding="utf-8"?>
<sst xmlns="http://schemas.openxmlformats.org/spreadsheetml/2006/main" count="58" uniqueCount="53">
  <si>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</si>
  <si>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</si>
  <si>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</si>
  <si>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</si>
  <si>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</si>
  <si>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</si>
  <si>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</si>
  <si>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</si>
  <si>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</si>
  <si>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</si>
  <si>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</si>
  <si>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</si>
  <si>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</si>
  <si>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</si>
  <si>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</si>
  <si>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</si>
  <si>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</si>
  <si>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</si>
  <si>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</si>
  <si>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</si>
  <si>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</si>
  <si>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</si>
  <si>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</si>
  <si>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</si>
  <si>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</si>
  <si>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</si>
  <si>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</si>
  <si>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</si>
  <si>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</si>
  <si>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</si>
  <si>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</si>
  <si>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</si>
  <si>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</si>
  <si>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</si>
  <si>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</si>
  <si>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</si>
  <si>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</si>
  <si>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</si>
  <si>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</si>
  <si>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</si>
  <si>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</si>
  <si>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</si>
  <si>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</si>
  <si>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</si>
  <si>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</si>
  <si>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</si>
  <si>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Azimuth-Dependence Test (Randomized 360° Step Scan, Off-North Start, Tilted Mount)</t>
  </si>
  <si>
    <t>Description/title:</t>
  </si>
  <si>
    <t>Code:</t>
  </si>
  <si>
    <t>CC/CCW</t>
  </si>
  <si>
    <t>T15-2_3</t>
  </si>
  <si>
    <t>Rotation-direction control test: two runs at the same baseline configuration (level, arm at true north), 25-repeat randomized azimuth sweep each, run once with normal (CW) and once with reversed (CCW) motor rotation direction, to isolate whether the direction of rotation itself introduces a systematic bias into the measured differential signal. CW/CCW in one run.
- Test ID should be T15-3_4. Sorry I am stupid.</t>
  </si>
  <si>
    <t>HORIZONTAL slepý test 360-kontrola accel-lepší csv-azimut parametr-fixed trim settle-s navratem do A-antibacklash-CW-CCW-I2Coprava-název testu-teplota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</si>
</sst>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2" borderId="0" xfId="0" applyFill="1"/>
    <xf numFmtId="164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'T15-2_3'!$R$2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'T15-2_3'!$B$3:$B$34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'T15-2_3'!$R$19:$R$34</c:f>
              <c:numCache>
                <c:formatCode>General</c:formatCode>
                <c:ptCount val="16"/>
                <c:pt idx="0">
                  <c:v>-3.6816899999999875E-3</c:v>
                </c:pt>
                <c:pt idx="1">
                  <c:v>-4.3550099999999925E-3</c:v>
                </c:pt>
                <c:pt idx="2">
                  <c:v>-5.7665999999999273E-4</c:v>
                </c:pt>
                <c:pt idx="3">
                  <c:v>6.2332000000001053E-4</c:v>
                </c:pt>
                <c:pt idx="4">
                  <c:v>1.7233500000000124E-3</c:v>
                </c:pt>
                <c:pt idx="5">
                  <c:v>1.123320000000011E-3</c:v>
                </c:pt>
                <c:pt idx="6">
                  <c:v>1.4250100000000043E-3</c:v>
                </c:pt>
                <c:pt idx="7">
                  <c:v>4.7950100000000162E-3</c:v>
                </c:pt>
                <c:pt idx="8">
                  <c:v>2.6300199999999968E-3</c:v>
                </c:pt>
                <c:pt idx="9">
                  <c:v>5.4550499999999891E-3</c:v>
                </c:pt>
                <c:pt idx="10">
                  <c:v>2.8150200000000014E-3</c:v>
                </c:pt>
                <c:pt idx="11">
                  <c:v>1.6683200000000009E-3</c:v>
                </c:pt>
                <c:pt idx="12">
                  <c:v>-2.9283299999999929E-3</c:v>
                </c:pt>
                <c:pt idx="13">
                  <c:v>-1.6600000000000087E-3</c:v>
                </c:pt>
                <c:pt idx="14">
                  <c:v>-2.8683400000000109E-3</c:v>
                </c:pt>
                <c:pt idx="15">
                  <c:v>-3.6116700000000113E-3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8-44A8-AAA1-9A1DA3F93B9C}"/>
            </c:ext>
          </c:extLst>
        </c:ser>
        <c:ser>
          <c:idx val="5"/>
          <c:order val="5"/>
          <c:tx>
            <c:strRef>
              <c:f>'T15-2_3'!$S$2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'T15-2_3'!$B$3:$B$34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'T15-2_3'!$S$19:$S$34</c:f>
              <c:numCache>
                <c:formatCode>General</c:formatCode>
                <c:ptCount val="16"/>
                <c:pt idx="0">
                  <c:v>7.5665999999999234E-4</c:v>
                </c:pt>
                <c:pt idx="1">
                  <c:v>8.5829000000001154E-4</c:v>
                </c:pt>
                <c:pt idx="2">
                  <c:v>-3.0832000000000082E-4</c:v>
                </c:pt>
                <c:pt idx="3">
                  <c:v>3.1483099999999875E-3</c:v>
                </c:pt>
                <c:pt idx="4">
                  <c:v>2.375000000000016E-3</c:v>
                </c:pt>
                <c:pt idx="5">
                  <c:v>2.7383599999999952E-3</c:v>
                </c:pt>
                <c:pt idx="6">
                  <c:v>2.0383100000000154E-3</c:v>
                </c:pt>
                <c:pt idx="7">
                  <c:v>9.0665000000000884E-4</c:v>
                </c:pt>
                <c:pt idx="8">
                  <c:v>-1.1415800000000031E-3</c:v>
                </c:pt>
                <c:pt idx="9">
                  <c:v>-1.3466200000000206E-3</c:v>
                </c:pt>
                <c:pt idx="10">
                  <c:v>-4.334989999999983E-3</c:v>
                </c:pt>
                <c:pt idx="11">
                  <c:v>-2.8933200000000048E-3</c:v>
                </c:pt>
                <c:pt idx="12">
                  <c:v>-3.5599900000000129E-3</c:v>
                </c:pt>
                <c:pt idx="13">
                  <c:v>-4.1049800000000081E-3</c:v>
                </c:pt>
                <c:pt idx="14">
                  <c:v>-1.8333300000000219E-3</c:v>
                </c:pt>
                <c:pt idx="15">
                  <c:v>-1.591680000000012E-3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8-44A8-AAA1-9A1DA3F93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'T15-2_3'!$R$2</c15:sqref>
                        </c15:formulaRef>
                      </c:ext>
                    </c:extLst>
                    <c:strCache>
                      <c:ptCount val="1"/>
                      <c:pt idx="0">
                        <c:v>(xA-xC)/2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25400">
                      <a:solidFill>
                        <a:srgbClr val="FF0000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'T15-2_3'!$B$3:$B$34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22.5</c:v>
                      </c:pt>
                      <c:pt idx="2">
                        <c:v>45</c:v>
                      </c:pt>
                      <c:pt idx="3">
                        <c:v>67.5</c:v>
                      </c:pt>
                      <c:pt idx="4">
                        <c:v>90</c:v>
                      </c:pt>
                      <c:pt idx="5">
                        <c:v>112.5</c:v>
                      </c:pt>
                      <c:pt idx="6">
                        <c:v>135</c:v>
                      </c:pt>
                      <c:pt idx="7">
                        <c:v>157.5</c:v>
                      </c:pt>
                      <c:pt idx="8">
                        <c:v>180</c:v>
                      </c:pt>
                      <c:pt idx="9">
                        <c:v>202.5</c:v>
                      </c:pt>
                      <c:pt idx="10">
                        <c:v>225</c:v>
                      </c:pt>
                      <c:pt idx="11">
                        <c:v>247.5</c:v>
                      </c:pt>
                      <c:pt idx="12">
                        <c:v>270</c:v>
                      </c:pt>
                      <c:pt idx="13">
                        <c:v>292.5</c:v>
                      </c:pt>
                      <c:pt idx="14">
                        <c:v>315</c:v>
                      </c:pt>
                      <c:pt idx="15">
                        <c:v>337.5</c:v>
                      </c:pt>
                      <c:pt idx="16">
                        <c:v>0</c:v>
                      </c:pt>
                      <c:pt idx="17">
                        <c:v>22.5</c:v>
                      </c:pt>
                      <c:pt idx="18">
                        <c:v>45</c:v>
                      </c:pt>
                      <c:pt idx="19">
                        <c:v>67.5</c:v>
                      </c:pt>
                      <c:pt idx="20">
                        <c:v>90</c:v>
                      </c:pt>
                      <c:pt idx="21">
                        <c:v>112.5</c:v>
                      </c:pt>
                      <c:pt idx="22">
                        <c:v>135</c:v>
                      </c:pt>
                      <c:pt idx="23">
                        <c:v>157.5</c:v>
                      </c:pt>
                      <c:pt idx="24">
                        <c:v>180</c:v>
                      </c:pt>
                      <c:pt idx="25">
                        <c:v>202.5</c:v>
                      </c:pt>
                      <c:pt idx="26">
                        <c:v>225</c:v>
                      </c:pt>
                      <c:pt idx="27">
                        <c:v>247.5</c:v>
                      </c:pt>
                      <c:pt idx="28">
                        <c:v>270</c:v>
                      </c:pt>
                      <c:pt idx="29">
                        <c:v>292.5</c:v>
                      </c:pt>
                      <c:pt idx="30">
                        <c:v>315</c:v>
                      </c:pt>
                      <c:pt idx="31">
                        <c:v>337.5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'T15-2_3'!$R$3:$R$18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-1.321669999999997E-3</c:v>
                      </c:pt>
                      <c:pt idx="1">
                        <c:v>-1.8249899999999986E-3</c:v>
                      </c:pt>
                      <c:pt idx="2">
                        <c:v>1.1501999999999346E-4</c:v>
                      </c:pt>
                      <c:pt idx="3">
                        <c:v>1.0999999999999899E-4</c:v>
                      </c:pt>
                      <c:pt idx="4">
                        <c:v>9.5331000000001276E-4</c:v>
                      </c:pt>
                      <c:pt idx="5">
                        <c:v>1.5533199999999969E-3</c:v>
                      </c:pt>
                      <c:pt idx="6">
                        <c:v>2.6830999999999383E-4</c:v>
                      </c:pt>
                      <c:pt idx="7">
                        <c:v>-8.1650000000016432E-5</c:v>
                      </c:pt>
                      <c:pt idx="8">
                        <c:v>1.2899699999999736E-3</c:v>
                      </c:pt>
                      <c:pt idx="9">
                        <c:v>1.2083499999999969E-3</c:v>
                      </c:pt>
                      <c:pt idx="10">
                        <c:v>-2.1816999999999809E-3</c:v>
                      </c:pt>
                      <c:pt idx="11">
                        <c:v>-2.4866700000000241E-3</c:v>
                      </c:pt>
                      <c:pt idx="12">
                        <c:v>-1.7550099999999735E-3</c:v>
                      </c:pt>
                      <c:pt idx="13">
                        <c:v>-1.4166499999999915E-3</c:v>
                      </c:pt>
                      <c:pt idx="14">
                        <c:v>-1.2300000000000089E-3</c:v>
                      </c:pt>
                      <c:pt idx="15">
                        <c:v>-3.4516400000000058E-3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AB7-49A3-B47D-D9EEBD6F287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'T15-2_3'!$S$2</c15:sqref>
                        </c15:formulaRef>
                      </c:ext>
                    </c:extLst>
                    <c:strCache>
                      <c:ptCount val="1"/>
                      <c:pt idx="0">
                        <c:v>(yA-yC)/2</c:v>
                      </c:pt>
                    </c:strCache>
                  </c:strRef>
                </c:tx>
                <c:spPr>
                  <a:ln w="28575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25400">
                      <a:solidFill>
                        <a:srgbClr val="00B050"/>
                      </a:solidFill>
                    </a:ln>
                    <a:effectLst/>
                  </c:spPr>
                </c:marker>
                <c:dPt>
                  <c:idx val="4"/>
                  <c:marker>
                    <c:symbol val="circle"/>
                    <c:size val="5"/>
                    <c:spPr>
                      <a:noFill/>
                      <a:ln w="25400">
                        <a:solidFill>
                          <a:srgbClr val="00B050"/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1839-4B3C-9E09-FB5901B765D7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'T15-2_3'!$B$3:$B$34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22.5</c:v>
                      </c:pt>
                      <c:pt idx="2">
                        <c:v>45</c:v>
                      </c:pt>
                      <c:pt idx="3">
                        <c:v>67.5</c:v>
                      </c:pt>
                      <c:pt idx="4">
                        <c:v>90</c:v>
                      </c:pt>
                      <c:pt idx="5">
                        <c:v>112.5</c:v>
                      </c:pt>
                      <c:pt idx="6">
                        <c:v>135</c:v>
                      </c:pt>
                      <c:pt idx="7">
                        <c:v>157.5</c:v>
                      </c:pt>
                      <c:pt idx="8">
                        <c:v>180</c:v>
                      </c:pt>
                      <c:pt idx="9">
                        <c:v>202.5</c:v>
                      </c:pt>
                      <c:pt idx="10">
                        <c:v>225</c:v>
                      </c:pt>
                      <c:pt idx="11">
                        <c:v>247.5</c:v>
                      </c:pt>
                      <c:pt idx="12">
                        <c:v>270</c:v>
                      </c:pt>
                      <c:pt idx="13">
                        <c:v>292.5</c:v>
                      </c:pt>
                      <c:pt idx="14">
                        <c:v>315</c:v>
                      </c:pt>
                      <c:pt idx="15">
                        <c:v>337.5</c:v>
                      </c:pt>
                      <c:pt idx="16">
                        <c:v>0</c:v>
                      </c:pt>
                      <c:pt idx="17">
                        <c:v>22.5</c:v>
                      </c:pt>
                      <c:pt idx="18">
                        <c:v>45</c:v>
                      </c:pt>
                      <c:pt idx="19">
                        <c:v>67.5</c:v>
                      </c:pt>
                      <c:pt idx="20">
                        <c:v>90</c:v>
                      </c:pt>
                      <c:pt idx="21">
                        <c:v>112.5</c:v>
                      </c:pt>
                      <c:pt idx="22">
                        <c:v>135</c:v>
                      </c:pt>
                      <c:pt idx="23">
                        <c:v>157.5</c:v>
                      </c:pt>
                      <c:pt idx="24">
                        <c:v>180</c:v>
                      </c:pt>
                      <c:pt idx="25">
                        <c:v>202.5</c:v>
                      </c:pt>
                      <c:pt idx="26">
                        <c:v>225</c:v>
                      </c:pt>
                      <c:pt idx="27">
                        <c:v>247.5</c:v>
                      </c:pt>
                      <c:pt idx="28">
                        <c:v>270</c:v>
                      </c:pt>
                      <c:pt idx="29">
                        <c:v>292.5</c:v>
                      </c:pt>
                      <c:pt idx="30">
                        <c:v>315</c:v>
                      </c:pt>
                      <c:pt idx="31">
                        <c:v>337.5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'T15-2_3'!$S$3:$S$18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-1.9033299999999809E-3</c:v>
                      </c:pt>
                      <c:pt idx="1">
                        <c:v>-2.3333500000000118E-3</c:v>
                      </c:pt>
                      <c:pt idx="2">
                        <c:v>-4.5496000000000425E-4</c:v>
                      </c:pt>
                      <c:pt idx="3">
                        <c:v>-1.1866400000000166E-3</c:v>
                      </c:pt>
                      <c:pt idx="4">
                        <c:v>-3.8502000000001368E-4</c:v>
                      </c:pt>
                      <c:pt idx="5">
                        <c:v>6.016199999999694E-4</c:v>
                      </c:pt>
                      <c:pt idx="6">
                        <c:v>6.9832999999996925E-4</c:v>
                      </c:pt>
                      <c:pt idx="7">
                        <c:v>9.7665000000002333E-4</c:v>
                      </c:pt>
                      <c:pt idx="8">
                        <c:v>3.8366999999999707E-3</c:v>
                      </c:pt>
                      <c:pt idx="9">
                        <c:v>1.6616100000000356E-3</c:v>
                      </c:pt>
                      <c:pt idx="10">
                        <c:v>3.5116199999999931E-3</c:v>
                      </c:pt>
                      <c:pt idx="11">
                        <c:v>2.591740000000009E-3</c:v>
                      </c:pt>
                      <c:pt idx="12">
                        <c:v>1.6183000000000169E-3</c:v>
                      </c:pt>
                      <c:pt idx="13">
                        <c:v>1.681670000000024E-3</c:v>
                      </c:pt>
                      <c:pt idx="14">
                        <c:v>1.2168000000001289E-4</c:v>
                      </c:pt>
                      <c:pt idx="15">
                        <c:v>-1.4700000000000268E-3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AB7-49A3-B47D-D9EEBD6F287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'T15-2_3'!$B$3:$B$34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22.5</c:v>
                      </c:pt>
                      <c:pt idx="2">
                        <c:v>45</c:v>
                      </c:pt>
                      <c:pt idx="3">
                        <c:v>67.5</c:v>
                      </c:pt>
                      <c:pt idx="4">
                        <c:v>90</c:v>
                      </c:pt>
                      <c:pt idx="5">
                        <c:v>112.5</c:v>
                      </c:pt>
                      <c:pt idx="6">
                        <c:v>135</c:v>
                      </c:pt>
                      <c:pt idx="7">
                        <c:v>157.5</c:v>
                      </c:pt>
                      <c:pt idx="8">
                        <c:v>180</c:v>
                      </c:pt>
                      <c:pt idx="9">
                        <c:v>202.5</c:v>
                      </c:pt>
                      <c:pt idx="10">
                        <c:v>225</c:v>
                      </c:pt>
                      <c:pt idx="11">
                        <c:v>247.5</c:v>
                      </c:pt>
                      <c:pt idx="12">
                        <c:v>270</c:v>
                      </c:pt>
                      <c:pt idx="13">
                        <c:v>292.5</c:v>
                      </c:pt>
                      <c:pt idx="14">
                        <c:v>315</c:v>
                      </c:pt>
                      <c:pt idx="15">
                        <c:v>337.5</c:v>
                      </c:pt>
                      <c:pt idx="16">
                        <c:v>0</c:v>
                      </c:pt>
                      <c:pt idx="17">
                        <c:v>22.5</c:v>
                      </c:pt>
                      <c:pt idx="18">
                        <c:v>45</c:v>
                      </c:pt>
                      <c:pt idx="19">
                        <c:v>67.5</c:v>
                      </c:pt>
                      <c:pt idx="20">
                        <c:v>90</c:v>
                      </c:pt>
                      <c:pt idx="21">
                        <c:v>112.5</c:v>
                      </c:pt>
                      <c:pt idx="22">
                        <c:v>135</c:v>
                      </c:pt>
                      <c:pt idx="23">
                        <c:v>157.5</c:v>
                      </c:pt>
                      <c:pt idx="24">
                        <c:v>180</c:v>
                      </c:pt>
                      <c:pt idx="25">
                        <c:v>202.5</c:v>
                      </c:pt>
                      <c:pt idx="26">
                        <c:v>225</c:v>
                      </c:pt>
                      <c:pt idx="27">
                        <c:v>247.5</c:v>
                      </c:pt>
                      <c:pt idx="28">
                        <c:v>270</c:v>
                      </c:pt>
                      <c:pt idx="29">
                        <c:v>292.5</c:v>
                      </c:pt>
                      <c:pt idx="30">
                        <c:v>315</c:v>
                      </c:pt>
                      <c:pt idx="31">
                        <c:v>337.5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6.2248379999999999E-2</c:v>
                      </c:pt>
                      <c:pt idx="1">
                        <c:v>5.8620279999999997E-2</c:v>
                      </c:pt>
                      <c:pt idx="2">
                        <c:v>4.4589520000000001E-2</c:v>
                      </c:pt>
                      <c:pt idx="3">
                        <c:v>2.5154300000000001E-2</c:v>
                      </c:pt>
                      <c:pt idx="4">
                        <c:v>1.24723E-3</c:v>
                      </c:pt>
                      <c:pt idx="5">
                        <c:v>-2.2622389999999999E-2</c:v>
                      </c:pt>
                      <c:pt idx="6">
                        <c:v>-4.307764E-2</c:v>
                      </c:pt>
                      <c:pt idx="7">
                        <c:v>-5.7793299999999999E-2</c:v>
                      </c:pt>
                      <c:pt idx="8">
                        <c:v>-6.2371910000000003E-2</c:v>
                      </c:pt>
                      <c:pt idx="9">
                        <c:v>-5.7782550000000002E-2</c:v>
                      </c:pt>
                      <c:pt idx="10">
                        <c:v>-4.4291829999999997E-2</c:v>
                      </c:pt>
                      <c:pt idx="11">
                        <c:v>-2.4093759999999999E-2</c:v>
                      </c:pt>
                      <c:pt idx="12">
                        <c:v>-8.6269999999999999E-5</c:v>
                      </c:pt>
                      <c:pt idx="13">
                        <c:v>2.4273429999999999E-2</c:v>
                      </c:pt>
                      <c:pt idx="14">
                        <c:v>4.3280440000000003E-2</c:v>
                      </c:pt>
                      <c:pt idx="15">
                        <c:v>5.755714E-2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'T15-2_3'!$B$3:$B$34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22.5</c:v>
                      </c:pt>
                      <c:pt idx="2">
                        <c:v>45</c:v>
                      </c:pt>
                      <c:pt idx="3">
                        <c:v>67.5</c:v>
                      </c:pt>
                      <c:pt idx="4">
                        <c:v>90</c:v>
                      </c:pt>
                      <c:pt idx="5">
                        <c:v>112.5</c:v>
                      </c:pt>
                      <c:pt idx="6">
                        <c:v>135</c:v>
                      </c:pt>
                      <c:pt idx="7">
                        <c:v>157.5</c:v>
                      </c:pt>
                      <c:pt idx="8">
                        <c:v>180</c:v>
                      </c:pt>
                      <c:pt idx="9">
                        <c:v>202.5</c:v>
                      </c:pt>
                      <c:pt idx="10">
                        <c:v>225</c:v>
                      </c:pt>
                      <c:pt idx="11">
                        <c:v>247.5</c:v>
                      </c:pt>
                      <c:pt idx="12">
                        <c:v>270</c:v>
                      </c:pt>
                      <c:pt idx="13">
                        <c:v>292.5</c:v>
                      </c:pt>
                      <c:pt idx="14">
                        <c:v>315</c:v>
                      </c:pt>
                      <c:pt idx="15">
                        <c:v>337.5</c:v>
                      </c:pt>
                      <c:pt idx="16">
                        <c:v>0</c:v>
                      </c:pt>
                      <c:pt idx="17">
                        <c:v>22.5</c:v>
                      </c:pt>
                      <c:pt idx="18">
                        <c:v>45</c:v>
                      </c:pt>
                      <c:pt idx="19">
                        <c:v>67.5</c:v>
                      </c:pt>
                      <c:pt idx="20">
                        <c:v>90</c:v>
                      </c:pt>
                      <c:pt idx="21">
                        <c:v>112.5</c:v>
                      </c:pt>
                      <c:pt idx="22">
                        <c:v>135</c:v>
                      </c:pt>
                      <c:pt idx="23">
                        <c:v>157.5</c:v>
                      </c:pt>
                      <c:pt idx="24">
                        <c:v>180</c:v>
                      </c:pt>
                      <c:pt idx="25">
                        <c:v>202.5</c:v>
                      </c:pt>
                      <c:pt idx="26">
                        <c:v>225</c:v>
                      </c:pt>
                      <c:pt idx="27">
                        <c:v>247.5</c:v>
                      </c:pt>
                      <c:pt idx="28">
                        <c:v>270</c:v>
                      </c:pt>
                      <c:pt idx="29">
                        <c:v>292.5</c:v>
                      </c:pt>
                      <c:pt idx="30">
                        <c:v>315</c:v>
                      </c:pt>
                      <c:pt idx="31">
                        <c:v>337.5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'T15-2_3'!$O$3:$O$18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-1.32796E-3</c:v>
                      </c:pt>
                      <c:pt idx="1">
                        <c:v>2.2948570000000001E-2</c:v>
                      </c:pt>
                      <c:pt idx="2">
                        <c:v>4.3050449999999997E-2</c:v>
                      </c:pt>
                      <c:pt idx="3">
                        <c:v>5.7033199999999999E-2</c:v>
                      </c:pt>
                      <c:pt idx="4">
                        <c:v>6.199789E-2</c:v>
                      </c:pt>
                      <c:pt idx="5">
                        <c:v>5.7856440000000002E-2</c:v>
                      </c:pt>
                      <c:pt idx="6">
                        <c:v>4.4659020000000001E-2</c:v>
                      </c:pt>
                      <c:pt idx="7">
                        <c:v>2.455924E-2</c:v>
                      </c:pt>
                      <c:pt idx="8">
                        <c:v>8.1786999999999995E-4</c:v>
                      </c:pt>
                      <c:pt idx="9">
                        <c:v>-2.2795240000000001E-2</c:v>
                      </c:pt>
                      <c:pt idx="10">
                        <c:v>-4.3296870000000001E-2</c:v>
                      </c:pt>
                      <c:pt idx="11">
                        <c:v>-5.6977050000000001E-2</c:v>
                      </c:pt>
                      <c:pt idx="12">
                        <c:v>-6.227572E-2</c:v>
                      </c:pt>
                      <c:pt idx="13">
                        <c:v>-5.7850909999999998E-2</c:v>
                      </c:pt>
                      <c:pt idx="14">
                        <c:v>-4.4736980000000003E-2</c:v>
                      </c:pt>
                      <c:pt idx="15">
                        <c:v>-2.4620119999999999E-2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'T15-2_3'!$Y$2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'T15-2_3'!$B$3:$B$18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'T15-2_3'!$Y$3:$Y$18</c:f>
              <c:numCache>
                <c:formatCode>0.00</c:formatCode>
                <c:ptCount val="16"/>
                <c:pt idx="0">
                  <c:v>4.5852822847277013</c:v>
                </c:pt>
                <c:pt idx="1">
                  <c:v>4.4849146519452692</c:v>
                </c:pt>
                <c:pt idx="2">
                  <c:v>4.1562650769679275</c:v>
                </c:pt>
                <c:pt idx="3">
                  <c:v>3.7498110972276941</c:v>
                </c:pt>
                <c:pt idx="4">
                  <c:v>3.1981929586486926</c:v>
                </c:pt>
                <c:pt idx="5">
                  <c:v>2.5459912847527804</c:v>
                </c:pt>
                <c:pt idx="6">
                  <c:v>1.8468510868047632</c:v>
                </c:pt>
                <c:pt idx="7">
                  <c:v>1.1780653127089942</c:v>
                </c:pt>
                <c:pt idx="8">
                  <c:v>1.0054778200247563</c:v>
                </c:pt>
                <c:pt idx="9">
                  <c:v>1.4250367387815619</c:v>
                </c:pt>
                <c:pt idx="10">
                  <c:v>2.1171200736584925</c:v>
                </c:pt>
                <c:pt idx="11">
                  <c:v>2.7886540348005191</c:v>
                </c:pt>
                <c:pt idx="12">
                  <c:v>3.4299117343212697</c:v>
                </c:pt>
                <c:pt idx="13">
                  <c:v>3.9504925153798665</c:v>
                </c:pt>
                <c:pt idx="14">
                  <c:v>4.286052616433822</c:v>
                </c:pt>
                <c:pt idx="15">
                  <c:v>4.51151507860944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'T15-2_3'!$Z$2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'T15-2_3'!$B$3:$B$18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'T15-2_3'!$Z$3:$Z$18</c:f>
              <c:numCache>
                <c:formatCode>0.00</c:formatCode>
                <c:ptCount val="16"/>
                <c:pt idx="0">
                  <c:v>1.0266404090399914</c:v>
                </c:pt>
                <c:pt idx="1">
                  <c:v>1.4297093489025245</c:v>
                </c:pt>
                <c:pt idx="2">
                  <c:v>2.092486969208009</c:v>
                </c:pt>
                <c:pt idx="3">
                  <c:v>2.7738901971173164</c:v>
                </c:pt>
                <c:pt idx="4">
                  <c:v>3.4117655586421303</c:v>
                </c:pt>
                <c:pt idx="5">
                  <c:v>3.9218808800220857</c:v>
                </c:pt>
                <c:pt idx="6">
                  <c:v>4.289794776629904</c:v>
                </c:pt>
                <c:pt idx="7">
                  <c:v>4.5044660982838041</c:v>
                </c:pt>
                <c:pt idx="8">
                  <c:v>4.5638448071502458</c:v>
                </c:pt>
                <c:pt idx="9">
                  <c:v>4.4291256815559708</c:v>
                </c:pt>
                <c:pt idx="10">
                  <c:v>4.157626362298819</c:v>
                </c:pt>
                <c:pt idx="11">
                  <c:v>3.6894737970530387</c:v>
                </c:pt>
                <c:pt idx="12">
                  <c:v>3.1531323299918497</c:v>
                </c:pt>
                <c:pt idx="13">
                  <c:v>2.4892610875155277</c:v>
                </c:pt>
                <c:pt idx="14">
                  <c:v>1.8268745908432427</c:v>
                </c:pt>
                <c:pt idx="15">
                  <c:v>1.1926395688577749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12</xdr:col>
      <xdr:colOff>0</xdr:colOff>
      <xdr:row>48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20</xdr:row>
      <xdr:rowOff>0</xdr:rowOff>
    </xdr:from>
    <xdr:to>
      <xdr:col>25</xdr:col>
      <xdr:colOff>1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8"/>
  <sheetViews>
    <sheetView tabSelected="1" zoomScale="85" zoomScaleNormal="85" workbookViewId="0">
      <selection activeCell="G7" sqref="G7:H7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46" t="s">
        <v>30</v>
      </c>
      <c r="B1" s="46"/>
      <c r="C1" s="46" t="s">
        <v>50</v>
      </c>
      <c r="D1" s="46"/>
      <c r="E1" s="46" t="s">
        <v>46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 ht="15.7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4" spans="1:25" x14ac:dyDescent="0.25">
      <c r="A4" s="45" t="s">
        <v>31</v>
      </c>
      <c r="B4" s="45"/>
      <c r="C4" s="45"/>
      <c r="D4" s="45"/>
      <c r="E4" s="45"/>
      <c r="F4" s="45"/>
      <c r="G4" s="23">
        <v>0</v>
      </c>
      <c r="H4" s="24"/>
      <c r="I4" s="3" t="s">
        <v>19</v>
      </c>
      <c r="K4" s="47" t="s">
        <v>47</v>
      </c>
      <c r="L4" s="47"/>
      <c r="M4" s="47"/>
      <c r="N4" s="47"/>
      <c r="O4" s="47"/>
      <c r="P4" s="47"/>
      <c r="R4" s="47" t="s">
        <v>48</v>
      </c>
      <c r="S4" s="47"/>
      <c r="T4" s="47"/>
      <c r="U4" s="47"/>
      <c r="V4" s="47"/>
      <c r="W4" s="47"/>
      <c r="X4" s="47"/>
      <c r="Y4" s="47"/>
    </row>
    <row r="5" spans="1:25" ht="15.75" customHeight="1" x14ac:dyDescent="0.25">
      <c r="A5" s="20" t="s">
        <v>32</v>
      </c>
      <c r="B5" s="21"/>
      <c r="C5" s="21"/>
      <c r="D5" s="21"/>
      <c r="E5" s="21"/>
      <c r="F5" s="22"/>
      <c r="G5" s="23">
        <v>0</v>
      </c>
      <c r="H5" s="24"/>
      <c r="I5" s="3" t="s">
        <v>19</v>
      </c>
      <c r="K5" s="25" t="s">
        <v>51</v>
      </c>
      <c r="L5" s="26"/>
      <c r="M5" s="26"/>
      <c r="N5" s="26"/>
      <c r="O5" s="26"/>
      <c r="P5" s="27"/>
      <c r="R5" s="48" t="s">
        <v>52</v>
      </c>
      <c r="S5" s="48"/>
      <c r="T5" s="48"/>
      <c r="U5" s="48"/>
      <c r="V5" s="48"/>
      <c r="W5" s="48"/>
      <c r="X5" s="48"/>
      <c r="Y5" s="48"/>
    </row>
    <row r="6" spans="1:25" x14ac:dyDescent="0.25">
      <c r="A6" s="45" t="s">
        <v>33</v>
      </c>
      <c r="B6" s="45"/>
      <c r="C6" s="45"/>
      <c r="D6" s="45"/>
      <c r="E6" s="45"/>
      <c r="F6" s="45"/>
      <c r="G6" s="44">
        <v>0</v>
      </c>
      <c r="H6" s="44"/>
      <c r="I6" s="3" t="s">
        <v>25</v>
      </c>
      <c r="K6" s="28"/>
      <c r="L6" s="29"/>
      <c r="M6" s="29"/>
      <c r="N6" s="29"/>
      <c r="O6" s="29"/>
      <c r="P6" s="30"/>
      <c r="R6" s="48"/>
      <c r="S6" s="48"/>
      <c r="T6" s="48"/>
      <c r="U6" s="48"/>
      <c r="V6" s="48"/>
      <c r="W6" s="48"/>
      <c r="X6" s="48"/>
      <c r="Y6" s="48"/>
    </row>
    <row r="7" spans="1:25" ht="15.75" customHeight="1" x14ac:dyDescent="0.25">
      <c r="A7" s="45" t="s">
        <v>16</v>
      </c>
      <c r="B7" s="45"/>
      <c r="C7" s="45"/>
      <c r="D7" s="45"/>
      <c r="E7" s="45"/>
      <c r="F7" s="45"/>
      <c r="G7" s="49">
        <f t="shared" ref="G7:H7" si="0">360/((23*60*60)+(56*60)+4.09)</f>
        <v>4.1780746480349299E-3</v>
      </c>
      <c r="H7" s="49"/>
      <c r="I7" s="3" t="s">
        <v>17</v>
      </c>
      <c r="K7" s="28"/>
      <c r="L7" s="29"/>
      <c r="M7" s="29"/>
      <c r="N7" s="29"/>
      <c r="O7" s="29"/>
      <c r="P7" s="30"/>
      <c r="R7" s="48"/>
      <c r="S7" s="48"/>
      <c r="T7" s="48"/>
      <c r="U7" s="48"/>
      <c r="V7" s="48"/>
      <c r="W7" s="48"/>
      <c r="X7" s="48"/>
      <c r="Y7" s="48"/>
    </row>
    <row r="8" spans="1:25" x14ac:dyDescent="0.25">
      <c r="A8" s="45" t="s">
        <v>18</v>
      </c>
      <c r="B8" s="45"/>
      <c r="C8" s="45"/>
      <c r="D8" s="45"/>
      <c r="E8" s="45"/>
      <c r="F8" s="45"/>
      <c r="G8" s="44">
        <v>49</v>
      </c>
      <c r="H8" s="44"/>
      <c r="I8" s="3" t="s">
        <v>19</v>
      </c>
      <c r="K8" s="28"/>
      <c r="L8" s="29"/>
      <c r="M8" s="29"/>
      <c r="N8" s="29"/>
      <c r="O8" s="29"/>
      <c r="P8" s="30"/>
      <c r="R8" s="48"/>
      <c r="S8" s="48"/>
      <c r="T8" s="48"/>
      <c r="U8" s="48"/>
      <c r="V8" s="48"/>
      <c r="W8" s="48"/>
      <c r="X8" s="48"/>
      <c r="Y8" s="48"/>
    </row>
    <row r="9" spans="1:25" ht="15.75" customHeight="1" x14ac:dyDescent="0.25">
      <c r="A9" s="39" t="s">
        <v>20</v>
      </c>
      <c r="B9" s="40"/>
      <c r="C9" s="40"/>
      <c r="D9" s="40"/>
      <c r="E9" s="40"/>
      <c r="F9" s="41"/>
      <c r="G9" s="42">
        <f>(COS(RADIANS(G8))*G7)</f>
        <v>2.7410635966396515E-3</v>
      </c>
      <c r="H9" s="43"/>
      <c r="I9" s="4" t="s">
        <v>17</v>
      </c>
      <c r="K9" s="28"/>
      <c r="L9" s="29"/>
      <c r="M9" s="29"/>
      <c r="N9" s="29"/>
      <c r="O9" s="29"/>
      <c r="P9" s="30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45" t="s">
        <v>34</v>
      </c>
      <c r="B10" s="45"/>
      <c r="C10" s="45"/>
      <c r="D10" s="45"/>
      <c r="E10" s="45"/>
      <c r="F10" s="45"/>
      <c r="G10" s="44">
        <v>22.5</v>
      </c>
      <c r="H10" s="44"/>
      <c r="I10" s="3" t="s">
        <v>19</v>
      </c>
      <c r="K10" s="28"/>
      <c r="L10" s="29"/>
      <c r="M10" s="29"/>
      <c r="N10" s="29"/>
      <c r="O10" s="29"/>
      <c r="P10" s="30"/>
      <c r="R10" s="16"/>
      <c r="S10" s="16"/>
      <c r="T10" s="16"/>
      <c r="U10" s="16"/>
      <c r="V10" s="16"/>
      <c r="W10" s="16"/>
      <c r="X10" s="16"/>
      <c r="Y10" s="16"/>
    </row>
    <row r="11" spans="1:25" ht="15.75" customHeight="1" x14ac:dyDescent="0.25">
      <c r="A11" s="20" t="s">
        <v>35</v>
      </c>
      <c r="B11" s="21"/>
      <c r="C11" s="21"/>
      <c r="D11" s="21"/>
      <c r="E11" s="21"/>
      <c r="F11" s="22"/>
      <c r="G11" s="23">
        <f>360/G10</f>
        <v>16</v>
      </c>
      <c r="H11" s="24"/>
      <c r="I11" s="3"/>
      <c r="K11" s="28"/>
      <c r="L11" s="29"/>
      <c r="M11" s="29"/>
      <c r="N11" s="29"/>
      <c r="O11" s="29"/>
      <c r="P11" s="30"/>
      <c r="R11" s="11"/>
      <c r="S11" s="11"/>
      <c r="T11" s="11"/>
      <c r="U11" s="11"/>
      <c r="V11" s="11"/>
      <c r="W11" s="11"/>
      <c r="X11" s="11"/>
      <c r="Y11" s="11"/>
    </row>
    <row r="12" spans="1:25" ht="15.75" customHeight="1" x14ac:dyDescent="0.25">
      <c r="A12" s="45" t="s">
        <v>21</v>
      </c>
      <c r="B12" s="45"/>
      <c r="C12" s="45"/>
      <c r="D12" s="45"/>
      <c r="E12" s="45"/>
      <c r="F12" s="45"/>
      <c r="G12" s="44" t="s">
        <v>49</v>
      </c>
      <c r="H12" s="44"/>
      <c r="I12" s="3"/>
      <c r="K12" s="28"/>
      <c r="L12" s="29"/>
      <c r="M12" s="29"/>
      <c r="N12" s="29"/>
      <c r="O12" s="29"/>
      <c r="P12" s="30"/>
      <c r="R12" s="50" t="s">
        <v>26</v>
      </c>
      <c r="S12" s="50"/>
      <c r="T12" s="50" t="s">
        <v>27</v>
      </c>
      <c r="U12" s="50"/>
      <c r="V12" s="50" t="s">
        <v>28</v>
      </c>
      <c r="W12" s="50"/>
      <c r="X12" s="50" t="s">
        <v>29</v>
      </c>
      <c r="Y12" s="50"/>
    </row>
    <row r="13" spans="1:25" ht="15.75" customHeight="1" x14ac:dyDescent="0.25">
      <c r="A13" s="20" t="s">
        <v>22</v>
      </c>
      <c r="B13" s="21"/>
      <c r="C13" s="21"/>
      <c r="D13" s="21"/>
      <c r="E13" s="21"/>
      <c r="F13" s="22"/>
      <c r="G13" s="23">
        <v>15</v>
      </c>
      <c r="H13" s="24"/>
      <c r="I13" s="3"/>
      <c r="K13" s="28"/>
      <c r="L13" s="29"/>
      <c r="M13" s="29"/>
      <c r="N13" s="29"/>
      <c r="O13" s="29"/>
      <c r="P13" s="30"/>
      <c r="R13" s="50"/>
      <c r="S13" s="50"/>
      <c r="T13" s="50"/>
      <c r="U13" s="50"/>
      <c r="V13" s="50"/>
      <c r="W13" s="50"/>
      <c r="X13" s="50"/>
      <c r="Y13" s="50"/>
    </row>
    <row r="14" spans="1:25" ht="15.75" customHeight="1" x14ac:dyDescent="0.25">
      <c r="A14" s="20" t="s">
        <v>23</v>
      </c>
      <c r="B14" s="21"/>
      <c r="C14" s="21"/>
      <c r="D14" s="21"/>
      <c r="E14" s="21"/>
      <c r="F14" s="22"/>
      <c r="G14" s="23">
        <v>200</v>
      </c>
      <c r="H14" s="24"/>
      <c r="I14" s="3"/>
      <c r="K14" s="28"/>
      <c r="L14" s="29"/>
      <c r="M14" s="29"/>
      <c r="N14" s="29"/>
      <c r="O14" s="29"/>
      <c r="P14" s="30"/>
      <c r="R14" s="50"/>
      <c r="S14" s="50"/>
      <c r="T14" s="50"/>
      <c r="U14" s="50"/>
      <c r="V14" s="50"/>
      <c r="W14" s="50"/>
      <c r="X14" s="50"/>
      <c r="Y14" s="50"/>
    </row>
    <row r="15" spans="1:25" ht="15.75" customHeight="1" x14ac:dyDescent="0.25">
      <c r="A15" s="20" t="s">
        <v>24</v>
      </c>
      <c r="B15" s="21"/>
      <c r="C15" s="21"/>
      <c r="D15" s="21"/>
      <c r="E15" s="21"/>
      <c r="F15" s="22"/>
      <c r="G15" s="23">
        <v>50</v>
      </c>
      <c r="H15" s="24"/>
      <c r="I15" s="3"/>
      <c r="K15" s="28"/>
      <c r="L15" s="29"/>
      <c r="M15" s="29"/>
      <c r="N15" s="29"/>
      <c r="O15" s="29"/>
      <c r="P15" s="30"/>
      <c r="R15" s="50"/>
      <c r="S15" s="50"/>
      <c r="T15" s="50"/>
      <c r="U15" s="50"/>
      <c r="V15" s="50"/>
      <c r="W15" s="50"/>
      <c r="X15" s="50"/>
      <c r="Y15" s="50"/>
    </row>
    <row r="16" spans="1:25" x14ac:dyDescent="0.25">
      <c r="A16" s="34" t="s">
        <v>37</v>
      </c>
      <c r="B16" s="35"/>
      <c r="C16" s="35"/>
      <c r="D16" s="35"/>
      <c r="E16" s="35"/>
      <c r="F16" s="36"/>
      <c r="G16" s="37">
        <v>400</v>
      </c>
      <c r="H16" s="38"/>
      <c r="I16" s="5" t="s">
        <v>19</v>
      </c>
      <c r="K16" s="28"/>
      <c r="L16" s="29"/>
      <c r="M16" s="29"/>
      <c r="N16" s="29"/>
      <c r="O16" s="29"/>
      <c r="P16" s="30"/>
      <c r="R16" s="51">
        <f>MIN('T15-2_3'!R3:R18)</f>
        <v>-3.4516400000000058E-3</v>
      </c>
      <c r="S16" s="51"/>
      <c r="T16" s="51">
        <f>MIN('T15-2_3'!S3:S18)</f>
        <v>-2.3333500000000118E-3</v>
      </c>
      <c r="U16" s="51"/>
      <c r="V16" s="51">
        <f>MAX('T15-2_3'!R3:R18)</f>
        <v>1.5533199999999969E-3</v>
      </c>
      <c r="W16" s="51"/>
      <c r="X16" s="51">
        <f>MAX('T15-2_3'!S3:S18)</f>
        <v>3.8366999999999707E-3</v>
      </c>
      <c r="Y16" s="51"/>
    </row>
    <row r="17" spans="1:25" x14ac:dyDescent="0.25">
      <c r="A17" s="34" t="s">
        <v>36</v>
      </c>
      <c r="B17" s="35"/>
      <c r="C17" s="35"/>
      <c r="D17" s="35"/>
      <c r="E17" s="35"/>
      <c r="F17" s="36"/>
      <c r="G17" s="37">
        <f>G11*G13*G14</f>
        <v>48000</v>
      </c>
      <c r="H17" s="38"/>
      <c r="I17" s="3"/>
      <c r="K17" s="31"/>
      <c r="L17" s="32"/>
      <c r="M17" s="32"/>
      <c r="N17" s="32"/>
      <c r="O17" s="32"/>
      <c r="P17" s="33"/>
      <c r="R17" s="51"/>
      <c r="S17" s="51"/>
      <c r="T17" s="51"/>
      <c r="U17" s="51"/>
      <c r="V17" s="51"/>
      <c r="W17" s="51"/>
      <c r="X17" s="51"/>
      <c r="Y17" s="51"/>
    </row>
    <row r="18" spans="1:25" ht="15.75" customHeight="1" x14ac:dyDescent="0.25">
      <c r="A18" s="12"/>
      <c r="B18" s="12"/>
      <c r="C18" s="12"/>
      <c r="D18" s="12"/>
      <c r="E18" s="12"/>
      <c r="F18" s="12"/>
      <c r="G18" s="13"/>
      <c r="H18" s="13"/>
      <c r="I18" s="14"/>
      <c r="K18" s="10"/>
      <c r="L18" s="10"/>
      <c r="M18" s="10"/>
      <c r="N18" s="10"/>
      <c r="O18" s="10"/>
      <c r="P18" s="10"/>
      <c r="R18" s="15"/>
      <c r="S18" s="15"/>
      <c r="T18" s="15"/>
      <c r="U18" s="15"/>
      <c r="V18" s="15"/>
      <c r="W18" s="15"/>
      <c r="X18" s="15"/>
      <c r="Y18" s="15"/>
    </row>
  </sheetData>
  <mergeCells count="43">
    <mergeCell ref="A17:F17"/>
    <mergeCell ref="A13:F13"/>
    <mergeCell ref="A14:F14"/>
    <mergeCell ref="A15:F15"/>
    <mergeCell ref="R16:S17"/>
    <mergeCell ref="R12:S15"/>
    <mergeCell ref="A12:F12"/>
    <mergeCell ref="T12:U15"/>
    <mergeCell ref="V12:W15"/>
    <mergeCell ref="X12:Y15"/>
    <mergeCell ref="T16:U17"/>
    <mergeCell ref="V16:W17"/>
    <mergeCell ref="X16:Y17"/>
    <mergeCell ref="R5:Y8"/>
    <mergeCell ref="G7:H7"/>
    <mergeCell ref="A5:F5"/>
    <mergeCell ref="G5:H5"/>
    <mergeCell ref="A6:F6"/>
    <mergeCell ref="G6:H6"/>
    <mergeCell ref="A7:F7"/>
    <mergeCell ref="G4:H4"/>
    <mergeCell ref="A1:B2"/>
    <mergeCell ref="C1:D2"/>
    <mergeCell ref="E1:Y2"/>
    <mergeCell ref="K4:P4"/>
    <mergeCell ref="A4:F4"/>
    <mergeCell ref="R4:Y4"/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34"/>
  <sheetViews>
    <sheetView workbookViewId="0">
      <selection activeCell="H2" sqref="H2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38</v>
      </c>
      <c r="V2" s="7" t="s">
        <v>39</v>
      </c>
      <c r="W2" s="7" t="s">
        <v>40</v>
      </c>
      <c r="X2" s="7" t="s">
        <v>41</v>
      </c>
      <c r="Y2" s="7" t="s">
        <v>42</v>
      </c>
      <c r="Z2" s="6" t="s">
        <v>43</v>
      </c>
      <c r="AA2" s="6" t="s">
        <v>44</v>
      </c>
      <c r="AB2" s="6" t="s">
        <v>45</v>
      </c>
    </row>
    <row r="3" spans="1:28" x14ac:dyDescent="0.25">
      <c r="A3">
        <v>1</v>
      </c>
      <c r="B3">
        <v>0</v>
      </c>
      <c r="C3">
        <v>15</v>
      </c>
      <c r="D3" s="1">
        <v>-0.30164000000000002</v>
      </c>
      <c r="E3" s="1">
        <v>-0.29899666000000003</v>
      </c>
      <c r="F3" s="1">
        <v>-2.64335E-3</v>
      </c>
      <c r="G3" s="1">
        <v>0.54417663999999999</v>
      </c>
      <c r="H3" s="1">
        <v>0.54798329999999995</v>
      </c>
      <c r="I3" s="1">
        <v>-3.80665E-3</v>
      </c>
      <c r="J3" s="1">
        <v>7.9786789999999996E-2</v>
      </c>
      <c r="K3" s="1">
        <v>1.7538410000000001E-2</v>
      </c>
      <c r="L3" s="1">
        <v>6.2248379999999999E-2</v>
      </c>
      <c r="M3" s="1">
        <v>-4.99316E-3</v>
      </c>
      <c r="N3" s="1">
        <v>-3.6652E-3</v>
      </c>
      <c r="O3" s="1">
        <v>-1.32796E-3</v>
      </c>
      <c r="R3">
        <f>(D3-E3)/2</f>
        <v>-1.321669999999997E-3</v>
      </c>
      <c r="S3">
        <f>(G3-H3)/2</f>
        <v>-1.9033299999999809E-3</v>
      </c>
      <c r="U3" s="8">
        <f>J3</f>
        <v>7.9786789999999996E-2</v>
      </c>
      <c r="V3" s="8">
        <f>M3</f>
        <v>-4.99316E-3</v>
      </c>
      <c r="W3" s="8">
        <f>K3</f>
        <v>1.7538410000000001E-2</v>
      </c>
      <c r="X3" s="8">
        <f>N3</f>
        <v>-3.6652E-3</v>
      </c>
      <c r="Y3" s="9">
        <f>IF(U3="","",DEGREES(ASIN(SQRT(U3^2+V3^2))))</f>
        <v>4.5852822847277013</v>
      </c>
      <c r="Z3" s="9">
        <f>IF(W3="","",DEGREES(ASIN(SQRT(W3^2+X3^2))))</f>
        <v>1.0266404090399914</v>
      </c>
      <c r="AA3" s="9">
        <f>IF(U3="","",MOD(DEGREES(ATAN2(U3,V3)),360))</f>
        <v>356.41902637136542</v>
      </c>
      <c r="AB3" s="9">
        <f>IF(U3="","",MOD(F3+AA3,360))</f>
        <v>356.41638302136539</v>
      </c>
    </row>
    <row r="4" spans="1:28" x14ac:dyDescent="0.25">
      <c r="A4">
        <v>2</v>
      </c>
      <c r="B4">
        <v>22.5</v>
      </c>
      <c r="C4">
        <v>15</v>
      </c>
      <c r="D4" s="1">
        <v>-0.29952666</v>
      </c>
      <c r="E4" s="1">
        <v>-0.29587668</v>
      </c>
      <c r="F4" s="1">
        <v>-3.6499800000000002E-3</v>
      </c>
      <c r="G4" s="1">
        <v>0.5448134</v>
      </c>
      <c r="H4" s="1">
        <v>0.54948010000000003</v>
      </c>
      <c r="I4" s="1">
        <v>-4.6666900000000002E-3</v>
      </c>
      <c r="J4" s="1">
        <v>7.7875330000000006E-2</v>
      </c>
      <c r="K4" s="1">
        <v>1.9255049999999999E-2</v>
      </c>
      <c r="L4" s="1">
        <v>5.8620279999999997E-2</v>
      </c>
      <c r="M4" s="1">
        <v>7.08122E-3</v>
      </c>
      <c r="N4" s="1">
        <v>-1.5867349999999999E-2</v>
      </c>
      <c r="O4" s="1">
        <v>2.2948570000000001E-2</v>
      </c>
      <c r="R4">
        <f>(D4-E4)/2</f>
        <v>-1.8249899999999986E-3</v>
      </c>
      <c r="S4">
        <f t="shared" ref="S4:S18" si="0">(G4-H4)/2</f>
        <v>-2.3333500000000118E-3</v>
      </c>
      <c r="U4" s="8">
        <f t="shared" ref="U4:U18" si="1">J4</f>
        <v>7.7875330000000006E-2</v>
      </c>
      <c r="V4" s="8">
        <f t="shared" ref="V4:V18" si="2">M4</f>
        <v>7.08122E-3</v>
      </c>
      <c r="W4" s="8">
        <f t="shared" ref="W4:W18" si="3">K4</f>
        <v>1.9255049999999999E-2</v>
      </c>
      <c r="X4" s="8">
        <f t="shared" ref="X4:X18" si="4">N4</f>
        <v>-1.5867349999999999E-2</v>
      </c>
      <c r="Y4" s="9">
        <f t="shared" ref="Y4:Y18" si="5">IF(U4="","",DEGREES(ASIN(SQRT(U4^2+V4^2))))</f>
        <v>4.4849146519452692</v>
      </c>
      <c r="Z4" s="9">
        <f t="shared" ref="Z4:Z18" si="6">IF(W4="","",DEGREES(ASIN(SQRT(W4^2+X4^2))))</f>
        <v>1.4297093489025245</v>
      </c>
      <c r="AA4" s="9">
        <f t="shared" ref="AA4:AA18" si="7">IF(U4="","",MOD(DEGREES(ATAN2(U4,V4)),360))</f>
        <v>5.1956289411155057</v>
      </c>
      <c r="AB4" s="9">
        <f t="shared" ref="AB4:AB18" si="8">IF(U4="","",MOD(F4+AA4,360))</f>
        <v>5.1919789611155061</v>
      </c>
    </row>
    <row r="5" spans="1:28" x14ac:dyDescent="0.25">
      <c r="A5">
        <v>3</v>
      </c>
      <c r="B5">
        <v>45</v>
      </c>
      <c r="C5">
        <v>15</v>
      </c>
      <c r="D5" s="1">
        <v>-0.29831664000000002</v>
      </c>
      <c r="E5" s="1">
        <v>-0.29854668000000001</v>
      </c>
      <c r="F5" s="1">
        <v>2.3004000000000001E-4</v>
      </c>
      <c r="G5" s="1">
        <v>0.54225343999999998</v>
      </c>
      <c r="H5" s="1">
        <v>0.54316335999999998</v>
      </c>
      <c r="I5" s="1">
        <v>-9.0992000000000004E-4</v>
      </c>
      <c r="J5" s="1">
        <v>7.0400389999999993E-2</v>
      </c>
      <c r="K5" s="1">
        <v>2.581087E-2</v>
      </c>
      <c r="L5" s="1">
        <v>4.4589520000000001E-2</v>
      </c>
      <c r="M5" s="1">
        <v>1.7224610000000001E-2</v>
      </c>
      <c r="N5" s="1">
        <v>-2.5825839999999999E-2</v>
      </c>
      <c r="O5" s="1">
        <v>4.3050449999999997E-2</v>
      </c>
      <c r="R5">
        <f t="shared" ref="R5:R18" si="9">(D5-E5)/2</f>
        <v>1.1501999999999346E-4</v>
      </c>
      <c r="S5">
        <f t="shared" si="0"/>
        <v>-4.5496000000000425E-4</v>
      </c>
      <c r="U5" s="8">
        <f t="shared" si="1"/>
        <v>7.0400389999999993E-2</v>
      </c>
      <c r="V5" s="8">
        <f t="shared" si="2"/>
        <v>1.7224610000000001E-2</v>
      </c>
      <c r="W5" s="8">
        <f t="shared" si="3"/>
        <v>2.581087E-2</v>
      </c>
      <c r="X5" s="8">
        <f t="shared" si="4"/>
        <v>-2.5825839999999999E-2</v>
      </c>
      <c r="Y5" s="9">
        <f t="shared" si="5"/>
        <v>4.1562650769679275</v>
      </c>
      <c r="Z5" s="9">
        <f t="shared" si="6"/>
        <v>2.092486969208009</v>
      </c>
      <c r="AA5" s="9">
        <f t="shared" si="7"/>
        <v>13.748267781603881</v>
      </c>
      <c r="AB5" s="9">
        <f t="shared" si="8"/>
        <v>13.74849782160388</v>
      </c>
    </row>
    <row r="6" spans="1:28" x14ac:dyDescent="0.25">
      <c r="A6">
        <v>4</v>
      </c>
      <c r="B6">
        <v>67.5</v>
      </c>
      <c r="C6">
        <v>15</v>
      </c>
      <c r="D6" s="1">
        <v>-0.29858669999999998</v>
      </c>
      <c r="E6" s="1">
        <v>-0.29880669999999998</v>
      </c>
      <c r="F6" s="1">
        <v>2.2000000000000001E-4</v>
      </c>
      <c r="G6" s="1">
        <v>0.54382675999999996</v>
      </c>
      <c r="H6" s="1">
        <v>0.54620004</v>
      </c>
      <c r="I6" s="1">
        <v>-2.3732800000000002E-3</v>
      </c>
      <c r="J6" s="1">
        <v>6.074251E-2</v>
      </c>
      <c r="K6" s="1">
        <v>3.5588210000000002E-2</v>
      </c>
      <c r="L6" s="1">
        <v>2.5154300000000001E-2</v>
      </c>
      <c r="M6" s="1">
        <v>2.4238119999999998E-2</v>
      </c>
      <c r="N6" s="1">
        <v>-3.2795079999999997E-2</v>
      </c>
      <c r="O6" s="1">
        <v>5.7033199999999999E-2</v>
      </c>
      <c r="R6">
        <f t="shared" si="9"/>
        <v>1.0999999999999899E-4</v>
      </c>
      <c r="S6">
        <f t="shared" si="0"/>
        <v>-1.1866400000000166E-3</v>
      </c>
      <c r="U6" s="8">
        <f t="shared" si="1"/>
        <v>6.074251E-2</v>
      </c>
      <c r="V6" s="8">
        <f t="shared" si="2"/>
        <v>2.4238119999999998E-2</v>
      </c>
      <c r="W6" s="8">
        <f t="shared" si="3"/>
        <v>3.5588210000000002E-2</v>
      </c>
      <c r="X6" s="8">
        <f t="shared" si="4"/>
        <v>-3.2795079999999997E-2</v>
      </c>
      <c r="Y6" s="9">
        <f t="shared" si="5"/>
        <v>3.7498110972276941</v>
      </c>
      <c r="Z6" s="9">
        <f t="shared" si="6"/>
        <v>2.7738901971173164</v>
      </c>
      <c r="AA6" s="9">
        <f t="shared" si="7"/>
        <v>21.753511824774883</v>
      </c>
      <c r="AB6" s="9">
        <f t="shared" si="8"/>
        <v>21.753731824774881</v>
      </c>
    </row>
    <row r="7" spans="1:28" x14ac:dyDescent="0.25">
      <c r="A7">
        <v>5</v>
      </c>
      <c r="B7">
        <v>90</v>
      </c>
      <c r="C7">
        <v>15</v>
      </c>
      <c r="D7" s="1">
        <v>-0.29823001999999998</v>
      </c>
      <c r="E7" s="1">
        <v>-0.30013664000000001</v>
      </c>
      <c r="F7" s="1">
        <v>1.9066E-3</v>
      </c>
      <c r="G7" s="1">
        <v>0.54376340000000001</v>
      </c>
      <c r="H7" s="1">
        <v>0.54453344000000004</v>
      </c>
      <c r="I7" s="1">
        <v>-7.7003E-4</v>
      </c>
      <c r="J7" s="1">
        <v>4.9059890000000002E-2</v>
      </c>
      <c r="K7" s="1">
        <v>4.781266E-2</v>
      </c>
      <c r="L7" s="1">
        <v>1.24723E-3</v>
      </c>
      <c r="M7" s="1">
        <v>2.6564129999999998E-2</v>
      </c>
      <c r="N7" s="1">
        <v>-3.5433760000000002E-2</v>
      </c>
      <c r="O7" s="1">
        <v>6.199789E-2</v>
      </c>
      <c r="R7">
        <f t="shared" si="9"/>
        <v>9.5331000000001276E-4</v>
      </c>
      <c r="S7">
        <f t="shared" si="0"/>
        <v>-3.8502000000001368E-4</v>
      </c>
      <c r="U7" s="8">
        <f t="shared" si="1"/>
        <v>4.9059890000000002E-2</v>
      </c>
      <c r="V7" s="8">
        <f t="shared" si="2"/>
        <v>2.6564129999999998E-2</v>
      </c>
      <c r="W7" s="8">
        <f t="shared" si="3"/>
        <v>4.781266E-2</v>
      </c>
      <c r="X7" s="8">
        <f t="shared" si="4"/>
        <v>-3.5433760000000002E-2</v>
      </c>
      <c r="Y7" s="9">
        <f t="shared" si="5"/>
        <v>3.1981929586486926</v>
      </c>
      <c r="Z7" s="9">
        <f t="shared" si="6"/>
        <v>3.4117655586421303</v>
      </c>
      <c r="AA7" s="9">
        <f t="shared" si="7"/>
        <v>28.433919079368824</v>
      </c>
      <c r="AB7" s="9">
        <f t="shared" si="8"/>
        <v>28.435825679368826</v>
      </c>
    </row>
    <row r="8" spans="1:28" x14ac:dyDescent="0.25">
      <c r="A8">
        <v>6</v>
      </c>
      <c r="B8">
        <v>112.5</v>
      </c>
      <c r="C8">
        <v>15</v>
      </c>
      <c r="D8" s="1">
        <v>-0.29860335999999998</v>
      </c>
      <c r="E8" s="1">
        <v>-0.30170999999999998</v>
      </c>
      <c r="F8" s="1">
        <v>3.1066499999999999E-3</v>
      </c>
      <c r="G8" s="1">
        <v>0.54682003999999995</v>
      </c>
      <c r="H8" s="1">
        <v>0.54561680000000001</v>
      </c>
      <c r="I8" s="1">
        <v>1.20324E-3</v>
      </c>
      <c r="J8" s="1">
        <v>3.7072760000000003E-2</v>
      </c>
      <c r="K8" s="1">
        <v>5.9695150000000002E-2</v>
      </c>
      <c r="L8" s="1">
        <v>-2.2622389999999999E-2</v>
      </c>
      <c r="M8" s="1">
        <v>2.4471679999999999E-2</v>
      </c>
      <c r="N8" s="1">
        <v>-3.3384759999999999E-2</v>
      </c>
      <c r="O8" s="1">
        <v>5.7856440000000002E-2</v>
      </c>
      <c r="R8">
        <f t="shared" si="9"/>
        <v>1.5533199999999969E-3</v>
      </c>
      <c r="S8">
        <f t="shared" si="0"/>
        <v>6.016199999999694E-4</v>
      </c>
      <c r="U8" s="8">
        <f t="shared" si="1"/>
        <v>3.7072760000000003E-2</v>
      </c>
      <c r="V8" s="8">
        <f t="shared" si="2"/>
        <v>2.4471679999999999E-2</v>
      </c>
      <c r="W8" s="8">
        <f t="shared" si="3"/>
        <v>5.9695150000000002E-2</v>
      </c>
      <c r="X8" s="8">
        <f t="shared" si="4"/>
        <v>-3.3384759999999999E-2</v>
      </c>
      <c r="Y8" s="9">
        <f t="shared" si="5"/>
        <v>2.5459912847527804</v>
      </c>
      <c r="Z8" s="9">
        <f t="shared" si="6"/>
        <v>3.9218808800220857</v>
      </c>
      <c r="AA8" s="9">
        <f t="shared" si="7"/>
        <v>33.428749454971289</v>
      </c>
      <c r="AB8" s="9">
        <f t="shared" si="8"/>
        <v>33.431856104971288</v>
      </c>
    </row>
    <row r="9" spans="1:28" x14ac:dyDescent="0.25">
      <c r="A9">
        <v>7</v>
      </c>
      <c r="B9">
        <v>135</v>
      </c>
      <c r="C9">
        <v>15</v>
      </c>
      <c r="D9" s="1">
        <v>-0.29746336000000001</v>
      </c>
      <c r="E9" s="1">
        <v>-0.29799998</v>
      </c>
      <c r="F9" s="1">
        <v>5.3662000000000002E-4</v>
      </c>
      <c r="G9" s="1">
        <v>0.54532009999999997</v>
      </c>
      <c r="H9" s="1">
        <v>0.54392344000000004</v>
      </c>
      <c r="I9" s="1">
        <v>1.3966600000000001E-3</v>
      </c>
      <c r="J9" s="1">
        <v>2.6783040000000001E-2</v>
      </c>
      <c r="K9" s="1">
        <v>6.9860679999999994E-2</v>
      </c>
      <c r="L9" s="1">
        <v>-4.307764E-2</v>
      </c>
      <c r="M9" s="1">
        <v>1.792529E-2</v>
      </c>
      <c r="N9" s="1">
        <v>-2.6733719999999999E-2</v>
      </c>
      <c r="O9" s="1">
        <v>4.4659020000000001E-2</v>
      </c>
      <c r="R9">
        <f t="shared" si="9"/>
        <v>2.6830999999999383E-4</v>
      </c>
      <c r="S9">
        <f t="shared" si="0"/>
        <v>6.9832999999996925E-4</v>
      </c>
      <c r="U9" s="8">
        <f t="shared" si="1"/>
        <v>2.6783040000000001E-2</v>
      </c>
      <c r="V9" s="8">
        <f t="shared" si="2"/>
        <v>1.792529E-2</v>
      </c>
      <c r="W9" s="8">
        <f t="shared" si="3"/>
        <v>6.9860679999999994E-2</v>
      </c>
      <c r="X9" s="8">
        <f t="shared" si="4"/>
        <v>-2.6733719999999999E-2</v>
      </c>
      <c r="Y9" s="9">
        <f t="shared" si="5"/>
        <v>1.8468510868047632</v>
      </c>
      <c r="Z9" s="9">
        <f t="shared" si="6"/>
        <v>4.289794776629904</v>
      </c>
      <c r="AA9" s="9">
        <f t="shared" si="7"/>
        <v>33.793510723543974</v>
      </c>
      <c r="AB9" s="9">
        <f t="shared" si="8"/>
        <v>33.794047343543973</v>
      </c>
    </row>
    <row r="10" spans="1:28" x14ac:dyDescent="0.25">
      <c r="A10">
        <v>8</v>
      </c>
      <c r="B10">
        <v>157.5</v>
      </c>
      <c r="C10">
        <v>15</v>
      </c>
      <c r="D10" s="1">
        <v>-0.29882666000000002</v>
      </c>
      <c r="E10" s="1">
        <v>-0.29866335999999999</v>
      </c>
      <c r="F10" s="1">
        <v>-1.6332E-4</v>
      </c>
      <c r="G10" s="1">
        <v>0.54379670000000002</v>
      </c>
      <c r="H10" s="1">
        <v>0.54184339999999998</v>
      </c>
      <c r="I10" s="1">
        <v>1.9532999999999998E-3</v>
      </c>
      <c r="J10" s="1">
        <v>1.896484E-2</v>
      </c>
      <c r="K10" s="1">
        <v>7.6758140000000002E-2</v>
      </c>
      <c r="L10" s="1">
        <v>-5.7793299999999999E-2</v>
      </c>
      <c r="M10" s="1">
        <v>7.9394500000000007E-3</v>
      </c>
      <c r="N10" s="1">
        <v>-1.6619789999999999E-2</v>
      </c>
      <c r="O10" s="1">
        <v>2.455924E-2</v>
      </c>
      <c r="R10">
        <f>(D10-E10)/2</f>
        <v>-8.1650000000016432E-5</v>
      </c>
      <c r="S10">
        <f t="shared" si="0"/>
        <v>9.7665000000002333E-4</v>
      </c>
      <c r="U10" s="8">
        <f t="shared" si="1"/>
        <v>1.896484E-2</v>
      </c>
      <c r="V10" s="8">
        <f t="shared" si="2"/>
        <v>7.9394500000000007E-3</v>
      </c>
      <c r="W10" s="8">
        <f t="shared" si="3"/>
        <v>7.6758140000000002E-2</v>
      </c>
      <c r="X10" s="8">
        <f t="shared" si="4"/>
        <v>-1.6619789999999999E-2</v>
      </c>
      <c r="Y10" s="9">
        <f t="shared" si="5"/>
        <v>1.1780653127089942</v>
      </c>
      <c r="Z10" s="9">
        <f t="shared" si="6"/>
        <v>4.5044660982838041</v>
      </c>
      <c r="AA10" s="9">
        <f t="shared" si="7"/>
        <v>22.716159805948031</v>
      </c>
      <c r="AB10" s="9">
        <f t="shared" si="8"/>
        <v>22.715996485948033</v>
      </c>
    </row>
    <row r="11" spans="1:28" x14ac:dyDescent="0.25">
      <c r="A11">
        <v>9</v>
      </c>
      <c r="B11">
        <v>180</v>
      </c>
      <c r="C11">
        <v>15</v>
      </c>
      <c r="D11" s="1">
        <v>-0.29685006000000003</v>
      </c>
      <c r="E11" s="1">
        <v>-0.29942999999999997</v>
      </c>
      <c r="F11" s="1">
        <v>2.5799600000000001E-3</v>
      </c>
      <c r="G11" s="1">
        <v>0.54874009999999995</v>
      </c>
      <c r="H11" s="1">
        <v>0.54106670000000001</v>
      </c>
      <c r="I11" s="1">
        <v>7.6733799999999996E-3</v>
      </c>
      <c r="J11" s="1">
        <v>1.7040199999999998E-2</v>
      </c>
      <c r="K11" s="1">
        <v>7.9412109999999994E-2</v>
      </c>
      <c r="L11" s="1">
        <v>-6.2371910000000003E-2</v>
      </c>
      <c r="M11" s="1">
        <v>-4.1909199999999999E-3</v>
      </c>
      <c r="N11" s="1">
        <v>-5.0087899999999999E-3</v>
      </c>
      <c r="O11" s="1">
        <v>8.1786999999999995E-4</v>
      </c>
      <c r="R11">
        <f t="shared" si="9"/>
        <v>1.2899699999999736E-3</v>
      </c>
      <c r="S11">
        <f t="shared" si="0"/>
        <v>3.8366999999999707E-3</v>
      </c>
      <c r="U11" s="8">
        <f t="shared" si="1"/>
        <v>1.7040199999999998E-2</v>
      </c>
      <c r="V11" s="8">
        <f t="shared" si="2"/>
        <v>-4.1909199999999999E-3</v>
      </c>
      <c r="W11" s="8">
        <f t="shared" si="3"/>
        <v>7.9412109999999994E-2</v>
      </c>
      <c r="X11" s="8">
        <f t="shared" si="4"/>
        <v>-5.0087899999999999E-3</v>
      </c>
      <c r="Y11" s="9">
        <f t="shared" si="5"/>
        <v>1.0054778200247563</v>
      </c>
      <c r="Z11" s="9">
        <f t="shared" si="6"/>
        <v>4.5638448071502458</v>
      </c>
      <c r="AA11" s="9">
        <f t="shared" si="7"/>
        <v>346.18273338308666</v>
      </c>
      <c r="AB11" s="9">
        <f t="shared" si="8"/>
        <v>346.18531334308665</v>
      </c>
    </row>
    <row r="12" spans="1:28" x14ac:dyDescent="0.25">
      <c r="A12">
        <v>10</v>
      </c>
      <c r="B12">
        <v>202.5</v>
      </c>
      <c r="C12">
        <v>15</v>
      </c>
      <c r="D12" s="1">
        <v>-0.29576668</v>
      </c>
      <c r="E12" s="1">
        <v>-0.29818338</v>
      </c>
      <c r="F12" s="1">
        <v>2.4166999999999999E-3</v>
      </c>
      <c r="G12" s="1">
        <v>0.54533330000000002</v>
      </c>
      <c r="H12" s="1">
        <v>0.54201007999999995</v>
      </c>
      <c r="I12" s="1">
        <v>3.3232600000000002E-3</v>
      </c>
      <c r="J12" s="1">
        <v>1.9133629999999999E-2</v>
      </c>
      <c r="K12" s="1">
        <v>7.6916180000000001E-2</v>
      </c>
      <c r="L12" s="1">
        <v>-5.7782550000000002E-2</v>
      </c>
      <c r="M12" s="1">
        <v>-1.5886230000000001E-2</v>
      </c>
      <c r="N12" s="1">
        <v>6.9090200000000001E-3</v>
      </c>
      <c r="O12" s="1">
        <v>-2.2795240000000001E-2</v>
      </c>
      <c r="R12">
        <f t="shared" si="9"/>
        <v>1.2083499999999969E-3</v>
      </c>
      <c r="S12">
        <f t="shared" si="0"/>
        <v>1.6616100000000356E-3</v>
      </c>
      <c r="U12" s="8">
        <f t="shared" si="1"/>
        <v>1.9133629999999999E-2</v>
      </c>
      <c r="V12" s="8">
        <f t="shared" si="2"/>
        <v>-1.5886230000000001E-2</v>
      </c>
      <c r="W12" s="8">
        <f t="shared" si="3"/>
        <v>7.6916180000000001E-2</v>
      </c>
      <c r="X12" s="8">
        <f t="shared" si="4"/>
        <v>6.9090200000000001E-3</v>
      </c>
      <c r="Y12" s="9">
        <f t="shared" si="5"/>
        <v>1.4250367387815619</v>
      </c>
      <c r="Z12" s="9">
        <f t="shared" si="6"/>
        <v>4.4291256815559708</v>
      </c>
      <c r="AA12" s="9">
        <f t="shared" si="7"/>
        <v>320.29790064515481</v>
      </c>
      <c r="AB12" s="9">
        <f t="shared" si="8"/>
        <v>320.30031734515484</v>
      </c>
    </row>
    <row r="13" spans="1:28" x14ac:dyDescent="0.25">
      <c r="A13">
        <v>11</v>
      </c>
      <c r="B13">
        <v>225</v>
      </c>
      <c r="C13">
        <v>15</v>
      </c>
      <c r="D13" s="1">
        <v>-0.30064669999999999</v>
      </c>
      <c r="E13" s="1">
        <v>-0.29628330000000003</v>
      </c>
      <c r="F13" s="1">
        <v>-4.36339E-3</v>
      </c>
      <c r="G13" s="1">
        <v>0.55167999999999995</v>
      </c>
      <c r="H13" s="1">
        <v>0.54465675999999996</v>
      </c>
      <c r="I13" s="1">
        <v>7.0232799999999998E-3</v>
      </c>
      <c r="J13" s="1">
        <v>2.614062E-2</v>
      </c>
      <c r="K13" s="1">
        <v>7.0432460000000002E-2</v>
      </c>
      <c r="L13" s="1">
        <v>-4.4291829999999997E-2</v>
      </c>
      <c r="M13" s="1">
        <v>-2.6103680000000001E-2</v>
      </c>
      <c r="N13" s="1">
        <v>1.7193199999999999E-2</v>
      </c>
      <c r="O13" s="1">
        <v>-4.3296870000000001E-2</v>
      </c>
      <c r="R13">
        <f t="shared" si="9"/>
        <v>-2.1816999999999809E-3</v>
      </c>
      <c r="S13">
        <f t="shared" si="0"/>
        <v>3.5116199999999931E-3</v>
      </c>
      <c r="U13" s="8">
        <f t="shared" si="1"/>
        <v>2.614062E-2</v>
      </c>
      <c r="V13" s="8">
        <f t="shared" si="2"/>
        <v>-2.6103680000000001E-2</v>
      </c>
      <c r="W13" s="8">
        <f t="shared" si="3"/>
        <v>7.0432460000000002E-2</v>
      </c>
      <c r="X13" s="8">
        <f t="shared" si="4"/>
        <v>1.7193199999999999E-2</v>
      </c>
      <c r="Y13" s="9">
        <f t="shared" si="5"/>
        <v>2.1171200736584925</v>
      </c>
      <c r="Z13" s="9">
        <f t="shared" si="6"/>
        <v>4.157626362298819</v>
      </c>
      <c r="AA13" s="9">
        <f t="shared" si="7"/>
        <v>315.04051170639679</v>
      </c>
      <c r="AB13" s="9">
        <f t="shared" si="8"/>
        <v>315.0361483163968</v>
      </c>
    </row>
    <row r="14" spans="1:28" x14ac:dyDescent="0.25">
      <c r="A14">
        <v>12</v>
      </c>
      <c r="B14">
        <v>247.5</v>
      </c>
      <c r="C14">
        <v>15</v>
      </c>
      <c r="D14" s="1">
        <v>-0.30378332000000002</v>
      </c>
      <c r="E14" s="1">
        <v>-0.29880997999999998</v>
      </c>
      <c r="F14" s="1">
        <v>-4.9733499999999996E-3</v>
      </c>
      <c r="G14" s="1">
        <v>0.54736680000000004</v>
      </c>
      <c r="H14" s="1">
        <v>0.54218332000000002</v>
      </c>
      <c r="I14" s="1">
        <v>5.18346E-3</v>
      </c>
      <c r="J14" s="1">
        <v>3.5659999999999997E-2</v>
      </c>
      <c r="K14" s="1">
        <v>5.9753750000000001E-2</v>
      </c>
      <c r="L14" s="1">
        <v>-2.4093759999999999E-2</v>
      </c>
      <c r="M14" s="1">
        <v>-3.3096519999999997E-2</v>
      </c>
      <c r="N14" s="1">
        <v>2.3880530000000001E-2</v>
      </c>
      <c r="O14" s="1">
        <v>-5.6977050000000001E-2</v>
      </c>
      <c r="R14">
        <f t="shared" si="9"/>
        <v>-2.4866700000000241E-3</v>
      </c>
      <c r="S14">
        <f t="shared" si="0"/>
        <v>2.591740000000009E-3</v>
      </c>
      <c r="U14" s="8">
        <f t="shared" si="1"/>
        <v>3.5659999999999997E-2</v>
      </c>
      <c r="V14" s="8">
        <f t="shared" si="2"/>
        <v>-3.3096519999999997E-2</v>
      </c>
      <c r="W14" s="8">
        <f t="shared" si="3"/>
        <v>5.9753750000000001E-2</v>
      </c>
      <c r="X14" s="8">
        <f t="shared" si="4"/>
        <v>2.3880530000000001E-2</v>
      </c>
      <c r="Y14" s="9">
        <f t="shared" si="5"/>
        <v>2.7886540348005191</v>
      </c>
      <c r="Z14" s="9">
        <f t="shared" si="6"/>
        <v>3.6894737970530387</v>
      </c>
      <c r="AA14" s="9">
        <f t="shared" si="7"/>
        <v>317.13519512103267</v>
      </c>
      <c r="AB14" s="9">
        <f t="shared" si="8"/>
        <v>317.13022177103267</v>
      </c>
    </row>
    <row r="15" spans="1:28" x14ac:dyDescent="0.25">
      <c r="A15">
        <v>13</v>
      </c>
      <c r="B15">
        <v>270</v>
      </c>
      <c r="C15">
        <v>15</v>
      </c>
      <c r="D15" s="1">
        <v>-0.30203335999999997</v>
      </c>
      <c r="E15" s="1">
        <v>-0.29852334000000003</v>
      </c>
      <c r="F15" s="1">
        <v>-3.5100299999999999E-3</v>
      </c>
      <c r="G15" s="1">
        <v>0.54845670000000002</v>
      </c>
      <c r="H15" s="1">
        <v>0.54522009999999999</v>
      </c>
      <c r="I15" s="1">
        <v>3.2366500000000002E-3</v>
      </c>
      <c r="J15" s="1">
        <v>4.8045240000000003E-2</v>
      </c>
      <c r="K15" s="1">
        <v>4.8131510000000002E-2</v>
      </c>
      <c r="L15" s="1">
        <v>-8.6269999999999999E-5</v>
      </c>
      <c r="M15" s="1">
        <v>-3.5650880000000003E-2</v>
      </c>
      <c r="N15" s="1">
        <v>2.662484E-2</v>
      </c>
      <c r="O15" s="1">
        <v>-6.227572E-2</v>
      </c>
      <c r="R15">
        <f t="shared" si="9"/>
        <v>-1.7550099999999735E-3</v>
      </c>
      <c r="S15">
        <f t="shared" si="0"/>
        <v>1.6183000000000169E-3</v>
      </c>
      <c r="U15" s="8">
        <f t="shared" si="1"/>
        <v>4.8045240000000003E-2</v>
      </c>
      <c r="V15" s="8">
        <f t="shared" si="2"/>
        <v>-3.5650880000000003E-2</v>
      </c>
      <c r="W15" s="8">
        <f t="shared" si="3"/>
        <v>4.8131510000000002E-2</v>
      </c>
      <c r="X15" s="8">
        <f t="shared" si="4"/>
        <v>2.662484E-2</v>
      </c>
      <c r="Y15" s="9">
        <f t="shared" si="5"/>
        <v>3.4299117343212697</v>
      </c>
      <c r="Z15" s="9">
        <f t="shared" si="6"/>
        <v>3.1531323299918497</v>
      </c>
      <c r="AA15" s="9">
        <f t="shared" si="7"/>
        <v>323.42357599147522</v>
      </c>
      <c r="AB15" s="9">
        <f t="shared" si="8"/>
        <v>323.42006596147525</v>
      </c>
    </row>
    <row r="16" spans="1:28" x14ac:dyDescent="0.25">
      <c r="A16">
        <v>14</v>
      </c>
      <c r="B16">
        <v>292.5</v>
      </c>
      <c r="C16">
        <v>15</v>
      </c>
      <c r="D16" s="1">
        <v>-0.30144998000000001</v>
      </c>
      <c r="E16" s="1">
        <v>-0.29861668000000002</v>
      </c>
      <c r="F16" s="1">
        <v>-2.8333099999999999E-3</v>
      </c>
      <c r="G16" s="1">
        <v>0.54797010000000002</v>
      </c>
      <c r="H16" s="1">
        <v>0.54460675999999997</v>
      </c>
      <c r="I16" s="1">
        <v>3.3633700000000001E-3</v>
      </c>
      <c r="J16" s="1">
        <v>6.0217439999999997E-2</v>
      </c>
      <c r="K16" s="1">
        <v>3.5944009999999998E-2</v>
      </c>
      <c r="L16" s="1">
        <v>2.4273429999999999E-2</v>
      </c>
      <c r="M16" s="1">
        <v>-3.3471029999999999E-2</v>
      </c>
      <c r="N16" s="1">
        <v>2.437988E-2</v>
      </c>
      <c r="O16" s="1">
        <v>-5.7850909999999998E-2</v>
      </c>
      <c r="R16">
        <f t="shared" si="9"/>
        <v>-1.4166499999999915E-3</v>
      </c>
      <c r="S16">
        <f t="shared" si="0"/>
        <v>1.681670000000024E-3</v>
      </c>
      <c r="U16" s="8">
        <f t="shared" si="1"/>
        <v>6.0217439999999997E-2</v>
      </c>
      <c r="V16" s="8">
        <f t="shared" si="2"/>
        <v>-3.3471029999999999E-2</v>
      </c>
      <c r="W16" s="8">
        <f t="shared" si="3"/>
        <v>3.5944009999999998E-2</v>
      </c>
      <c r="X16" s="8">
        <f t="shared" si="4"/>
        <v>2.437988E-2</v>
      </c>
      <c r="Y16" s="9">
        <f t="shared" si="5"/>
        <v>3.9504925153798665</v>
      </c>
      <c r="Z16" s="9">
        <f t="shared" si="6"/>
        <v>2.4892610875155277</v>
      </c>
      <c r="AA16" s="9">
        <f t="shared" si="7"/>
        <v>330.93311221235439</v>
      </c>
      <c r="AB16" s="9">
        <f t="shared" si="8"/>
        <v>330.93027890235436</v>
      </c>
    </row>
    <row r="17" spans="1:28" x14ac:dyDescent="0.25">
      <c r="A17">
        <v>15</v>
      </c>
      <c r="B17">
        <v>315</v>
      </c>
      <c r="C17">
        <v>15</v>
      </c>
      <c r="D17" s="1">
        <v>-0.29998338000000002</v>
      </c>
      <c r="E17" s="1">
        <v>-0.29752338</v>
      </c>
      <c r="F17" s="1">
        <v>-2.4599999999999999E-3</v>
      </c>
      <c r="G17" s="1">
        <v>0.54284339999999998</v>
      </c>
      <c r="H17" s="1">
        <v>0.54260003999999995</v>
      </c>
      <c r="I17" s="1">
        <v>2.4337E-4</v>
      </c>
      <c r="J17" s="1">
        <v>6.9718260000000004E-2</v>
      </c>
      <c r="K17" s="1">
        <v>2.6437820000000001E-2</v>
      </c>
      <c r="L17" s="1">
        <v>4.3280440000000003E-2</v>
      </c>
      <c r="M17" s="1">
        <v>-2.6922689999999999E-2</v>
      </c>
      <c r="N17" s="1">
        <v>1.781429E-2</v>
      </c>
      <c r="O17" s="1">
        <v>-4.4736980000000003E-2</v>
      </c>
      <c r="R17">
        <f t="shared" si="9"/>
        <v>-1.2300000000000089E-3</v>
      </c>
      <c r="S17">
        <f t="shared" si="0"/>
        <v>1.2168000000001289E-4</v>
      </c>
      <c r="U17" s="8">
        <f t="shared" si="1"/>
        <v>6.9718260000000004E-2</v>
      </c>
      <c r="V17" s="8">
        <f t="shared" si="2"/>
        <v>-2.6922689999999999E-2</v>
      </c>
      <c r="W17" s="8">
        <f t="shared" si="3"/>
        <v>2.6437820000000001E-2</v>
      </c>
      <c r="X17" s="8">
        <f t="shared" si="4"/>
        <v>1.781429E-2</v>
      </c>
      <c r="Y17" s="9">
        <f t="shared" si="5"/>
        <v>4.286052616433822</v>
      </c>
      <c r="Z17" s="9">
        <f t="shared" si="6"/>
        <v>1.8268745908432427</v>
      </c>
      <c r="AA17" s="9">
        <f t="shared" si="7"/>
        <v>338.88522853559709</v>
      </c>
      <c r="AB17" s="9">
        <f t="shared" si="8"/>
        <v>338.88276853559711</v>
      </c>
    </row>
    <row r="18" spans="1:28" x14ac:dyDescent="0.25">
      <c r="A18">
        <v>16</v>
      </c>
      <c r="B18">
        <v>337.5</v>
      </c>
      <c r="C18">
        <v>15</v>
      </c>
      <c r="D18" s="1">
        <v>-0.30187996</v>
      </c>
      <c r="E18" s="1">
        <v>-0.29497667999999999</v>
      </c>
      <c r="F18" s="1">
        <v>-6.9032900000000003E-3</v>
      </c>
      <c r="G18" s="1">
        <v>0.54116339999999996</v>
      </c>
      <c r="H18" s="1">
        <v>0.54410340000000001</v>
      </c>
      <c r="I18" s="1">
        <v>-2.9399999999999999E-3</v>
      </c>
      <c r="J18" s="1">
        <v>7.6845060000000007E-2</v>
      </c>
      <c r="K18" s="1">
        <v>1.928792E-2</v>
      </c>
      <c r="L18" s="1">
        <v>5.755714E-2</v>
      </c>
      <c r="M18" s="1">
        <v>-1.6797200000000002E-2</v>
      </c>
      <c r="N18" s="1">
        <v>7.8229200000000006E-3</v>
      </c>
      <c r="O18" s="1">
        <v>-2.4620119999999999E-2</v>
      </c>
      <c r="R18">
        <f t="shared" si="9"/>
        <v>-3.4516400000000058E-3</v>
      </c>
      <c r="S18">
        <f t="shared" si="0"/>
        <v>-1.4700000000000268E-3</v>
      </c>
      <c r="U18" s="8">
        <f t="shared" si="1"/>
        <v>7.6845060000000007E-2</v>
      </c>
      <c r="V18" s="8">
        <f t="shared" si="2"/>
        <v>-1.6797200000000002E-2</v>
      </c>
      <c r="W18" s="8">
        <f t="shared" si="3"/>
        <v>1.928792E-2</v>
      </c>
      <c r="X18" s="8">
        <f t="shared" si="4"/>
        <v>7.8229200000000006E-3</v>
      </c>
      <c r="Y18" s="9">
        <f t="shared" si="5"/>
        <v>4.51151507860944</v>
      </c>
      <c r="Z18" s="9">
        <f t="shared" si="6"/>
        <v>1.1926395688577749</v>
      </c>
      <c r="AA18" s="9">
        <f t="shared" si="7"/>
        <v>347.66991906158131</v>
      </c>
      <c r="AB18" s="9">
        <f t="shared" si="8"/>
        <v>347.66301577158129</v>
      </c>
    </row>
    <row r="19" spans="1:28" s="17" customFormat="1" x14ac:dyDescent="0.25">
      <c r="A19" s="17">
        <v>17</v>
      </c>
      <c r="B19" s="17">
        <v>0</v>
      </c>
      <c r="C19" s="17">
        <v>15</v>
      </c>
      <c r="D19" s="17">
        <v>-0.25457999999999997</v>
      </c>
      <c r="E19" s="17">
        <v>-0.24721662</v>
      </c>
      <c r="F19" s="17">
        <v>-7.3633600000000002E-3</v>
      </c>
      <c r="G19" s="17">
        <v>0.46114664</v>
      </c>
      <c r="H19" s="17">
        <v>0.45963332000000001</v>
      </c>
      <c r="I19" s="17">
        <v>1.51333E-3</v>
      </c>
      <c r="J19" s="17">
        <v>4.7257E-2</v>
      </c>
      <c r="K19" s="17">
        <v>4.7365070000000002E-2</v>
      </c>
      <c r="L19" s="17">
        <v>-1.0807E-4</v>
      </c>
      <c r="M19" s="17">
        <v>-3.7000819999999997E-2</v>
      </c>
      <c r="N19" s="17">
        <v>2.4783690000000001E-2</v>
      </c>
      <c r="O19" s="17">
        <v>-6.1784510000000001E-2</v>
      </c>
      <c r="R19" s="17">
        <f t="shared" ref="R19:R34" si="10">(D19-E19)/2</f>
        <v>-3.6816899999999875E-3</v>
      </c>
      <c r="S19" s="17">
        <f t="shared" ref="S19:S34" si="11">(G19-H19)/2</f>
        <v>7.5665999999999234E-4</v>
      </c>
      <c r="U19" s="18">
        <f t="shared" ref="U19:U34" si="12">J19</f>
        <v>4.7257E-2</v>
      </c>
      <c r="V19" s="18">
        <f t="shared" ref="V19:V34" si="13">M19</f>
        <v>-3.7000819999999997E-2</v>
      </c>
      <c r="W19" s="18">
        <f t="shared" ref="W19:W34" si="14">K19</f>
        <v>4.7365070000000002E-2</v>
      </c>
      <c r="X19" s="18">
        <f t="shared" ref="X19:X34" si="15">N19</f>
        <v>2.4783690000000001E-2</v>
      </c>
      <c r="Y19" s="19">
        <f t="shared" ref="Y19:Y34" si="16">IF(U19="","",DEGREES(ASIN(SQRT(U19^2+V19^2))))</f>
        <v>3.4409054417645972</v>
      </c>
      <c r="Z19" s="19">
        <f t="shared" ref="Z19:Z34" si="17">IF(W19="","",DEGREES(ASIN(SQRT(W19^2+X19^2))))</f>
        <v>3.0643373884202134</v>
      </c>
      <c r="AA19" s="19">
        <f t="shared" ref="AA19:AA34" si="18">IF(U19="","",MOD(DEGREES(ATAN2(U19,V19)),360))</f>
        <v>321.9401165252907</v>
      </c>
      <c r="AB19" s="19">
        <f t="shared" ref="AB19:AB34" si="19">IF(U19="","",MOD(F19+AA19,360))</f>
        <v>321.93275316529071</v>
      </c>
    </row>
    <row r="20" spans="1:28" x14ac:dyDescent="0.25">
      <c r="A20">
        <v>18</v>
      </c>
      <c r="B20">
        <v>22.5</v>
      </c>
      <c r="C20">
        <v>15</v>
      </c>
      <c r="D20">
        <v>-0.25879002000000001</v>
      </c>
      <c r="E20">
        <v>-0.25008000000000002</v>
      </c>
      <c r="F20">
        <v>-8.7100300000000005E-3</v>
      </c>
      <c r="G20">
        <v>0.46533328000000002</v>
      </c>
      <c r="H20">
        <v>0.46361669999999999</v>
      </c>
      <c r="I20">
        <v>1.7165800000000001E-3</v>
      </c>
      <c r="J20">
        <v>3.5812829999999997E-2</v>
      </c>
      <c r="K20">
        <v>5.9773109999999997E-2</v>
      </c>
      <c r="L20">
        <v>-2.396028E-2</v>
      </c>
      <c r="M20">
        <v>-3.4826660000000002E-2</v>
      </c>
      <c r="N20">
        <v>2.2691079999999999E-2</v>
      </c>
      <c r="O20">
        <v>-5.7517739999999998E-2</v>
      </c>
      <c r="R20">
        <f t="shared" si="10"/>
        <v>-4.3550099999999925E-3</v>
      </c>
      <c r="S20">
        <f t="shared" si="11"/>
        <v>8.5829000000001154E-4</v>
      </c>
      <c r="U20" s="8">
        <f t="shared" si="12"/>
        <v>3.5812829999999997E-2</v>
      </c>
      <c r="V20" s="8">
        <f t="shared" si="13"/>
        <v>-3.4826660000000002E-2</v>
      </c>
      <c r="W20" s="8">
        <f t="shared" si="14"/>
        <v>5.9773109999999997E-2</v>
      </c>
      <c r="X20" s="8">
        <f t="shared" si="15"/>
        <v>2.2691079999999999E-2</v>
      </c>
      <c r="Y20" s="9">
        <f t="shared" si="16"/>
        <v>2.8633754676411964</v>
      </c>
      <c r="Z20" s="9">
        <f t="shared" si="17"/>
        <v>3.6657174152624412</v>
      </c>
      <c r="AA20" s="9">
        <f t="shared" si="18"/>
        <v>315.7998317726242</v>
      </c>
      <c r="AB20" s="9">
        <f t="shared" si="19"/>
        <v>315.79112174262423</v>
      </c>
    </row>
    <row r="21" spans="1:28" x14ac:dyDescent="0.25">
      <c r="A21">
        <v>19</v>
      </c>
      <c r="B21">
        <v>45</v>
      </c>
      <c r="C21">
        <v>15</v>
      </c>
      <c r="D21">
        <v>-0.2510366</v>
      </c>
      <c r="E21">
        <v>-0.24988328000000001</v>
      </c>
      <c r="F21">
        <v>-1.1533400000000001E-3</v>
      </c>
      <c r="G21">
        <v>0.46282000000000001</v>
      </c>
      <c r="H21">
        <v>0.46343664000000001</v>
      </c>
      <c r="I21">
        <v>-6.1660999999999997E-4</v>
      </c>
      <c r="J21">
        <v>2.537712E-2</v>
      </c>
      <c r="K21">
        <v>6.8854490000000004E-2</v>
      </c>
      <c r="L21">
        <v>-4.3477370000000001E-2</v>
      </c>
      <c r="M21">
        <v>-2.8336259999999999E-2</v>
      </c>
      <c r="N21">
        <v>1.5885090000000001E-2</v>
      </c>
      <c r="O21">
        <v>-4.422135E-2</v>
      </c>
      <c r="R21">
        <f t="shared" si="10"/>
        <v>-5.7665999999999273E-4</v>
      </c>
      <c r="S21">
        <f t="shared" si="11"/>
        <v>-3.0832000000000082E-4</v>
      </c>
      <c r="U21" s="8">
        <f t="shared" si="12"/>
        <v>2.537712E-2</v>
      </c>
      <c r="V21" s="8">
        <f t="shared" si="13"/>
        <v>-2.8336259999999999E-2</v>
      </c>
      <c r="W21" s="8">
        <f t="shared" si="14"/>
        <v>6.8854490000000004E-2</v>
      </c>
      <c r="X21" s="8">
        <f t="shared" si="15"/>
        <v>1.5885090000000001E-2</v>
      </c>
      <c r="Y21" s="9">
        <f t="shared" si="16"/>
        <v>2.1799822635758876</v>
      </c>
      <c r="Z21" s="9">
        <f t="shared" si="17"/>
        <v>4.0520756572605485</v>
      </c>
      <c r="AA21" s="9">
        <f t="shared" si="18"/>
        <v>311.84668852551232</v>
      </c>
      <c r="AB21" s="9">
        <f t="shared" si="19"/>
        <v>311.84553518551235</v>
      </c>
    </row>
    <row r="22" spans="1:28" x14ac:dyDescent="0.25">
      <c r="A22">
        <v>20</v>
      </c>
      <c r="B22">
        <v>67.5</v>
      </c>
      <c r="C22">
        <v>15</v>
      </c>
      <c r="D22">
        <v>-0.25156329999999999</v>
      </c>
      <c r="E22">
        <v>-0.25280994000000001</v>
      </c>
      <c r="F22">
        <v>1.2466300000000001E-3</v>
      </c>
      <c r="G22">
        <v>0.46782331999999999</v>
      </c>
      <c r="H22">
        <v>0.46152670000000001</v>
      </c>
      <c r="I22">
        <v>6.2966300000000001E-3</v>
      </c>
      <c r="J22">
        <v>1.8655439999999999E-2</v>
      </c>
      <c r="K22">
        <v>7.5806139999999994E-2</v>
      </c>
      <c r="L22">
        <v>-5.715071E-2</v>
      </c>
      <c r="M22">
        <v>-1.832145E-2</v>
      </c>
      <c r="N22">
        <v>6.0008099999999997E-3</v>
      </c>
      <c r="O22">
        <v>-2.432227E-2</v>
      </c>
      <c r="R22">
        <f t="shared" si="10"/>
        <v>6.2332000000001053E-4</v>
      </c>
      <c r="S22">
        <f t="shared" si="11"/>
        <v>3.1483099999999875E-3</v>
      </c>
      <c r="U22" s="8">
        <f t="shared" si="12"/>
        <v>1.8655439999999999E-2</v>
      </c>
      <c r="V22" s="8">
        <f t="shared" si="13"/>
        <v>-1.832145E-2</v>
      </c>
      <c r="W22" s="8">
        <f t="shared" si="14"/>
        <v>7.5806139999999994E-2</v>
      </c>
      <c r="X22" s="8">
        <f t="shared" si="15"/>
        <v>6.0008099999999997E-3</v>
      </c>
      <c r="Y22" s="9">
        <f t="shared" si="16"/>
        <v>1.4983222586192366</v>
      </c>
      <c r="Z22" s="9">
        <f t="shared" si="17"/>
        <v>4.3611691027851647</v>
      </c>
      <c r="AA22" s="9">
        <f t="shared" si="18"/>
        <v>315.51750423090181</v>
      </c>
      <c r="AB22" s="9">
        <f t="shared" si="19"/>
        <v>315.51875086090183</v>
      </c>
    </row>
    <row r="23" spans="1:28" x14ac:dyDescent="0.25">
      <c r="A23">
        <v>21</v>
      </c>
      <c r="B23">
        <v>90</v>
      </c>
      <c r="C23">
        <v>15</v>
      </c>
      <c r="D23">
        <v>-0.2502433</v>
      </c>
      <c r="E23">
        <v>-0.25369000000000003</v>
      </c>
      <c r="F23">
        <v>3.4467E-3</v>
      </c>
      <c r="G23">
        <v>0.46719332000000002</v>
      </c>
      <c r="H23">
        <v>0.46244331999999999</v>
      </c>
      <c r="I23">
        <v>4.7500099999999998E-3</v>
      </c>
      <c r="J23">
        <v>1.5795900000000002E-2</v>
      </c>
      <c r="K23">
        <v>7.8061199999999997E-2</v>
      </c>
      <c r="L23">
        <v>-6.2265300000000003E-2</v>
      </c>
      <c r="M23">
        <v>-6.5624999999999998E-3</v>
      </c>
      <c r="N23">
        <v>-5.79964E-3</v>
      </c>
      <c r="O23">
        <v>-7.6285999999999997E-4</v>
      </c>
      <c r="R23">
        <f t="shared" si="10"/>
        <v>1.7233500000000124E-3</v>
      </c>
      <c r="S23">
        <f t="shared" si="11"/>
        <v>2.375000000000016E-3</v>
      </c>
      <c r="U23" s="8">
        <f t="shared" si="12"/>
        <v>1.5795900000000002E-2</v>
      </c>
      <c r="V23" s="8">
        <f t="shared" si="13"/>
        <v>-6.5624999999999998E-3</v>
      </c>
      <c r="W23" s="8">
        <f t="shared" si="14"/>
        <v>7.8061199999999997E-2</v>
      </c>
      <c r="X23" s="8">
        <f t="shared" si="15"/>
        <v>-5.79964E-3</v>
      </c>
      <c r="Y23" s="9">
        <f t="shared" si="16"/>
        <v>0.98008513369137729</v>
      </c>
      <c r="Z23" s="9">
        <f t="shared" si="17"/>
        <v>4.4894970663949927</v>
      </c>
      <c r="AA23" s="9">
        <f t="shared" si="18"/>
        <v>337.43926970560636</v>
      </c>
      <c r="AB23" s="9">
        <f t="shared" si="19"/>
        <v>337.44271640560635</v>
      </c>
    </row>
    <row r="24" spans="1:28" x14ac:dyDescent="0.25">
      <c r="A24">
        <v>22</v>
      </c>
      <c r="B24">
        <v>112.5</v>
      </c>
      <c r="C24">
        <v>15</v>
      </c>
      <c r="D24">
        <v>-0.24968666</v>
      </c>
      <c r="E24">
        <v>-0.25193330000000003</v>
      </c>
      <c r="F24">
        <v>2.2466500000000002E-3</v>
      </c>
      <c r="G24">
        <v>0.46617335999999998</v>
      </c>
      <c r="H24">
        <v>0.46069663999999999</v>
      </c>
      <c r="I24">
        <v>5.4767100000000001E-3</v>
      </c>
      <c r="J24">
        <v>1.8556639999999999E-2</v>
      </c>
      <c r="K24">
        <v>7.6034019999999994E-2</v>
      </c>
      <c r="L24">
        <v>-5.7477380000000002E-2</v>
      </c>
      <c r="M24">
        <v>5.40137E-3</v>
      </c>
      <c r="N24">
        <v>-1.7760250000000002E-2</v>
      </c>
      <c r="O24">
        <v>2.3161620000000001E-2</v>
      </c>
      <c r="R24">
        <f t="shared" si="10"/>
        <v>1.123320000000011E-3</v>
      </c>
      <c r="S24">
        <f t="shared" si="11"/>
        <v>2.7383599999999952E-3</v>
      </c>
      <c r="U24" s="8">
        <f t="shared" si="12"/>
        <v>1.8556639999999999E-2</v>
      </c>
      <c r="V24" s="8">
        <f t="shared" si="13"/>
        <v>5.40137E-3</v>
      </c>
      <c r="W24" s="8">
        <f t="shared" si="14"/>
        <v>7.6034019999999994E-2</v>
      </c>
      <c r="X24" s="8">
        <f t="shared" si="15"/>
        <v>-1.7760250000000002E-2</v>
      </c>
      <c r="Y24" s="9">
        <f t="shared" si="16"/>
        <v>1.1074107778559528</v>
      </c>
      <c r="Z24" s="9">
        <f t="shared" si="17"/>
        <v>4.478253896929302</v>
      </c>
      <c r="AA24" s="9">
        <f t="shared" si="18"/>
        <v>16.228946147551362</v>
      </c>
      <c r="AB24" s="9">
        <f t="shared" si="19"/>
        <v>16.231192797551362</v>
      </c>
    </row>
    <row r="25" spans="1:28" x14ac:dyDescent="0.25">
      <c r="A25">
        <v>23</v>
      </c>
      <c r="B25">
        <v>135</v>
      </c>
      <c r="C25">
        <v>15</v>
      </c>
      <c r="D25">
        <v>-0.25017329999999999</v>
      </c>
      <c r="E25">
        <v>-0.25302332</v>
      </c>
      <c r="F25">
        <v>2.8500299999999999E-3</v>
      </c>
      <c r="G25">
        <v>0.46696332000000002</v>
      </c>
      <c r="H25">
        <v>0.46288669999999998</v>
      </c>
      <c r="I25">
        <v>4.0766300000000004E-3</v>
      </c>
      <c r="J25">
        <v>2.469499E-2</v>
      </c>
      <c r="K25">
        <v>6.9374190000000002E-2</v>
      </c>
      <c r="L25">
        <v>-4.4679200000000002E-2</v>
      </c>
      <c r="M25">
        <v>1.556982E-2</v>
      </c>
      <c r="N25">
        <v>-2.7617349999999999E-2</v>
      </c>
      <c r="O25">
        <v>4.3187169999999997E-2</v>
      </c>
      <c r="R25">
        <f t="shared" si="10"/>
        <v>1.4250100000000043E-3</v>
      </c>
      <c r="S25">
        <f t="shared" si="11"/>
        <v>2.0383100000000154E-3</v>
      </c>
      <c r="U25" s="8">
        <f t="shared" si="12"/>
        <v>2.469499E-2</v>
      </c>
      <c r="V25" s="8">
        <f t="shared" si="13"/>
        <v>1.556982E-2</v>
      </c>
      <c r="W25" s="8">
        <f t="shared" si="14"/>
        <v>6.9374190000000002E-2</v>
      </c>
      <c r="X25" s="8">
        <f t="shared" si="15"/>
        <v>-2.7617349999999999E-2</v>
      </c>
      <c r="Y25" s="9">
        <f t="shared" si="16"/>
        <v>1.6729033797238861</v>
      </c>
      <c r="Z25" s="9">
        <f t="shared" si="17"/>
        <v>4.2822181930287915</v>
      </c>
      <c r="AA25" s="9">
        <f t="shared" si="18"/>
        <v>32.230815037665998</v>
      </c>
      <c r="AB25" s="9">
        <f t="shared" si="19"/>
        <v>32.233665067665996</v>
      </c>
    </row>
    <row r="26" spans="1:28" x14ac:dyDescent="0.25">
      <c r="A26">
        <v>24</v>
      </c>
      <c r="B26">
        <v>157.5</v>
      </c>
      <c r="C26">
        <v>15</v>
      </c>
      <c r="D26">
        <v>-0.24856329999999999</v>
      </c>
      <c r="E26">
        <v>-0.25815332000000002</v>
      </c>
      <c r="F26">
        <v>9.5900099999999995E-3</v>
      </c>
      <c r="G26">
        <v>0.4648333</v>
      </c>
      <c r="H26">
        <v>0.46301999999999999</v>
      </c>
      <c r="I26">
        <v>1.81329E-3</v>
      </c>
      <c r="J26">
        <v>3.4714349999999998E-2</v>
      </c>
      <c r="K26">
        <v>5.947591E-2</v>
      </c>
      <c r="L26">
        <v>-2.4761559999999998E-2</v>
      </c>
      <c r="M26">
        <v>2.230387E-2</v>
      </c>
      <c r="N26">
        <v>-3.4616540000000001E-2</v>
      </c>
      <c r="O26">
        <v>5.6920409999999998E-2</v>
      </c>
      <c r="R26">
        <f t="shared" si="10"/>
        <v>4.7950100000000162E-3</v>
      </c>
      <c r="S26">
        <f t="shared" si="11"/>
        <v>9.0665000000000884E-4</v>
      </c>
      <c r="U26" s="8">
        <f t="shared" si="12"/>
        <v>3.4714349999999998E-2</v>
      </c>
      <c r="V26" s="8">
        <f t="shared" si="13"/>
        <v>2.230387E-2</v>
      </c>
      <c r="W26" s="8">
        <f t="shared" si="14"/>
        <v>5.947591E-2</v>
      </c>
      <c r="X26" s="8">
        <f t="shared" si="15"/>
        <v>-3.4616540000000001E-2</v>
      </c>
      <c r="Y26" s="9">
        <f t="shared" si="16"/>
        <v>2.3648070821257416</v>
      </c>
      <c r="Z26" s="9">
        <f t="shared" si="17"/>
        <v>3.9460045662879715</v>
      </c>
      <c r="AA26" s="9">
        <f t="shared" si="18"/>
        <v>32.72062816415059</v>
      </c>
      <c r="AB26" s="9">
        <f t="shared" si="19"/>
        <v>32.730218174150586</v>
      </c>
    </row>
    <row r="27" spans="1:28" x14ac:dyDescent="0.25">
      <c r="A27">
        <v>25</v>
      </c>
      <c r="B27">
        <v>180</v>
      </c>
      <c r="C27">
        <v>15</v>
      </c>
      <c r="D27">
        <v>-0.24996663999999999</v>
      </c>
      <c r="E27">
        <v>-0.25522667999999998</v>
      </c>
      <c r="F27">
        <v>5.2600399999999997E-3</v>
      </c>
      <c r="G27">
        <v>0.46256343999999999</v>
      </c>
      <c r="H27">
        <v>0.4648466</v>
      </c>
      <c r="I27">
        <v>-2.28319E-3</v>
      </c>
      <c r="J27">
        <v>4.6415199999999997E-2</v>
      </c>
      <c r="K27">
        <v>4.7586749999999997E-2</v>
      </c>
      <c r="L27">
        <v>-1.1715499999999999E-3</v>
      </c>
      <c r="M27">
        <v>2.46971E-2</v>
      </c>
      <c r="N27">
        <v>-3.6960779999999999E-2</v>
      </c>
      <c r="O27">
        <v>6.1657879999999998E-2</v>
      </c>
      <c r="R27">
        <f t="shared" si="10"/>
        <v>2.6300199999999968E-3</v>
      </c>
      <c r="S27">
        <f t="shared" si="11"/>
        <v>-1.1415800000000031E-3</v>
      </c>
      <c r="U27" s="8">
        <f t="shared" si="12"/>
        <v>4.6415199999999997E-2</v>
      </c>
      <c r="V27" s="8">
        <f t="shared" si="13"/>
        <v>2.46971E-2</v>
      </c>
      <c r="W27" s="8">
        <f t="shared" si="14"/>
        <v>4.7586749999999997E-2</v>
      </c>
      <c r="X27" s="8">
        <f t="shared" si="15"/>
        <v>-3.6960779999999999E-2</v>
      </c>
      <c r="Y27" s="9">
        <f t="shared" si="16"/>
        <v>3.0138170686893857</v>
      </c>
      <c r="Z27" s="9">
        <f t="shared" si="17"/>
        <v>3.4544177650963954</v>
      </c>
      <c r="AA27" s="9">
        <f t="shared" si="18"/>
        <v>28.017031244208912</v>
      </c>
      <c r="AB27" s="9">
        <f t="shared" si="19"/>
        <v>28.022291284208912</v>
      </c>
    </row>
    <row r="28" spans="1:28" x14ac:dyDescent="0.25">
      <c r="A28">
        <v>26</v>
      </c>
      <c r="B28">
        <v>202.5</v>
      </c>
      <c r="C28">
        <v>15</v>
      </c>
      <c r="D28">
        <v>-0.24485994</v>
      </c>
      <c r="E28">
        <v>-0.25577003999999998</v>
      </c>
      <c r="F28">
        <v>1.0910090000000001E-2</v>
      </c>
      <c r="G28">
        <v>0.46134999999999998</v>
      </c>
      <c r="H28">
        <v>0.46404324000000002</v>
      </c>
      <c r="I28">
        <v>-2.6932700000000002E-3</v>
      </c>
      <c r="J28">
        <v>5.9442710000000003E-2</v>
      </c>
      <c r="K28">
        <v>3.6231449999999998E-2</v>
      </c>
      <c r="L28">
        <v>2.3211260000000001E-2</v>
      </c>
      <c r="M28">
        <v>2.247803E-2</v>
      </c>
      <c r="N28">
        <v>-3.4758949999999997E-2</v>
      </c>
      <c r="O28">
        <v>5.723698E-2</v>
      </c>
      <c r="R28">
        <f t="shared" si="10"/>
        <v>5.4550499999999891E-3</v>
      </c>
      <c r="S28">
        <f t="shared" si="11"/>
        <v>-1.3466200000000206E-3</v>
      </c>
      <c r="U28" s="8">
        <f t="shared" si="12"/>
        <v>5.9442710000000003E-2</v>
      </c>
      <c r="V28" s="8">
        <f t="shared" si="13"/>
        <v>2.247803E-2</v>
      </c>
      <c r="W28" s="8">
        <f t="shared" si="14"/>
        <v>3.6231449999999998E-2</v>
      </c>
      <c r="X28" s="8">
        <f t="shared" si="15"/>
        <v>-3.4758949999999997E-2</v>
      </c>
      <c r="Y28" s="9">
        <f t="shared" si="16"/>
        <v>3.6436450694961668</v>
      </c>
      <c r="Z28" s="9">
        <f t="shared" si="17"/>
        <v>2.8779503759217326</v>
      </c>
      <c r="AA28" s="9">
        <f t="shared" si="18"/>
        <v>20.713917037238591</v>
      </c>
      <c r="AB28" s="9">
        <f t="shared" si="19"/>
        <v>20.724827127238591</v>
      </c>
    </row>
    <row r="29" spans="1:28" x14ac:dyDescent="0.25">
      <c r="A29">
        <v>27</v>
      </c>
      <c r="B29">
        <v>225</v>
      </c>
      <c r="C29">
        <v>15</v>
      </c>
      <c r="D29">
        <v>-0.2466333</v>
      </c>
      <c r="E29">
        <v>-0.25226334</v>
      </c>
      <c r="F29">
        <v>5.6300500000000002E-3</v>
      </c>
      <c r="G29">
        <v>0.45902332000000001</v>
      </c>
      <c r="H29">
        <v>0.46769329999999998</v>
      </c>
      <c r="I29">
        <v>-8.6699700000000008E-3</v>
      </c>
      <c r="J29">
        <v>6.8888340000000006E-2</v>
      </c>
      <c r="K29">
        <v>2.6213380000000001E-2</v>
      </c>
      <c r="L29">
        <v>4.267497E-2</v>
      </c>
      <c r="M29">
        <v>1.5791179999999998E-2</v>
      </c>
      <c r="N29">
        <v>-2.8074869999999998E-2</v>
      </c>
      <c r="O29">
        <v>4.3866049999999997E-2</v>
      </c>
      <c r="R29">
        <f t="shared" si="10"/>
        <v>2.8150200000000014E-3</v>
      </c>
      <c r="S29">
        <f t="shared" si="11"/>
        <v>-4.334989999999983E-3</v>
      </c>
      <c r="U29" s="8">
        <f t="shared" si="12"/>
        <v>6.8888340000000006E-2</v>
      </c>
      <c r="V29" s="8">
        <f t="shared" si="13"/>
        <v>1.5791179999999998E-2</v>
      </c>
      <c r="W29" s="8">
        <f t="shared" si="14"/>
        <v>2.6213380000000001E-2</v>
      </c>
      <c r="X29" s="8">
        <f t="shared" si="15"/>
        <v>-2.8074869999999998E-2</v>
      </c>
      <c r="Y29" s="9">
        <f t="shared" si="16"/>
        <v>4.0527616048000397</v>
      </c>
      <c r="Z29" s="9">
        <f t="shared" si="17"/>
        <v>2.2012809799006989</v>
      </c>
      <c r="AA29" s="9">
        <f t="shared" si="18"/>
        <v>12.910781874480779</v>
      </c>
      <c r="AB29" s="9">
        <f t="shared" si="19"/>
        <v>12.91641192448078</v>
      </c>
    </row>
    <row r="30" spans="1:28" x14ac:dyDescent="0.25">
      <c r="A30">
        <v>28</v>
      </c>
      <c r="B30">
        <v>247.5</v>
      </c>
      <c r="C30">
        <v>15</v>
      </c>
      <c r="D30">
        <v>-0.25030332</v>
      </c>
      <c r="E30">
        <v>-0.25363996</v>
      </c>
      <c r="F30">
        <v>3.3366400000000001E-3</v>
      </c>
      <c r="G30">
        <v>0.45961995999999999</v>
      </c>
      <c r="H30">
        <v>0.4654066</v>
      </c>
      <c r="I30">
        <v>-5.7866300000000001E-3</v>
      </c>
      <c r="J30">
        <v>7.5543460000000007E-2</v>
      </c>
      <c r="K30">
        <v>1.9445480000000001E-2</v>
      </c>
      <c r="L30">
        <v>5.6097979999999999E-2</v>
      </c>
      <c r="M30">
        <v>5.9655000000000003E-3</v>
      </c>
      <c r="N30">
        <v>-1.8093910000000001E-2</v>
      </c>
      <c r="O30">
        <v>2.405941E-2</v>
      </c>
      <c r="R30">
        <f t="shared" si="10"/>
        <v>1.6683200000000009E-3</v>
      </c>
      <c r="S30">
        <f t="shared" si="11"/>
        <v>-2.8933200000000048E-3</v>
      </c>
      <c r="U30" s="8">
        <f t="shared" si="12"/>
        <v>7.5543460000000007E-2</v>
      </c>
      <c r="V30" s="8">
        <f t="shared" si="13"/>
        <v>5.9655000000000003E-3</v>
      </c>
      <c r="W30" s="8">
        <f t="shared" si="14"/>
        <v>1.9445480000000001E-2</v>
      </c>
      <c r="X30" s="8">
        <f t="shared" si="15"/>
        <v>-1.8093910000000001E-2</v>
      </c>
      <c r="Y30" s="9">
        <f t="shared" si="16"/>
        <v>4.3459621330396656</v>
      </c>
      <c r="Z30" s="9">
        <f t="shared" si="17"/>
        <v>1.5220440785395943</v>
      </c>
      <c r="AA30" s="9">
        <f t="shared" si="18"/>
        <v>4.5151512147281201</v>
      </c>
      <c r="AB30" s="9">
        <f t="shared" si="19"/>
        <v>4.5184878547281198</v>
      </c>
    </row>
    <row r="31" spans="1:28" x14ac:dyDescent="0.25">
      <c r="A31">
        <v>29</v>
      </c>
      <c r="B31">
        <v>270</v>
      </c>
      <c r="C31">
        <v>15</v>
      </c>
      <c r="D31">
        <v>-0.25484329999999999</v>
      </c>
      <c r="E31">
        <v>-0.24898664000000001</v>
      </c>
      <c r="F31">
        <v>-5.8566499999999997E-3</v>
      </c>
      <c r="G31">
        <v>0.46105331999999999</v>
      </c>
      <c r="H31">
        <v>0.46817330000000001</v>
      </c>
      <c r="I31">
        <v>-7.1199499999999999E-3</v>
      </c>
      <c r="J31">
        <v>7.7547359999999996E-2</v>
      </c>
      <c r="K31">
        <v>1.6762860000000001E-2</v>
      </c>
      <c r="L31">
        <v>6.0784499999999998E-2</v>
      </c>
      <c r="M31">
        <v>-5.7623700000000002E-3</v>
      </c>
      <c r="N31">
        <v>-6.3354500000000003E-3</v>
      </c>
      <c r="O31">
        <v>5.7308000000000001E-4</v>
      </c>
      <c r="R31">
        <f t="shared" si="10"/>
        <v>-2.9283299999999929E-3</v>
      </c>
      <c r="S31">
        <f t="shared" si="11"/>
        <v>-3.5599900000000129E-3</v>
      </c>
      <c r="U31" s="8">
        <f t="shared" si="12"/>
        <v>7.7547359999999996E-2</v>
      </c>
      <c r="V31" s="8">
        <f t="shared" si="13"/>
        <v>-5.7623700000000002E-3</v>
      </c>
      <c r="W31" s="8">
        <f t="shared" si="14"/>
        <v>1.6762860000000001E-2</v>
      </c>
      <c r="X31" s="8">
        <f t="shared" si="15"/>
        <v>-6.3354500000000003E-3</v>
      </c>
      <c r="Y31" s="9">
        <f t="shared" si="16"/>
        <v>4.4598886571444156</v>
      </c>
      <c r="Z31" s="9">
        <f t="shared" si="17"/>
        <v>1.0268033269111667</v>
      </c>
      <c r="AA31" s="9">
        <f t="shared" si="18"/>
        <v>355.75028973071545</v>
      </c>
      <c r="AB31" s="9">
        <f t="shared" si="19"/>
        <v>355.74443308071545</v>
      </c>
    </row>
    <row r="32" spans="1:28" x14ac:dyDescent="0.25">
      <c r="A32">
        <v>30</v>
      </c>
      <c r="B32">
        <v>292.5</v>
      </c>
      <c r="C32">
        <v>15</v>
      </c>
      <c r="D32">
        <v>-0.25098330000000002</v>
      </c>
      <c r="E32">
        <v>-0.2476633</v>
      </c>
      <c r="F32">
        <v>-3.3199900000000001E-3</v>
      </c>
      <c r="G32">
        <v>0.46004003999999998</v>
      </c>
      <c r="H32">
        <v>0.46825</v>
      </c>
      <c r="I32">
        <v>-8.2099400000000006E-3</v>
      </c>
      <c r="J32">
        <v>7.5707200000000002E-2</v>
      </c>
      <c r="K32">
        <v>1.9726400000000002E-2</v>
      </c>
      <c r="L32">
        <v>5.5980799999999997E-2</v>
      </c>
      <c r="M32">
        <v>-1.767757E-2</v>
      </c>
      <c r="N32">
        <v>5.6811500000000003E-3</v>
      </c>
      <c r="O32">
        <v>-2.3358719999999999E-2</v>
      </c>
      <c r="R32">
        <f t="shared" si="10"/>
        <v>-1.6600000000000087E-3</v>
      </c>
      <c r="S32">
        <f t="shared" si="11"/>
        <v>-4.1049800000000081E-3</v>
      </c>
      <c r="U32" s="8">
        <f t="shared" si="12"/>
        <v>7.5707200000000002E-2</v>
      </c>
      <c r="V32" s="8">
        <f t="shared" si="13"/>
        <v>-1.767757E-2</v>
      </c>
      <c r="W32" s="8">
        <f t="shared" si="14"/>
        <v>1.9726400000000002E-2</v>
      </c>
      <c r="X32" s="8">
        <f t="shared" si="15"/>
        <v>5.6811500000000003E-3</v>
      </c>
      <c r="Y32" s="9">
        <f t="shared" si="16"/>
        <v>4.4588829350146719</v>
      </c>
      <c r="Z32" s="9">
        <f t="shared" si="17"/>
        <v>1.1762609056919378</v>
      </c>
      <c r="AA32" s="9">
        <f t="shared" si="18"/>
        <v>346.85696571467014</v>
      </c>
      <c r="AB32" s="9">
        <f t="shared" si="19"/>
        <v>346.85364572467012</v>
      </c>
    </row>
    <row r="33" spans="1:28" x14ac:dyDescent="0.25">
      <c r="A33">
        <v>31</v>
      </c>
      <c r="B33">
        <v>315</v>
      </c>
      <c r="C33">
        <v>15</v>
      </c>
      <c r="D33">
        <v>-0.25392996000000001</v>
      </c>
      <c r="E33">
        <v>-0.24819327999999999</v>
      </c>
      <c r="F33">
        <v>-5.73669E-3</v>
      </c>
      <c r="G33">
        <v>0.46225003999999997</v>
      </c>
      <c r="H33">
        <v>0.46591670000000002</v>
      </c>
      <c r="I33">
        <v>-3.6666400000000001E-3</v>
      </c>
      <c r="J33">
        <v>6.9020670000000006E-2</v>
      </c>
      <c r="K33">
        <v>2.5900389999999999E-2</v>
      </c>
      <c r="L33">
        <v>4.3120279999999997E-2</v>
      </c>
      <c r="M33">
        <v>-2.789144E-2</v>
      </c>
      <c r="N33">
        <v>1.561686E-2</v>
      </c>
      <c r="O33">
        <v>-4.35083E-2</v>
      </c>
      <c r="R33">
        <f t="shared" si="10"/>
        <v>-2.8683400000000109E-3</v>
      </c>
      <c r="S33">
        <f t="shared" si="11"/>
        <v>-1.8333300000000219E-3</v>
      </c>
      <c r="U33" s="8">
        <f t="shared" si="12"/>
        <v>6.9020670000000006E-2</v>
      </c>
      <c r="V33" s="8">
        <f t="shared" si="13"/>
        <v>-2.789144E-2</v>
      </c>
      <c r="W33" s="8">
        <f t="shared" si="14"/>
        <v>2.5900389999999999E-2</v>
      </c>
      <c r="X33" s="8">
        <f t="shared" si="15"/>
        <v>1.561686E-2</v>
      </c>
      <c r="Y33" s="9">
        <f t="shared" si="16"/>
        <v>4.269228760202874</v>
      </c>
      <c r="Z33" s="9">
        <f t="shared" si="17"/>
        <v>1.7331339312429377</v>
      </c>
      <c r="AA33" s="9">
        <f t="shared" si="18"/>
        <v>337.99623268988097</v>
      </c>
      <c r="AB33" s="9">
        <f t="shared" si="19"/>
        <v>337.99049599988098</v>
      </c>
    </row>
    <row r="34" spans="1:28" x14ac:dyDescent="0.25">
      <c r="A34">
        <v>32</v>
      </c>
      <c r="B34">
        <v>337.5</v>
      </c>
      <c r="C34">
        <v>15</v>
      </c>
      <c r="D34">
        <v>-0.25327998000000002</v>
      </c>
      <c r="E34">
        <v>-0.24605663999999999</v>
      </c>
      <c r="F34">
        <v>-7.22334E-3</v>
      </c>
      <c r="G34">
        <v>0.46011323999999998</v>
      </c>
      <c r="H34">
        <v>0.4632966</v>
      </c>
      <c r="I34">
        <v>-3.1833600000000001E-3</v>
      </c>
      <c r="J34">
        <v>5.9442870000000002E-2</v>
      </c>
      <c r="K34">
        <v>3.5701009999999998E-2</v>
      </c>
      <c r="L34">
        <v>2.374186E-2</v>
      </c>
      <c r="M34">
        <v>-3.4611169999999997E-2</v>
      </c>
      <c r="N34">
        <v>2.2428549999999998E-2</v>
      </c>
      <c r="O34">
        <v>-5.7039720000000002E-2</v>
      </c>
      <c r="R34">
        <f t="shared" si="10"/>
        <v>-3.6116700000000113E-3</v>
      </c>
      <c r="S34">
        <f t="shared" si="11"/>
        <v>-1.591680000000012E-3</v>
      </c>
      <c r="U34" s="8">
        <f t="shared" si="12"/>
        <v>5.9442870000000002E-2</v>
      </c>
      <c r="V34" s="8">
        <f t="shared" si="13"/>
        <v>-3.4611169999999997E-2</v>
      </c>
      <c r="W34" s="8">
        <f t="shared" si="14"/>
        <v>3.5701009999999998E-2</v>
      </c>
      <c r="X34" s="8">
        <f t="shared" si="15"/>
        <v>2.2428549999999998E-2</v>
      </c>
      <c r="Y34" s="9">
        <f t="shared" si="16"/>
        <v>3.944209492849819</v>
      </c>
      <c r="Z34" s="9">
        <f t="shared" si="17"/>
        <v>2.4163989867035132</v>
      </c>
      <c r="AA34" s="9">
        <f t="shared" si="18"/>
        <v>329.78949393840259</v>
      </c>
      <c r="AB34" s="9">
        <f t="shared" si="19"/>
        <v>329.78227059840259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T15-2_3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2026-08-02T16:46:59Z</dcterms:modified>
</cp:coreProperties>
</file>