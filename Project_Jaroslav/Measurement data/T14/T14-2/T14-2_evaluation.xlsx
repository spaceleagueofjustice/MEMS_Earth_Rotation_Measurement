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4\T14-2\"/>
    </mc:Choice>
  </mc:AlternateContent>
  <xr:revisionPtr revIDLastSave="0" documentId="13_ncr:1_{A38CBB21-DDE4-4613-A515-755248F453F5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4-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G9" i="2" s="1"/>
  <c r="Z18" i="1"/>
  <c r="X18" i="1"/>
  <c r="W18" i="1"/>
  <c r="V18" i="1"/>
  <c r="U18" i="1"/>
  <c r="Y18" i="1" s="1"/>
  <c r="X17" i="1"/>
  <c r="W17" i="1"/>
  <c r="V17" i="1"/>
  <c r="U17" i="1"/>
  <c r="X16" i="1"/>
  <c r="W16" i="1"/>
  <c r="Z16" i="1" s="1"/>
  <c r="V16" i="1"/>
  <c r="U16" i="1"/>
  <c r="X15" i="1"/>
  <c r="W15" i="1"/>
  <c r="Z15" i="1" s="1"/>
  <c r="V15" i="1"/>
  <c r="U15" i="1"/>
  <c r="Y15" i="1" s="1"/>
  <c r="X14" i="1"/>
  <c r="W14" i="1"/>
  <c r="Z14" i="1" s="1"/>
  <c r="V14" i="1"/>
  <c r="U14" i="1"/>
  <c r="X13" i="1"/>
  <c r="W13" i="1"/>
  <c r="Z13" i="1" s="1"/>
  <c r="V13" i="1"/>
  <c r="U13" i="1"/>
  <c r="X12" i="1"/>
  <c r="W12" i="1"/>
  <c r="Z12" i="1" s="1"/>
  <c r="V12" i="1"/>
  <c r="U12" i="1"/>
  <c r="Y12" i="1" s="1"/>
  <c r="X11" i="1"/>
  <c r="W11" i="1"/>
  <c r="Z11" i="1" s="1"/>
  <c r="V11" i="1"/>
  <c r="U11" i="1"/>
  <c r="X10" i="1"/>
  <c r="W10" i="1"/>
  <c r="V10" i="1"/>
  <c r="U10" i="1"/>
  <c r="X9" i="1"/>
  <c r="W9" i="1"/>
  <c r="Z9" i="1" s="1"/>
  <c r="V9" i="1"/>
  <c r="U9" i="1"/>
  <c r="X8" i="1"/>
  <c r="W8" i="1"/>
  <c r="Z8" i="1" s="1"/>
  <c r="V8" i="1"/>
  <c r="U8" i="1"/>
  <c r="X7" i="1"/>
  <c r="W7" i="1"/>
  <c r="V7" i="1"/>
  <c r="U7" i="1"/>
  <c r="X6" i="1"/>
  <c r="W6" i="1"/>
  <c r="Z6" i="1" s="1"/>
  <c r="V6" i="1"/>
  <c r="U6" i="1"/>
  <c r="Y6" i="1" s="1"/>
  <c r="X5" i="1"/>
  <c r="W5" i="1"/>
  <c r="V5" i="1"/>
  <c r="U5" i="1"/>
  <c r="X4" i="1"/>
  <c r="W4" i="1"/>
  <c r="Z4" i="1" s="1"/>
  <c r="V4" i="1"/>
  <c r="U4" i="1"/>
  <c r="X3" i="1"/>
  <c r="W3" i="1"/>
  <c r="Z3" i="1" s="1"/>
  <c r="V3" i="1"/>
  <c r="U3" i="1"/>
  <c r="AA3" i="1" s="1"/>
  <c r="AB3" i="1" s="1"/>
  <c r="G11" i="2"/>
  <c r="G17" i="2" s="1"/>
  <c r="Z7" i="1" l="1"/>
  <c r="Z10" i="1"/>
  <c r="Z5" i="1"/>
  <c r="Y9" i="1"/>
  <c r="Z17" i="1"/>
  <c r="Y5" i="1"/>
  <c r="Y8" i="1"/>
  <c r="Y11" i="1"/>
  <c r="Y14" i="1"/>
  <c r="Y17" i="1"/>
  <c r="AA5" i="1"/>
  <c r="AB5" i="1" s="1"/>
  <c r="AA8" i="1"/>
  <c r="AB8" i="1" s="1"/>
  <c r="AA11" i="1"/>
  <c r="AB11" i="1" s="1"/>
  <c r="AA14" i="1"/>
  <c r="AB14" i="1" s="1"/>
  <c r="AA17" i="1"/>
  <c r="AB17" i="1" s="1"/>
  <c r="Y4" i="1"/>
  <c r="Y7" i="1"/>
  <c r="Y10" i="1"/>
  <c r="Y13" i="1"/>
  <c r="Y16" i="1"/>
  <c r="AA4" i="1"/>
  <c r="AB4" i="1" s="1"/>
  <c r="AA7" i="1"/>
  <c r="AB7" i="1" s="1"/>
  <c r="AA10" i="1"/>
  <c r="AB10" i="1" s="1"/>
  <c r="AA13" i="1"/>
  <c r="AB13" i="1" s="1"/>
  <c r="AA16" i="1"/>
  <c r="AB16" i="1" s="1"/>
  <c r="AA6" i="1"/>
  <c r="AB6" i="1" s="1"/>
  <c r="AA9" i="1"/>
  <c r="AB9" i="1" s="1"/>
  <c r="AA12" i="1"/>
  <c r="AB12" i="1" s="1"/>
  <c r="AA15" i="1"/>
  <c r="AB15" i="1" s="1"/>
  <c r="AA18" i="1"/>
  <c r="AB18" i="1" s="1"/>
  <c r="Y3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10" i="1"/>
  <c r="R4" i="1"/>
  <c r="S3" i="1"/>
  <c r="R18" i="1"/>
  <c r="R17" i="1"/>
  <c r="R16" i="1"/>
  <c r="R15" i="1"/>
  <c r="R14" i="1"/>
  <c r="R13" i="1"/>
  <c r="R12" i="1"/>
  <c r="R11" i="1"/>
  <c r="R9" i="1"/>
  <c r="R8" i="1"/>
  <c r="R7" i="1"/>
  <c r="R6" i="1"/>
  <c r="R5" i="1"/>
  <c r="R3" i="1"/>
  <c r="R16" i="2" l="1"/>
  <c r="V16" i="2"/>
  <c r="T16" i="2"/>
  <c r="X16" i="2"/>
</calcChain>
</file>

<file path=xl/sharedStrings.xml><?xml version="1.0" encoding="utf-8"?>
<sst xmlns="http://schemas.openxmlformats.org/spreadsheetml/2006/main" count="58" uniqueCount="53">
  <si>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</si>
  <si>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</si>
  <si>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</si>
  <si>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</si>
  <si>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</si>
  <si>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</si>
  <si>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</si>
  <si>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</si>
  <si>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</si>
  <si>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</si>
  <si>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</si>
  <si>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</si>
  <si>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</si>
  <si>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</si>
  <si>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(xA-xC)/2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</si>
  <si>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</si>
  <si>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</si>
  <si>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</si>
  <si>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</si>
  <si>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</si>
  <si>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</si>
  <si>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</si>
  <si>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</si>
  <si>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</si>
  <si>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</si>
  <si>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</si>
  <si>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</si>
  <si>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</si>
  <si>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</si>
  <si>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</si>
  <si>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</si>
  <si>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</si>
  <si>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</si>
  <si>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</si>
  <si>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</si>
  <si>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</si>
  <si>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</si>
  <si>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</si>
  <si>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</si>
  <si>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</si>
  <si>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</si>
  <si>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</si>
  <si>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</si>
  <si>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</si>
  <si>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</si>
  <si>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</si>
  <si>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Rotation-direction control test: two runs at the same baseline configuration (level, arm at true north), 25-repeat randomized azimuth sweep each, run once with normal (CW) and once with reversed (CCW) motor rotation direction, to isolate whether the direction of rotation itself introduces a systematic bias into the measured differential signal.</t>
  </si>
  <si>
    <t>Azimuth-Dependence Test (Randomized 360° Step Scan, Off-North Start, Tilted Mount)</t>
  </si>
  <si>
    <t>Description/title:</t>
  </si>
  <si>
    <t>HORIZONTAL slepý test 360-kontrola accel-lepší csv-azimut parametr-fixed trim settle-s navratem do A</t>
  </si>
  <si>
    <t>Code:</t>
  </si>
  <si>
    <t>CCW</t>
  </si>
  <si>
    <t>T14-2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</si>
</sst>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'T14-2'!$R$2</c:f>
              <c:strCache>
                <c:ptCount val="1"/>
                <c:pt idx="0">
                  <c:v>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'T14-2'!$B$3:$B$18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'T14-2'!$R$3:$R$18</c:f>
              <c:numCache>
                <c:formatCode>General</c:formatCode>
                <c:ptCount val="16"/>
                <c:pt idx="0">
                  <c:v>-2.3270100000000044E-3</c:v>
                </c:pt>
                <c:pt idx="1">
                  <c:v>-1.4600099999999977E-3</c:v>
                </c:pt>
                <c:pt idx="2">
                  <c:v>-2.2010000000000085E-3</c:v>
                </c:pt>
                <c:pt idx="3">
                  <c:v>-2.9160000000000019E-3</c:v>
                </c:pt>
                <c:pt idx="4">
                  <c:v>-1.3839999999999963E-3</c:v>
                </c:pt>
                <c:pt idx="5">
                  <c:v>-2.9400999999999733E-4</c:v>
                </c:pt>
                <c:pt idx="6">
                  <c:v>5.8603000000000127E-4</c:v>
                </c:pt>
                <c:pt idx="7">
                  <c:v>1.6399999999999748E-4</c:v>
                </c:pt>
                <c:pt idx="8">
                  <c:v>2.0470100000000019E-3</c:v>
                </c:pt>
                <c:pt idx="9">
                  <c:v>1.5309900000000098E-3</c:v>
                </c:pt>
                <c:pt idx="10">
                  <c:v>1.7170199999999997E-3</c:v>
                </c:pt>
                <c:pt idx="11">
                  <c:v>1.6070300000000093E-3</c:v>
                </c:pt>
                <c:pt idx="12">
                  <c:v>-2.070200000000022E-4</c:v>
                </c:pt>
                <c:pt idx="13">
                  <c:v>1.5470100000000014E-3</c:v>
                </c:pt>
                <c:pt idx="14">
                  <c:v>-1.8949799999999906E-3</c:v>
                </c:pt>
                <c:pt idx="15">
                  <c:v>-5.1801999999999404E-4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'T14-2'!$S$2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B05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noFill/>
                <a:ln w="254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'T14-2'!$B$3:$B$18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'T14-2'!$S$3:$S$18</c:f>
              <c:numCache>
                <c:formatCode>General</c:formatCode>
                <c:ptCount val="16"/>
                <c:pt idx="0">
                  <c:v>1.5589600000000259E-3</c:v>
                </c:pt>
                <c:pt idx="1">
                  <c:v>1.8189999999999873E-3</c:v>
                </c:pt>
                <c:pt idx="2">
                  <c:v>-8.2499999999999241E-4</c:v>
                </c:pt>
                <c:pt idx="3">
                  <c:v>-1.1169600000000002E-3</c:v>
                </c:pt>
                <c:pt idx="4">
                  <c:v>-3.8999599999999801E-3</c:v>
                </c:pt>
                <c:pt idx="5">
                  <c:v>-3.4069999999999934E-3</c:v>
                </c:pt>
                <c:pt idx="6">
                  <c:v>-2.2829999999999795E-3</c:v>
                </c:pt>
                <c:pt idx="7">
                  <c:v>-2.6528999999999858E-3</c:v>
                </c:pt>
                <c:pt idx="8">
                  <c:v>-4.9501999999998492E-4</c:v>
                </c:pt>
                <c:pt idx="9">
                  <c:v>-5.7998000000000771E-4</c:v>
                </c:pt>
                <c:pt idx="10">
                  <c:v>1.0990300000000008E-3</c:v>
                </c:pt>
                <c:pt idx="11">
                  <c:v>1.7099600000000104E-3</c:v>
                </c:pt>
                <c:pt idx="12">
                  <c:v>2.860980000000013E-3</c:v>
                </c:pt>
                <c:pt idx="13">
                  <c:v>1.0560500000000028E-3</c:v>
                </c:pt>
                <c:pt idx="14">
                  <c:v>6.940200000000174E-4</c:v>
                </c:pt>
                <c:pt idx="15">
                  <c:v>2.9170500000000044E-3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'T14-2'!$L$2</c15:sqref>
                        </c15:formulaRef>
                      </c:ext>
                    </c:extLst>
                    <c:strCache>
                      <c:ptCount val="1"/>
                      <c:pt idx="0">
                        <c:v>diffax_prumer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'T14-2'!$L$3:$L$18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3.27598E-3</c:v>
                      </c:pt>
                      <c:pt idx="1">
                        <c:v>2.5598530000000001E-2</c:v>
                      </c:pt>
                      <c:pt idx="2">
                        <c:v>4.3823939999999999E-2</c:v>
                      </c:pt>
                      <c:pt idx="3">
                        <c:v>5.5683000000000003E-2</c:v>
                      </c:pt>
                      <c:pt idx="4">
                        <c:v>5.8564739999999997E-2</c:v>
                      </c:pt>
                      <c:pt idx="5">
                        <c:v>5.2941309999999998E-2</c:v>
                      </c:pt>
                      <c:pt idx="6">
                        <c:v>3.9834759999999997E-2</c:v>
                      </c:pt>
                      <c:pt idx="7">
                        <c:v>2.0285460000000002E-2</c:v>
                      </c:pt>
                      <c:pt idx="8">
                        <c:v>-1.9705999999999999E-3</c:v>
                      </c:pt>
                      <c:pt idx="9">
                        <c:v>-2.4282910000000001E-2</c:v>
                      </c:pt>
                      <c:pt idx="10">
                        <c:v>-4.2246079999999998E-2</c:v>
                      </c:pt>
                      <c:pt idx="11">
                        <c:v>-5.4072660000000002E-2</c:v>
                      </c:pt>
                      <c:pt idx="12">
                        <c:v>-5.7490039999999999E-2</c:v>
                      </c:pt>
                      <c:pt idx="13">
                        <c:v>-5.093408E-2</c:v>
                      </c:pt>
                      <c:pt idx="14">
                        <c:v>-3.8489259999999997E-2</c:v>
                      </c:pt>
                      <c:pt idx="15">
                        <c:v>-1.8360540000000002E-2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AB7-49A3-B47D-D9EEBD6F287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'T14-2'!$O$2</c15:sqref>
                        </c15:formulaRef>
                      </c:ext>
                    </c:extLst>
                    <c:strCache>
                      <c:ptCount val="1"/>
                      <c:pt idx="0">
                        <c:v>diffay_prumer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'T14-2'!$O$3:$O$18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-5.808965E-2</c:v>
                      </c:pt>
                      <c:pt idx="1">
                        <c:v>-5.2537010000000002E-2</c:v>
                      </c:pt>
                      <c:pt idx="2">
                        <c:v>-3.9090630000000001E-2</c:v>
                      </c:pt>
                      <c:pt idx="3">
                        <c:v>-1.9713870000000001E-2</c:v>
                      </c:pt>
                      <c:pt idx="4">
                        <c:v>2.8623099999999999E-3</c:v>
                      </c:pt>
                      <c:pt idx="5">
                        <c:v>2.490117E-2</c:v>
                      </c:pt>
                      <c:pt idx="6">
                        <c:v>4.3165820000000001E-2</c:v>
                      </c:pt>
                      <c:pt idx="7">
                        <c:v>5.4635160000000002E-2</c:v>
                      </c:pt>
                      <c:pt idx="8">
                        <c:v>5.8121190000000003E-2</c:v>
                      </c:pt>
                      <c:pt idx="9">
                        <c:v>5.2674220000000001E-2</c:v>
                      </c:pt>
                      <c:pt idx="10">
                        <c:v>3.9261919999999999E-2</c:v>
                      </c:pt>
                      <c:pt idx="11">
                        <c:v>1.9875589999999999E-2</c:v>
                      </c:pt>
                      <c:pt idx="12">
                        <c:v>-2.5927699999999999E-3</c:v>
                      </c:pt>
                      <c:pt idx="13">
                        <c:v>-2.4730760000000001E-2</c:v>
                      </c:pt>
                      <c:pt idx="14">
                        <c:v>-4.3071779999999997E-2</c:v>
                      </c:pt>
                      <c:pt idx="15">
                        <c:v>-5.4625489999999999E-2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B7-49A3-B47D-D9EEBD6F287D}"/>
                  </c:ext>
                </c:extLst>
              </c15:ser>
            </c15:filteredLineSeries>
          </c:ext>
        </c:extLst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in val="-6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Measuring plane deviation accelerometer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'T14-2'!$Y$2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70C0"/>
                </a:solidFill>
              </a:ln>
              <a:effectLst/>
            </c:spPr>
          </c:marker>
          <c:cat>
            <c:numRef>
              <c:f>'T14-2'!$B$3:$B$18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'T14-2'!$Y$3:$Y$18</c:f>
              <c:numCache>
                <c:formatCode>0.00</c:formatCode>
                <c:ptCount val="16"/>
                <c:pt idx="0">
                  <c:v>3.3273649419097491</c:v>
                </c:pt>
                <c:pt idx="1">
                  <c:v>3.7745491075800897</c:v>
                </c:pt>
                <c:pt idx="2">
                  <c:v>4.094644367491429</c:v>
                </c:pt>
                <c:pt idx="3">
                  <c:v>4.2167748609928237</c:v>
                </c:pt>
                <c:pt idx="4">
                  <c:v>4.229166104811136</c:v>
                </c:pt>
                <c:pt idx="5">
                  <c:v>4.0722388213495053</c:v>
                </c:pt>
                <c:pt idx="6">
                  <c:v>3.7664727786298511</c:v>
                </c:pt>
                <c:pt idx="7">
                  <c:v>3.2968673025580206</c:v>
                </c:pt>
                <c:pt idx="8">
                  <c:v>2.7633966240692054</c:v>
                </c:pt>
                <c:pt idx="9">
                  <c:v>2.1129428261433105</c:v>
                </c:pt>
                <c:pt idx="10">
                  <c:v>1.4979513196295584</c:v>
                </c:pt>
                <c:pt idx="11">
                  <c:v>0.95595259942113475</c:v>
                </c:pt>
                <c:pt idx="12">
                  <c:v>0.99709779864007975</c:v>
                </c:pt>
                <c:pt idx="13">
                  <c:v>1.5208004635412338</c:v>
                </c:pt>
                <c:pt idx="14">
                  <c:v>2.1734384797273343</c:v>
                </c:pt>
                <c:pt idx="15">
                  <c:v>2.7893238211872866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'T14-2'!$Z$2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FF00"/>
                </a:solidFill>
              </a:ln>
              <a:effectLst/>
            </c:spPr>
          </c:marker>
          <c:cat>
            <c:numRef>
              <c:f>'T14-2'!$B$3:$B$18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'T14-2'!$Z$3:$Z$18</c:f>
              <c:numCache>
                <c:formatCode>0.00</c:formatCode>
                <c:ptCount val="16"/>
                <c:pt idx="0">
                  <c:v>2.7093311278224412</c:v>
                </c:pt>
                <c:pt idx="1">
                  <c:v>2.084654477909158</c:v>
                </c:pt>
                <c:pt idx="2">
                  <c:v>1.4665748320842513</c:v>
                </c:pt>
                <c:pt idx="3">
                  <c:v>0.91952703862081986</c:v>
                </c:pt>
                <c:pt idx="4">
                  <c:v>0.99117979043824933</c:v>
                </c:pt>
                <c:pt idx="5">
                  <c:v>1.522780608920854</c:v>
                </c:pt>
                <c:pt idx="6">
                  <c:v>2.1618750285294546</c:v>
                </c:pt>
                <c:pt idx="7">
                  <c:v>2.7624930566867172</c:v>
                </c:pt>
                <c:pt idx="8">
                  <c:v>3.3091013225128458</c:v>
                </c:pt>
                <c:pt idx="9">
                  <c:v>3.7327288172103121</c:v>
                </c:pt>
                <c:pt idx="10">
                  <c:v>4.0455540176799918</c:v>
                </c:pt>
                <c:pt idx="11">
                  <c:v>4.1632255786350765</c:v>
                </c:pt>
                <c:pt idx="12">
                  <c:v>4.1805125366806024</c:v>
                </c:pt>
                <c:pt idx="13">
                  <c:v>3.955301147754986</c:v>
                </c:pt>
                <c:pt idx="14">
                  <c:v>3.710353216535307</c:v>
                </c:pt>
                <c:pt idx="15">
                  <c:v>3.227352121665946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200024</xdr:rowOff>
    </xdr:from>
    <xdr:to>
      <xdr:col>12</xdr:col>
      <xdr:colOff>0</xdr:colOff>
      <xdr:row>48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20</xdr:row>
      <xdr:rowOff>0</xdr:rowOff>
    </xdr:from>
    <xdr:to>
      <xdr:col>25</xdr:col>
      <xdr:colOff>1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Y18"/>
  <sheetViews>
    <sheetView tabSelected="1" zoomScaleNormal="100" workbookViewId="0">
      <selection activeCell="G8" sqref="G8:H8"/>
    </sheetView>
  </sheetViews>
  <sheetFormatPr defaultRowHeight="15.75" x14ac:dyDescent="0.25"/>
  <cols>
    <col min="1" max="4" width="9.140625" style="2"/>
    <col min="5" max="6" width="9.140625" style="2" customWidth="1"/>
    <col min="7" max="16384" width="9.140625" style="2"/>
  </cols>
  <sheetData>
    <row r="1" spans="1:25" ht="15.75" customHeight="1" x14ac:dyDescent="0.25">
      <c r="A1" s="43" t="s">
        <v>30</v>
      </c>
      <c r="B1" s="43"/>
      <c r="C1" s="43" t="s">
        <v>52</v>
      </c>
      <c r="D1" s="43"/>
      <c r="E1" s="43" t="s">
        <v>47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ht="15.7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4" spans="1:25" x14ac:dyDescent="0.25">
      <c r="A4" s="42" t="s">
        <v>31</v>
      </c>
      <c r="B4" s="42"/>
      <c r="C4" s="42"/>
      <c r="D4" s="42"/>
      <c r="E4" s="42"/>
      <c r="F4" s="42"/>
      <c r="G4" s="20">
        <v>0</v>
      </c>
      <c r="H4" s="21"/>
      <c r="I4" s="3" t="s">
        <v>19</v>
      </c>
      <c r="K4" s="44" t="s">
        <v>48</v>
      </c>
      <c r="L4" s="44"/>
      <c r="M4" s="44"/>
      <c r="N4" s="44"/>
      <c r="O4" s="44"/>
      <c r="P4" s="44"/>
      <c r="R4" s="44" t="s">
        <v>50</v>
      </c>
      <c r="S4" s="44"/>
      <c r="T4" s="44"/>
      <c r="U4" s="44"/>
      <c r="V4" s="44"/>
      <c r="W4" s="44"/>
      <c r="X4" s="44"/>
      <c r="Y4" s="44"/>
    </row>
    <row r="5" spans="1:25" ht="15.75" customHeight="1" x14ac:dyDescent="0.25">
      <c r="A5" s="17" t="s">
        <v>32</v>
      </c>
      <c r="B5" s="18"/>
      <c r="C5" s="18"/>
      <c r="D5" s="18"/>
      <c r="E5" s="18"/>
      <c r="F5" s="19"/>
      <c r="G5" s="20">
        <v>0</v>
      </c>
      <c r="H5" s="21"/>
      <c r="I5" s="3" t="s">
        <v>19</v>
      </c>
      <c r="K5" s="22" t="s">
        <v>46</v>
      </c>
      <c r="L5" s="23"/>
      <c r="M5" s="23"/>
      <c r="N5" s="23"/>
      <c r="O5" s="23"/>
      <c r="P5" s="24"/>
      <c r="R5" s="45" t="s">
        <v>49</v>
      </c>
      <c r="S5" s="45"/>
      <c r="T5" s="45"/>
      <c r="U5" s="45"/>
      <c r="V5" s="45"/>
      <c r="W5" s="45"/>
      <c r="X5" s="45"/>
      <c r="Y5" s="45"/>
    </row>
    <row r="6" spans="1:25" x14ac:dyDescent="0.25">
      <c r="A6" s="42" t="s">
        <v>33</v>
      </c>
      <c r="B6" s="42"/>
      <c r="C6" s="42"/>
      <c r="D6" s="42"/>
      <c r="E6" s="42"/>
      <c r="F6" s="42"/>
      <c r="G6" s="41">
        <v>0</v>
      </c>
      <c r="H6" s="41"/>
      <c r="I6" s="3" t="s">
        <v>25</v>
      </c>
      <c r="K6" s="25"/>
      <c r="L6" s="26"/>
      <c r="M6" s="26"/>
      <c r="N6" s="26"/>
      <c r="O6" s="26"/>
      <c r="P6" s="27"/>
      <c r="R6" s="45"/>
      <c r="S6" s="45"/>
      <c r="T6" s="45"/>
      <c r="U6" s="45"/>
      <c r="V6" s="45"/>
      <c r="W6" s="45"/>
      <c r="X6" s="45"/>
      <c r="Y6" s="45"/>
    </row>
    <row r="7" spans="1:25" ht="15.75" customHeight="1" x14ac:dyDescent="0.25">
      <c r="A7" s="42" t="s">
        <v>16</v>
      </c>
      <c r="B7" s="42"/>
      <c r="C7" s="42"/>
      <c r="D7" s="42"/>
      <c r="E7" s="42"/>
      <c r="F7" s="42"/>
      <c r="G7" s="46">
        <f>360/((23*60*60)+(56*60)+4.09)</f>
        <v>4.1780746480349299E-3</v>
      </c>
      <c r="H7" s="46"/>
      <c r="I7" s="3" t="s">
        <v>17</v>
      </c>
      <c r="K7" s="25"/>
      <c r="L7" s="26"/>
      <c r="M7" s="26"/>
      <c r="N7" s="26"/>
      <c r="O7" s="26"/>
      <c r="P7" s="27"/>
      <c r="R7" s="45"/>
      <c r="S7" s="45"/>
      <c r="T7" s="45"/>
      <c r="U7" s="45"/>
      <c r="V7" s="45"/>
      <c r="W7" s="45"/>
      <c r="X7" s="45"/>
      <c r="Y7" s="45"/>
    </row>
    <row r="8" spans="1:25" x14ac:dyDescent="0.25">
      <c r="A8" s="42" t="s">
        <v>18</v>
      </c>
      <c r="B8" s="42"/>
      <c r="C8" s="42"/>
      <c r="D8" s="42"/>
      <c r="E8" s="42"/>
      <c r="F8" s="42"/>
      <c r="G8" s="41">
        <v>49</v>
      </c>
      <c r="H8" s="41"/>
      <c r="I8" s="3" t="s">
        <v>19</v>
      </c>
      <c r="K8" s="25"/>
      <c r="L8" s="26"/>
      <c r="M8" s="26"/>
      <c r="N8" s="26"/>
      <c r="O8" s="26"/>
      <c r="P8" s="27"/>
      <c r="R8" s="45"/>
      <c r="S8" s="45"/>
      <c r="T8" s="45"/>
      <c r="U8" s="45"/>
      <c r="V8" s="45"/>
      <c r="W8" s="45"/>
      <c r="X8" s="45"/>
      <c r="Y8" s="45"/>
    </row>
    <row r="9" spans="1:25" ht="15.75" customHeight="1" x14ac:dyDescent="0.25">
      <c r="A9" s="36" t="s">
        <v>20</v>
      </c>
      <c r="B9" s="37"/>
      <c r="C9" s="37"/>
      <c r="D9" s="37"/>
      <c r="E9" s="37"/>
      <c r="F9" s="38"/>
      <c r="G9" s="39">
        <f>(COS(RADIANS(G8))*G7)</f>
        <v>2.7410635966396515E-3</v>
      </c>
      <c r="H9" s="40"/>
      <c r="I9" s="4" t="s">
        <v>17</v>
      </c>
      <c r="K9" s="25"/>
      <c r="L9" s="26"/>
      <c r="M9" s="26"/>
      <c r="N9" s="26"/>
      <c r="O9" s="26"/>
      <c r="P9" s="27"/>
      <c r="R9" s="16"/>
      <c r="S9" s="16"/>
      <c r="T9" s="16"/>
      <c r="U9" s="16"/>
      <c r="V9" s="16"/>
      <c r="W9" s="16"/>
      <c r="X9" s="16"/>
      <c r="Y9" s="16"/>
    </row>
    <row r="10" spans="1:25" x14ac:dyDescent="0.25">
      <c r="A10" s="42" t="s">
        <v>34</v>
      </c>
      <c r="B10" s="42"/>
      <c r="C10" s="42"/>
      <c r="D10" s="42"/>
      <c r="E10" s="42"/>
      <c r="F10" s="42"/>
      <c r="G10" s="41">
        <v>22.5</v>
      </c>
      <c r="H10" s="41"/>
      <c r="I10" s="3" t="s">
        <v>19</v>
      </c>
      <c r="K10" s="25"/>
      <c r="L10" s="26"/>
      <c r="M10" s="26"/>
      <c r="N10" s="26"/>
      <c r="O10" s="26"/>
      <c r="P10" s="27"/>
      <c r="R10" s="16"/>
      <c r="S10" s="16"/>
      <c r="T10" s="16"/>
      <c r="U10" s="16"/>
      <c r="V10" s="16"/>
      <c r="W10" s="16"/>
      <c r="X10" s="16"/>
      <c r="Y10" s="16"/>
    </row>
    <row r="11" spans="1:25" ht="15.75" customHeight="1" x14ac:dyDescent="0.25">
      <c r="A11" s="17" t="s">
        <v>35</v>
      </c>
      <c r="B11" s="18"/>
      <c r="C11" s="18"/>
      <c r="D11" s="18"/>
      <c r="E11" s="18"/>
      <c r="F11" s="19"/>
      <c r="G11" s="20">
        <f>360/G10</f>
        <v>16</v>
      </c>
      <c r="H11" s="21"/>
      <c r="I11" s="3"/>
      <c r="K11" s="25"/>
      <c r="L11" s="26"/>
      <c r="M11" s="26"/>
      <c r="N11" s="26"/>
      <c r="O11" s="26"/>
      <c r="P11" s="27"/>
      <c r="R11" s="11"/>
      <c r="S11" s="11"/>
      <c r="T11" s="11"/>
      <c r="U11" s="11"/>
      <c r="V11" s="11"/>
      <c r="W11" s="11"/>
      <c r="X11" s="11"/>
      <c r="Y11" s="11"/>
    </row>
    <row r="12" spans="1:25" ht="15.75" customHeight="1" x14ac:dyDescent="0.25">
      <c r="A12" s="42" t="s">
        <v>21</v>
      </c>
      <c r="B12" s="42"/>
      <c r="C12" s="42"/>
      <c r="D12" s="42"/>
      <c r="E12" s="42"/>
      <c r="F12" s="42"/>
      <c r="G12" s="41" t="s">
        <v>51</v>
      </c>
      <c r="H12" s="41"/>
      <c r="I12" s="3"/>
      <c r="K12" s="25"/>
      <c r="L12" s="26"/>
      <c r="M12" s="26"/>
      <c r="N12" s="26"/>
      <c r="O12" s="26"/>
      <c r="P12" s="27"/>
      <c r="R12" s="47" t="s">
        <v>26</v>
      </c>
      <c r="S12" s="47"/>
      <c r="T12" s="47" t="s">
        <v>27</v>
      </c>
      <c r="U12" s="47"/>
      <c r="V12" s="47" t="s">
        <v>28</v>
      </c>
      <c r="W12" s="47"/>
      <c r="X12" s="47" t="s">
        <v>29</v>
      </c>
      <c r="Y12" s="47"/>
    </row>
    <row r="13" spans="1:25" ht="15.75" customHeight="1" x14ac:dyDescent="0.25">
      <c r="A13" s="17" t="s">
        <v>22</v>
      </c>
      <c r="B13" s="18"/>
      <c r="C13" s="18"/>
      <c r="D13" s="18"/>
      <c r="E13" s="18"/>
      <c r="F13" s="19"/>
      <c r="G13" s="20">
        <v>25</v>
      </c>
      <c r="H13" s="21"/>
      <c r="I13" s="3"/>
      <c r="K13" s="25"/>
      <c r="L13" s="26"/>
      <c r="M13" s="26"/>
      <c r="N13" s="26"/>
      <c r="O13" s="26"/>
      <c r="P13" s="27"/>
      <c r="R13" s="47"/>
      <c r="S13" s="47"/>
      <c r="T13" s="47"/>
      <c r="U13" s="47"/>
      <c r="V13" s="47"/>
      <c r="W13" s="47"/>
      <c r="X13" s="47"/>
      <c r="Y13" s="47"/>
    </row>
    <row r="14" spans="1:25" ht="15.75" customHeight="1" x14ac:dyDescent="0.25">
      <c r="A14" s="17" t="s">
        <v>23</v>
      </c>
      <c r="B14" s="18"/>
      <c r="C14" s="18"/>
      <c r="D14" s="18"/>
      <c r="E14" s="18"/>
      <c r="F14" s="19"/>
      <c r="G14" s="20">
        <v>200</v>
      </c>
      <c r="H14" s="21"/>
      <c r="I14" s="3"/>
      <c r="K14" s="25"/>
      <c r="L14" s="26"/>
      <c r="M14" s="26"/>
      <c r="N14" s="26"/>
      <c r="O14" s="26"/>
      <c r="P14" s="27"/>
      <c r="R14" s="47"/>
      <c r="S14" s="47"/>
      <c r="T14" s="47"/>
      <c r="U14" s="47"/>
      <c r="V14" s="47"/>
      <c r="W14" s="47"/>
      <c r="X14" s="47"/>
      <c r="Y14" s="47"/>
    </row>
    <row r="15" spans="1:25" ht="15.75" customHeight="1" x14ac:dyDescent="0.25">
      <c r="A15" s="17" t="s">
        <v>24</v>
      </c>
      <c r="B15" s="18"/>
      <c r="C15" s="18"/>
      <c r="D15" s="18"/>
      <c r="E15" s="18"/>
      <c r="F15" s="19"/>
      <c r="G15" s="20">
        <v>50</v>
      </c>
      <c r="H15" s="21"/>
      <c r="I15" s="3"/>
      <c r="K15" s="25"/>
      <c r="L15" s="26"/>
      <c r="M15" s="26"/>
      <c r="N15" s="26"/>
      <c r="O15" s="26"/>
      <c r="P15" s="27"/>
      <c r="R15" s="47"/>
      <c r="S15" s="47"/>
      <c r="T15" s="47"/>
      <c r="U15" s="47"/>
      <c r="V15" s="47"/>
      <c r="W15" s="47"/>
      <c r="X15" s="47"/>
      <c r="Y15" s="47"/>
    </row>
    <row r="16" spans="1:25" x14ac:dyDescent="0.25">
      <c r="A16" s="31" t="s">
        <v>37</v>
      </c>
      <c r="B16" s="32"/>
      <c r="C16" s="32"/>
      <c r="D16" s="32"/>
      <c r="E16" s="32"/>
      <c r="F16" s="33"/>
      <c r="G16" s="34">
        <v>400</v>
      </c>
      <c r="H16" s="35"/>
      <c r="I16" s="5" t="s">
        <v>19</v>
      </c>
      <c r="K16" s="25"/>
      <c r="L16" s="26"/>
      <c r="M16" s="26"/>
      <c r="N16" s="26"/>
      <c r="O16" s="26"/>
      <c r="P16" s="27"/>
      <c r="R16" s="48">
        <f>MIN('T14-2'!R3:R18)</f>
        <v>-2.9160000000000019E-3</v>
      </c>
      <c r="S16" s="48"/>
      <c r="T16" s="48">
        <f>MIN('T14-2'!S3:S18)</f>
        <v>-3.8999599999999801E-3</v>
      </c>
      <c r="U16" s="48"/>
      <c r="V16" s="48">
        <f>MAX('T14-2'!R3:R18)</f>
        <v>2.0470100000000019E-3</v>
      </c>
      <c r="W16" s="48"/>
      <c r="X16" s="48">
        <f>MAX('T14-2'!S3:S18)</f>
        <v>2.9170500000000044E-3</v>
      </c>
      <c r="Y16" s="48"/>
    </row>
    <row r="17" spans="1:25" x14ac:dyDescent="0.25">
      <c r="A17" s="31" t="s">
        <v>36</v>
      </c>
      <c r="B17" s="32"/>
      <c r="C17" s="32"/>
      <c r="D17" s="32"/>
      <c r="E17" s="32"/>
      <c r="F17" s="33"/>
      <c r="G17" s="34">
        <f>G11*G13*G14</f>
        <v>80000</v>
      </c>
      <c r="H17" s="35"/>
      <c r="I17" s="3"/>
      <c r="K17" s="28"/>
      <c r="L17" s="29"/>
      <c r="M17" s="29"/>
      <c r="N17" s="29"/>
      <c r="O17" s="29"/>
      <c r="P17" s="30"/>
      <c r="R17" s="48"/>
      <c r="S17" s="48"/>
      <c r="T17" s="48"/>
      <c r="U17" s="48"/>
      <c r="V17" s="48"/>
      <c r="W17" s="48"/>
      <c r="X17" s="48"/>
      <c r="Y17" s="48"/>
    </row>
    <row r="18" spans="1:25" ht="15.75" customHeight="1" x14ac:dyDescent="0.25">
      <c r="A18" s="12"/>
      <c r="B18" s="12"/>
      <c r="C18" s="12"/>
      <c r="D18" s="12"/>
      <c r="E18" s="12"/>
      <c r="F18" s="12"/>
      <c r="G18" s="13"/>
      <c r="H18" s="13"/>
      <c r="I18" s="14"/>
      <c r="K18" s="10"/>
      <c r="L18" s="10"/>
      <c r="M18" s="10"/>
      <c r="N18" s="10"/>
      <c r="O18" s="10"/>
      <c r="P18" s="10"/>
      <c r="R18" s="15"/>
      <c r="S18" s="15"/>
      <c r="T18" s="15"/>
      <c r="U18" s="15"/>
      <c r="V18" s="15"/>
      <c r="W18" s="15"/>
      <c r="X18" s="15"/>
      <c r="Y18" s="15"/>
    </row>
  </sheetData>
  <mergeCells count="43">
    <mergeCell ref="A17:F17"/>
    <mergeCell ref="A13:F13"/>
    <mergeCell ref="A14:F14"/>
    <mergeCell ref="A15:F15"/>
    <mergeCell ref="R16:S17"/>
    <mergeCell ref="R12:S15"/>
    <mergeCell ref="A12:F12"/>
    <mergeCell ref="T12:U15"/>
    <mergeCell ref="V12:W15"/>
    <mergeCell ref="X12:Y15"/>
    <mergeCell ref="T16:U17"/>
    <mergeCell ref="V16:W17"/>
    <mergeCell ref="X16:Y17"/>
    <mergeCell ref="R5:Y8"/>
    <mergeCell ref="G7:H7"/>
    <mergeCell ref="A5:F5"/>
    <mergeCell ref="G5:H5"/>
    <mergeCell ref="A6:F6"/>
    <mergeCell ref="G6:H6"/>
    <mergeCell ref="A7:F7"/>
    <mergeCell ref="G4:H4"/>
    <mergeCell ref="A1:B2"/>
    <mergeCell ref="C1:D2"/>
    <mergeCell ref="E1:Y2"/>
    <mergeCell ref="K4:P4"/>
    <mergeCell ref="A4:F4"/>
    <mergeCell ref="R4:Y4"/>
    <mergeCell ref="A11:F11"/>
    <mergeCell ref="G11:H11"/>
    <mergeCell ref="K5:P17"/>
    <mergeCell ref="A16:F16"/>
    <mergeCell ref="G16:H16"/>
    <mergeCell ref="G15:H15"/>
    <mergeCell ref="G14:H14"/>
    <mergeCell ref="G13:H13"/>
    <mergeCell ref="G17:H17"/>
    <mergeCell ref="A9:F9"/>
    <mergeCell ref="G9:H9"/>
    <mergeCell ref="G8:H8"/>
    <mergeCell ref="G10:H10"/>
    <mergeCell ref="G12:H12"/>
    <mergeCell ref="A8:F8"/>
    <mergeCell ref="A10:F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B18"/>
  <sheetViews>
    <sheetView workbookViewId="0">
      <selection activeCell="G19" sqref="G19"/>
    </sheetView>
  </sheetViews>
  <sheetFormatPr defaultRowHeight="15" x14ac:dyDescent="0.25"/>
  <cols>
    <col min="4" max="4" width="12.140625" customWidth="1"/>
    <col min="5" max="5" width="12.42578125" customWidth="1"/>
    <col min="6" max="7" width="14.5703125" customWidth="1"/>
    <col min="8" max="8" width="15.42578125" customWidth="1"/>
    <col min="9" max="9" width="13.140625" customWidth="1"/>
    <col min="10" max="10" width="14.42578125" customWidth="1"/>
    <col min="11" max="11" width="12.28515625" customWidth="1"/>
    <col min="12" max="12" width="14.28515625" customWidth="1"/>
    <col min="13" max="13" width="13.140625" customWidth="1"/>
    <col min="14" max="14" width="12.5703125" customWidth="1"/>
    <col min="15" max="15" width="15.28515625" customWidth="1"/>
    <col min="21" max="21" width="11.28515625" customWidth="1"/>
    <col min="22" max="22" width="13.5703125" customWidth="1"/>
    <col min="23" max="23" width="13.28515625" customWidth="1"/>
    <col min="24" max="24" width="12.5703125" customWidth="1"/>
    <col min="27" max="27" width="15.7109375" customWidth="1"/>
    <col min="28" max="28" width="20.85546875" customWidth="1"/>
  </cols>
  <sheetData>
    <row r="1" spans="1:28" x14ac:dyDescent="0.25">
      <c r="U1" s="6"/>
      <c r="V1" s="6"/>
      <c r="W1" s="6"/>
      <c r="X1" s="6"/>
      <c r="Y1" s="6"/>
      <c r="Z1" s="6"/>
      <c r="AA1" s="6"/>
      <c r="AB1" s="6"/>
    </row>
    <row r="2" spans="1:2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R2" t="s">
        <v>14</v>
      </c>
      <c r="S2" t="s">
        <v>15</v>
      </c>
      <c r="U2" s="7" t="s">
        <v>38</v>
      </c>
      <c r="V2" s="7" t="s">
        <v>39</v>
      </c>
      <c r="W2" s="7" t="s">
        <v>40</v>
      </c>
      <c r="X2" s="7" t="s">
        <v>41</v>
      </c>
      <c r="Y2" s="7" t="s">
        <v>42</v>
      </c>
      <c r="Z2" s="6" t="s">
        <v>43</v>
      </c>
      <c r="AA2" s="6" t="s">
        <v>44</v>
      </c>
      <c r="AB2" s="6" t="s">
        <v>45</v>
      </c>
    </row>
    <row r="3" spans="1:28" x14ac:dyDescent="0.25">
      <c r="A3">
        <v>1</v>
      </c>
      <c r="B3">
        <v>0</v>
      </c>
      <c r="C3">
        <v>25</v>
      </c>
      <c r="D3" s="1">
        <v>-0.24526798</v>
      </c>
      <c r="E3" s="1">
        <v>-0.24061395999999999</v>
      </c>
      <c r="F3" s="1">
        <v>-4.6540399999999999E-3</v>
      </c>
      <c r="G3" s="1">
        <v>0.42620400000000003</v>
      </c>
      <c r="H3" s="1">
        <v>0.42308607999999998</v>
      </c>
      <c r="I3" s="1">
        <v>3.1179200000000002E-3</v>
      </c>
      <c r="J3" s="1">
        <v>4.524893E-2</v>
      </c>
      <c r="K3" s="1">
        <v>4.1972950000000002E-2</v>
      </c>
      <c r="L3" s="1">
        <v>3.27598E-3</v>
      </c>
      <c r="M3" s="1">
        <v>-3.6349319999999997E-2</v>
      </c>
      <c r="N3" s="1">
        <v>2.1740329999999999E-2</v>
      </c>
      <c r="O3" s="1">
        <v>-5.808965E-2</v>
      </c>
      <c r="R3">
        <f>(D3-E3)/2</f>
        <v>-2.3270100000000044E-3</v>
      </c>
      <c r="S3">
        <f>(G3-H3)/2</f>
        <v>1.5589600000000259E-3</v>
      </c>
      <c r="U3" s="8">
        <f>J3</f>
        <v>4.524893E-2</v>
      </c>
      <c r="V3" s="8">
        <f>M3</f>
        <v>-3.6349319999999997E-2</v>
      </c>
      <c r="W3" s="8">
        <f>K3</f>
        <v>4.1972950000000002E-2</v>
      </c>
      <c r="X3" s="8">
        <f>N3</f>
        <v>2.1740329999999999E-2</v>
      </c>
      <c r="Y3" s="9">
        <f t="shared" ref="Y3" si="0">IF(U3="","",DEGREES(ASIN(SQRT(U3^2+V3^2))))</f>
        <v>3.3273649419097491</v>
      </c>
      <c r="Z3" s="9">
        <f t="shared" ref="Z3" si="1">IF(W3="","",DEGREES(ASIN(SQRT(W3^2+X3^2))))</f>
        <v>2.7093311278224412</v>
      </c>
      <c r="AA3" s="9">
        <f t="shared" ref="AA3" si="2">IF(U3="","",MOD(DEGREES(ATAN2(U3,V3)),360))</f>
        <v>321.22442925275027</v>
      </c>
      <c r="AB3" s="9">
        <f t="shared" ref="AB3" si="3">IF(U3="","",MOD(F3+AA3,360))</f>
        <v>321.21977521275028</v>
      </c>
    </row>
    <row r="4" spans="1:28" x14ac:dyDescent="0.25">
      <c r="A4">
        <v>2</v>
      </c>
      <c r="B4">
        <v>22.5</v>
      </c>
      <c r="C4">
        <v>25</v>
      </c>
      <c r="D4" s="1">
        <v>-0.24489</v>
      </c>
      <c r="E4" s="1">
        <v>-0.24196998</v>
      </c>
      <c r="F4" s="1">
        <v>-2.9200300000000001E-3</v>
      </c>
      <c r="G4" s="1">
        <v>0.42605411999999998</v>
      </c>
      <c r="H4" s="1">
        <v>0.42241612000000001</v>
      </c>
      <c r="I4" s="1">
        <v>3.6380000000000002E-3</v>
      </c>
      <c r="J4" s="1">
        <v>5.6633099999999999E-2</v>
      </c>
      <c r="K4" s="1">
        <v>3.1034570000000001E-2</v>
      </c>
      <c r="L4" s="1">
        <v>2.5598530000000001E-2</v>
      </c>
      <c r="M4" s="1">
        <v>-3.3561420000000002E-2</v>
      </c>
      <c r="N4" s="1">
        <v>1.8975590000000001E-2</v>
      </c>
      <c r="O4" s="1">
        <v>-5.2537010000000002E-2</v>
      </c>
      <c r="R4">
        <f>(D4-E4)/2</f>
        <v>-1.4600099999999977E-3</v>
      </c>
      <c r="S4">
        <f t="shared" ref="S4:S18" si="4">(G4-H4)/2</f>
        <v>1.8189999999999873E-3</v>
      </c>
      <c r="U4" s="8">
        <f t="shared" ref="U4:U18" si="5">J4</f>
        <v>5.6633099999999999E-2</v>
      </c>
      <c r="V4" s="8">
        <f t="shared" ref="V4:V18" si="6">M4</f>
        <v>-3.3561420000000002E-2</v>
      </c>
      <c r="W4" s="8">
        <f t="shared" ref="W4:W18" si="7">K4</f>
        <v>3.1034570000000001E-2</v>
      </c>
      <c r="X4" s="8">
        <f t="shared" ref="X4:X18" si="8">N4</f>
        <v>1.8975590000000001E-2</v>
      </c>
      <c r="Y4" s="9">
        <f t="shared" ref="Y4:Y18" si="9">IF(U4="","",DEGREES(ASIN(SQRT(U4^2+V4^2))))</f>
        <v>3.7745491075800897</v>
      </c>
      <c r="Z4" s="9">
        <f t="shared" ref="Z4:Z18" si="10">IF(W4="","",DEGREES(ASIN(SQRT(W4^2+X4^2))))</f>
        <v>2.084654477909158</v>
      </c>
      <c r="AA4" s="9">
        <f t="shared" ref="AA4:AA18" si="11">IF(U4="","",MOD(DEGREES(ATAN2(U4,V4)),360))</f>
        <v>329.34853503433351</v>
      </c>
      <c r="AB4" s="9">
        <f t="shared" ref="AB4:AB18" si="12">IF(U4="","",MOD(F4+AA4,360))</f>
        <v>329.34561500433352</v>
      </c>
    </row>
    <row r="5" spans="1:28" x14ac:dyDescent="0.25">
      <c r="A5">
        <v>3</v>
      </c>
      <c r="B5">
        <v>45</v>
      </c>
      <c r="C5">
        <v>25</v>
      </c>
      <c r="D5" s="1">
        <v>-0.24472598000000001</v>
      </c>
      <c r="E5" s="1">
        <v>-0.24032397999999999</v>
      </c>
      <c r="F5" s="1">
        <v>-4.4020099999999996E-3</v>
      </c>
      <c r="G5" s="1">
        <v>0.42598004</v>
      </c>
      <c r="H5" s="1">
        <v>0.42763003999999999</v>
      </c>
      <c r="I5" s="1">
        <v>-1.6500099999999999E-3</v>
      </c>
      <c r="J5" s="1">
        <v>6.6221879999999997E-2</v>
      </c>
      <c r="K5" s="1">
        <v>2.239795E-2</v>
      </c>
      <c r="L5" s="1">
        <v>4.3823939999999999E-2</v>
      </c>
      <c r="M5" s="1">
        <v>-2.6706250000000001E-2</v>
      </c>
      <c r="N5" s="1">
        <v>1.238437E-2</v>
      </c>
      <c r="O5" s="1">
        <v>-3.9090630000000001E-2</v>
      </c>
      <c r="R5">
        <f t="shared" ref="R5:R18" si="13">(D5-E5)/2</f>
        <v>-2.2010000000000085E-3</v>
      </c>
      <c r="S5">
        <f t="shared" si="4"/>
        <v>-8.2499999999999241E-4</v>
      </c>
      <c r="U5" s="8">
        <f t="shared" si="5"/>
        <v>6.6221879999999997E-2</v>
      </c>
      <c r="V5" s="8">
        <f t="shared" si="6"/>
        <v>-2.6706250000000001E-2</v>
      </c>
      <c r="W5" s="8">
        <f t="shared" si="7"/>
        <v>2.239795E-2</v>
      </c>
      <c r="X5" s="8">
        <f t="shared" si="8"/>
        <v>1.238437E-2</v>
      </c>
      <c r="Y5" s="9">
        <f t="shared" si="9"/>
        <v>4.094644367491429</v>
      </c>
      <c r="Z5" s="9">
        <f t="shared" si="10"/>
        <v>1.4665748320842513</v>
      </c>
      <c r="AA5" s="9">
        <f t="shared" si="11"/>
        <v>338.03654923293448</v>
      </c>
      <c r="AB5" s="9">
        <f t="shared" si="12"/>
        <v>338.0321472229345</v>
      </c>
    </row>
    <row r="6" spans="1:28" x14ac:dyDescent="0.25">
      <c r="A6">
        <v>4</v>
      </c>
      <c r="B6">
        <v>67.5</v>
      </c>
      <c r="C6">
        <v>25</v>
      </c>
      <c r="D6" s="1">
        <v>-0.24476800000000001</v>
      </c>
      <c r="E6" s="1">
        <v>-0.23893600000000001</v>
      </c>
      <c r="F6" s="1">
        <v>-5.8320000000000004E-3</v>
      </c>
      <c r="G6" s="1">
        <v>0.42405008</v>
      </c>
      <c r="H6" s="1">
        <v>0.426284</v>
      </c>
      <c r="I6" s="1">
        <v>-2.2339500000000002E-3</v>
      </c>
      <c r="J6" s="1">
        <v>7.1515720000000005E-2</v>
      </c>
      <c r="K6" s="1">
        <v>1.5832720000000002E-2</v>
      </c>
      <c r="L6" s="1">
        <v>5.5683000000000003E-2</v>
      </c>
      <c r="M6" s="1">
        <v>-1.7093560000000001E-2</v>
      </c>
      <c r="N6" s="1">
        <v>2.6203099999999998E-3</v>
      </c>
      <c r="O6" s="1">
        <v>-1.9713870000000001E-2</v>
      </c>
      <c r="R6">
        <f t="shared" si="13"/>
        <v>-2.9160000000000019E-3</v>
      </c>
      <c r="S6">
        <f t="shared" si="4"/>
        <v>-1.1169600000000002E-3</v>
      </c>
      <c r="U6" s="8">
        <f t="shared" si="5"/>
        <v>7.1515720000000005E-2</v>
      </c>
      <c r="V6" s="8">
        <f t="shared" si="6"/>
        <v>-1.7093560000000001E-2</v>
      </c>
      <c r="W6" s="8">
        <f t="shared" si="7"/>
        <v>1.5832720000000002E-2</v>
      </c>
      <c r="X6" s="8">
        <f t="shared" si="8"/>
        <v>2.6203099999999998E-3</v>
      </c>
      <c r="Y6" s="9">
        <f t="shared" si="9"/>
        <v>4.2167748609928237</v>
      </c>
      <c r="Z6" s="9">
        <f t="shared" si="10"/>
        <v>0.91952703862081986</v>
      </c>
      <c r="AA6" s="9">
        <f t="shared" si="11"/>
        <v>346.55746683919665</v>
      </c>
      <c r="AB6" s="9">
        <f t="shared" si="12"/>
        <v>346.55163483919665</v>
      </c>
    </row>
    <row r="7" spans="1:28" x14ac:dyDescent="0.25">
      <c r="A7">
        <v>5</v>
      </c>
      <c r="B7">
        <v>90</v>
      </c>
      <c r="C7">
        <v>25</v>
      </c>
      <c r="D7" s="1">
        <v>-0.24441795999999999</v>
      </c>
      <c r="E7" s="1">
        <v>-0.24164996</v>
      </c>
      <c r="F7" s="1">
        <v>-2.7680000000000001E-3</v>
      </c>
      <c r="G7" s="1">
        <v>0.42081412000000001</v>
      </c>
      <c r="H7" s="1">
        <v>0.42861403999999997</v>
      </c>
      <c r="I7" s="1">
        <v>-7.7999200000000001E-3</v>
      </c>
      <c r="J7" s="1">
        <v>7.3514159999999995E-2</v>
      </c>
      <c r="K7" s="1">
        <v>1.494941E-2</v>
      </c>
      <c r="L7" s="1">
        <v>5.8564739999999997E-2</v>
      </c>
      <c r="M7" s="1">
        <v>-5.8413099999999997E-3</v>
      </c>
      <c r="N7" s="1">
        <v>-8.7036100000000005E-3</v>
      </c>
      <c r="O7" s="1">
        <v>2.8623099999999999E-3</v>
      </c>
      <c r="R7">
        <f t="shared" si="13"/>
        <v>-1.3839999999999963E-3</v>
      </c>
      <c r="S7">
        <f t="shared" si="4"/>
        <v>-3.8999599999999801E-3</v>
      </c>
      <c r="U7" s="8">
        <f t="shared" si="5"/>
        <v>7.3514159999999995E-2</v>
      </c>
      <c r="V7" s="8">
        <f t="shared" si="6"/>
        <v>-5.8413099999999997E-3</v>
      </c>
      <c r="W7" s="8">
        <f t="shared" si="7"/>
        <v>1.494941E-2</v>
      </c>
      <c r="X7" s="8">
        <f t="shared" si="8"/>
        <v>-8.7036100000000005E-3</v>
      </c>
      <c r="Y7" s="9">
        <f t="shared" si="9"/>
        <v>4.229166104811136</v>
      </c>
      <c r="Z7" s="9">
        <f t="shared" si="10"/>
        <v>0.99117979043824933</v>
      </c>
      <c r="AA7" s="9">
        <f t="shared" si="11"/>
        <v>355.45691995355975</v>
      </c>
      <c r="AB7" s="9">
        <f t="shared" si="12"/>
        <v>355.45415195355974</v>
      </c>
    </row>
    <row r="8" spans="1:28" x14ac:dyDescent="0.25">
      <c r="A8">
        <v>6</v>
      </c>
      <c r="B8">
        <v>112.5</v>
      </c>
      <c r="C8">
        <v>25</v>
      </c>
      <c r="D8" s="1">
        <v>-0.24118396</v>
      </c>
      <c r="E8" s="1">
        <v>-0.24059594000000001</v>
      </c>
      <c r="F8" s="1">
        <v>-5.8803000000000002E-4</v>
      </c>
      <c r="G8" s="1">
        <v>0.42390008000000001</v>
      </c>
      <c r="H8" s="1">
        <v>0.43071408</v>
      </c>
      <c r="I8" s="1">
        <v>-6.8139999999999997E-3</v>
      </c>
      <c r="J8" s="1">
        <v>7.0820510000000003E-2</v>
      </c>
      <c r="K8" s="1">
        <v>1.7879200000000001E-2</v>
      </c>
      <c r="L8" s="1">
        <v>5.2941309999999998E-2</v>
      </c>
      <c r="M8" s="1">
        <v>5.2407199999999999E-3</v>
      </c>
      <c r="N8" s="1">
        <v>-1.9660449999999999E-2</v>
      </c>
      <c r="O8" s="1">
        <v>2.490117E-2</v>
      </c>
      <c r="R8">
        <f t="shared" si="13"/>
        <v>-2.9400999999999733E-4</v>
      </c>
      <c r="S8">
        <f t="shared" si="4"/>
        <v>-3.4069999999999934E-3</v>
      </c>
      <c r="U8" s="8">
        <f t="shared" si="5"/>
        <v>7.0820510000000003E-2</v>
      </c>
      <c r="V8" s="8">
        <f t="shared" si="6"/>
        <v>5.2407199999999999E-3</v>
      </c>
      <c r="W8" s="8">
        <f t="shared" si="7"/>
        <v>1.7879200000000001E-2</v>
      </c>
      <c r="X8" s="8">
        <f t="shared" si="8"/>
        <v>-1.9660449999999999E-2</v>
      </c>
      <c r="Y8" s="9">
        <f t="shared" si="9"/>
        <v>4.0722388213495053</v>
      </c>
      <c r="Z8" s="9">
        <f t="shared" si="10"/>
        <v>1.522780608920854</v>
      </c>
      <c r="AA8" s="9">
        <f t="shared" si="11"/>
        <v>4.2321756229995406</v>
      </c>
      <c r="AB8" s="9">
        <f t="shared" si="12"/>
        <v>4.2315875929995403</v>
      </c>
    </row>
    <row r="9" spans="1:28" x14ac:dyDescent="0.25">
      <c r="A9">
        <v>7</v>
      </c>
      <c r="B9">
        <v>135</v>
      </c>
      <c r="C9">
        <v>25</v>
      </c>
      <c r="D9" s="1">
        <v>-0.24132996000000001</v>
      </c>
      <c r="E9" s="1">
        <v>-0.24250202000000001</v>
      </c>
      <c r="F9" s="1">
        <v>1.17205E-3</v>
      </c>
      <c r="G9" s="1">
        <v>0.42242200000000002</v>
      </c>
      <c r="H9" s="1">
        <v>0.42698799999999998</v>
      </c>
      <c r="I9" s="1">
        <v>-4.5659799999999999E-3</v>
      </c>
      <c r="J9" s="1">
        <v>6.4115519999999995E-2</v>
      </c>
      <c r="K9" s="1">
        <v>2.4280759999999998E-2</v>
      </c>
      <c r="L9" s="1">
        <v>3.9834759999999997E-2</v>
      </c>
      <c r="M9" s="1">
        <v>1.4296089999999999E-2</v>
      </c>
      <c r="N9" s="1">
        <v>-2.8869720000000001E-2</v>
      </c>
      <c r="O9" s="1">
        <v>4.3165820000000001E-2</v>
      </c>
      <c r="R9">
        <f t="shared" si="13"/>
        <v>5.8603000000000127E-4</v>
      </c>
      <c r="S9">
        <f t="shared" si="4"/>
        <v>-2.2829999999999795E-3</v>
      </c>
      <c r="U9" s="8">
        <f t="shared" si="5"/>
        <v>6.4115519999999995E-2</v>
      </c>
      <c r="V9" s="8">
        <f t="shared" si="6"/>
        <v>1.4296089999999999E-2</v>
      </c>
      <c r="W9" s="8">
        <f t="shared" si="7"/>
        <v>2.4280759999999998E-2</v>
      </c>
      <c r="X9" s="8">
        <f t="shared" si="8"/>
        <v>-2.8869720000000001E-2</v>
      </c>
      <c r="Y9" s="9">
        <f t="shared" si="9"/>
        <v>3.7664727786298511</v>
      </c>
      <c r="Z9" s="9">
        <f t="shared" si="10"/>
        <v>2.1618750285294546</v>
      </c>
      <c r="AA9" s="9">
        <f t="shared" si="11"/>
        <v>12.569844496796154</v>
      </c>
      <c r="AB9" s="9">
        <f t="shared" si="12"/>
        <v>12.571016546796153</v>
      </c>
    </row>
    <row r="10" spans="1:28" x14ac:dyDescent="0.25">
      <c r="A10">
        <v>8</v>
      </c>
      <c r="B10">
        <v>157.5</v>
      </c>
      <c r="C10">
        <v>25</v>
      </c>
      <c r="D10" s="1">
        <v>-0.24198396</v>
      </c>
      <c r="E10" s="1">
        <v>-0.24231195999999999</v>
      </c>
      <c r="F10" s="1">
        <v>3.28E-4</v>
      </c>
      <c r="G10" s="1">
        <v>0.42436412000000001</v>
      </c>
      <c r="H10" s="1">
        <v>0.42966991999999998</v>
      </c>
      <c r="I10" s="1">
        <v>-5.3058000000000003E-3</v>
      </c>
      <c r="J10" s="1">
        <v>5.388809E-2</v>
      </c>
      <c r="K10" s="1">
        <v>3.3602640000000003E-2</v>
      </c>
      <c r="L10" s="1">
        <v>2.0285460000000002E-2</v>
      </c>
      <c r="M10" s="1">
        <v>2.0085059999999998E-2</v>
      </c>
      <c r="N10" s="1">
        <v>-3.45501E-2</v>
      </c>
      <c r="O10" s="1">
        <v>5.4635160000000002E-2</v>
      </c>
      <c r="R10">
        <f>(D10-E10)/2</f>
        <v>1.6399999999999748E-4</v>
      </c>
      <c r="S10">
        <f t="shared" si="4"/>
        <v>-2.6528999999999858E-3</v>
      </c>
      <c r="U10" s="8">
        <f t="shared" si="5"/>
        <v>5.388809E-2</v>
      </c>
      <c r="V10" s="8">
        <f t="shared" si="6"/>
        <v>2.0085059999999998E-2</v>
      </c>
      <c r="W10" s="8">
        <f t="shared" si="7"/>
        <v>3.3602640000000003E-2</v>
      </c>
      <c r="X10" s="8">
        <f t="shared" si="8"/>
        <v>-3.45501E-2</v>
      </c>
      <c r="Y10" s="9">
        <f t="shared" si="9"/>
        <v>3.2968673025580206</v>
      </c>
      <c r="Z10" s="9">
        <f t="shared" si="10"/>
        <v>2.7624930566867172</v>
      </c>
      <c r="AA10" s="9">
        <f t="shared" si="11"/>
        <v>20.44132902152262</v>
      </c>
      <c r="AB10" s="9">
        <f t="shared" si="12"/>
        <v>20.441657021522619</v>
      </c>
    </row>
    <row r="11" spans="1:28" x14ac:dyDescent="0.25">
      <c r="A11">
        <v>9</v>
      </c>
      <c r="B11">
        <v>180</v>
      </c>
      <c r="C11">
        <v>25</v>
      </c>
      <c r="D11" s="1">
        <v>-0.23982396</v>
      </c>
      <c r="E11" s="1">
        <v>-0.24391798000000001</v>
      </c>
      <c r="F11" s="1">
        <v>4.0940300000000002E-3</v>
      </c>
      <c r="G11" s="1">
        <v>0.42605004000000002</v>
      </c>
      <c r="H11" s="1">
        <v>0.42704007999999999</v>
      </c>
      <c r="I11" s="1">
        <v>-9.9003000000000003E-4</v>
      </c>
      <c r="J11" s="1">
        <v>4.2959280000000002E-2</v>
      </c>
      <c r="K11" s="1">
        <v>4.4929879999999998E-2</v>
      </c>
      <c r="L11" s="1">
        <v>-1.9705999999999999E-3</v>
      </c>
      <c r="M11" s="1">
        <v>2.1883E-2</v>
      </c>
      <c r="N11" s="1">
        <v>-3.6238180000000002E-2</v>
      </c>
      <c r="O11" s="1">
        <v>5.8121190000000003E-2</v>
      </c>
      <c r="R11">
        <f t="shared" si="13"/>
        <v>2.0470100000000019E-3</v>
      </c>
      <c r="S11">
        <f t="shared" si="4"/>
        <v>-4.9501999999998492E-4</v>
      </c>
      <c r="U11" s="8">
        <f t="shared" si="5"/>
        <v>4.2959280000000002E-2</v>
      </c>
      <c r="V11" s="8">
        <f t="shared" si="6"/>
        <v>2.1883E-2</v>
      </c>
      <c r="W11" s="8">
        <f t="shared" si="7"/>
        <v>4.4929879999999998E-2</v>
      </c>
      <c r="X11" s="8">
        <f t="shared" si="8"/>
        <v>-3.6238180000000002E-2</v>
      </c>
      <c r="Y11" s="9">
        <f t="shared" si="9"/>
        <v>2.7633966240692054</v>
      </c>
      <c r="Z11" s="9">
        <f t="shared" si="10"/>
        <v>3.3091013225128458</v>
      </c>
      <c r="AA11" s="9">
        <f t="shared" si="11"/>
        <v>26.993809243832011</v>
      </c>
      <c r="AB11" s="9">
        <f t="shared" si="12"/>
        <v>26.997903273832012</v>
      </c>
    </row>
    <row r="12" spans="1:28" x14ac:dyDescent="0.25">
      <c r="A12">
        <v>10</v>
      </c>
      <c r="B12">
        <v>202.5</v>
      </c>
      <c r="C12">
        <v>25</v>
      </c>
      <c r="D12" s="1">
        <v>-0.24059997999999999</v>
      </c>
      <c r="E12" s="1">
        <v>-0.24366196000000001</v>
      </c>
      <c r="F12" s="1">
        <v>3.0619800000000002E-3</v>
      </c>
      <c r="G12" s="1">
        <v>0.42593004000000001</v>
      </c>
      <c r="H12" s="1">
        <v>0.42709000000000003</v>
      </c>
      <c r="I12" s="1">
        <v>-1.1599399999999999E-3</v>
      </c>
      <c r="J12" s="1">
        <v>3.1515229999999998E-2</v>
      </c>
      <c r="K12" s="1">
        <v>5.5798140000000003E-2</v>
      </c>
      <c r="L12" s="1">
        <v>-2.4282910000000001E-2</v>
      </c>
      <c r="M12" s="1">
        <v>1.9134959999999999E-2</v>
      </c>
      <c r="N12" s="1">
        <v>-3.353925E-2</v>
      </c>
      <c r="O12" s="1">
        <v>5.2674220000000001E-2</v>
      </c>
      <c r="R12">
        <f t="shared" si="13"/>
        <v>1.5309900000000098E-3</v>
      </c>
      <c r="S12">
        <f t="shared" si="4"/>
        <v>-5.7998000000000771E-4</v>
      </c>
      <c r="U12" s="8">
        <f t="shared" si="5"/>
        <v>3.1515229999999998E-2</v>
      </c>
      <c r="V12" s="8">
        <f t="shared" si="6"/>
        <v>1.9134959999999999E-2</v>
      </c>
      <c r="W12" s="8">
        <f t="shared" si="7"/>
        <v>5.5798140000000003E-2</v>
      </c>
      <c r="X12" s="8">
        <f t="shared" si="8"/>
        <v>-3.353925E-2</v>
      </c>
      <c r="Y12" s="9">
        <f t="shared" si="9"/>
        <v>2.1129428261433105</v>
      </c>
      <c r="Z12" s="9">
        <f t="shared" si="10"/>
        <v>3.7327288172103121</v>
      </c>
      <c r="AA12" s="9">
        <f t="shared" si="11"/>
        <v>31.264679096090369</v>
      </c>
      <c r="AB12" s="9">
        <f t="shared" si="12"/>
        <v>31.267741076090367</v>
      </c>
    </row>
    <row r="13" spans="1:28" x14ac:dyDescent="0.25">
      <c r="A13">
        <v>11</v>
      </c>
      <c r="B13">
        <v>225</v>
      </c>
      <c r="C13">
        <v>25</v>
      </c>
      <c r="D13" s="1">
        <v>-0.24010596000000001</v>
      </c>
      <c r="E13" s="1">
        <v>-0.24354000000000001</v>
      </c>
      <c r="F13" s="1">
        <v>3.4340199999999999E-3</v>
      </c>
      <c r="G13" s="1">
        <v>0.42832609999999999</v>
      </c>
      <c r="H13" s="1">
        <v>0.42612803999999999</v>
      </c>
      <c r="I13" s="1">
        <v>2.1980699999999999E-3</v>
      </c>
      <c r="J13" s="1">
        <v>2.299971E-2</v>
      </c>
      <c r="K13" s="1">
        <v>6.5245789999999998E-2</v>
      </c>
      <c r="L13" s="1">
        <v>-4.2246079999999998E-2</v>
      </c>
      <c r="M13" s="1">
        <v>1.242481E-2</v>
      </c>
      <c r="N13" s="1">
        <v>-2.6837110000000001E-2</v>
      </c>
      <c r="O13" s="1">
        <v>3.9261919999999999E-2</v>
      </c>
      <c r="R13">
        <f t="shared" si="13"/>
        <v>1.7170199999999997E-3</v>
      </c>
      <c r="S13">
        <f t="shared" si="4"/>
        <v>1.0990300000000008E-3</v>
      </c>
      <c r="U13" s="8">
        <f t="shared" si="5"/>
        <v>2.299971E-2</v>
      </c>
      <c r="V13" s="8">
        <f t="shared" si="6"/>
        <v>1.242481E-2</v>
      </c>
      <c r="W13" s="8">
        <f t="shared" si="7"/>
        <v>6.5245789999999998E-2</v>
      </c>
      <c r="X13" s="8">
        <f t="shared" si="8"/>
        <v>-2.6837110000000001E-2</v>
      </c>
      <c r="Y13" s="9">
        <f t="shared" si="9"/>
        <v>1.4979513196295584</v>
      </c>
      <c r="Z13" s="9">
        <f t="shared" si="10"/>
        <v>4.0455540176799918</v>
      </c>
      <c r="AA13" s="9">
        <f t="shared" si="11"/>
        <v>28.378624676501186</v>
      </c>
      <c r="AB13" s="9">
        <f t="shared" si="12"/>
        <v>28.382058696501186</v>
      </c>
    </row>
    <row r="14" spans="1:28" x14ac:dyDescent="0.25">
      <c r="A14">
        <v>12</v>
      </c>
      <c r="B14">
        <v>247.5</v>
      </c>
      <c r="C14">
        <v>25</v>
      </c>
      <c r="D14" s="1">
        <v>-0.24014991999999999</v>
      </c>
      <c r="E14" s="1">
        <v>-0.24336398000000001</v>
      </c>
      <c r="F14" s="1">
        <v>3.21405E-3</v>
      </c>
      <c r="G14" s="1">
        <v>0.42649204000000002</v>
      </c>
      <c r="H14" s="1">
        <v>0.42307212</v>
      </c>
      <c r="I14" s="1">
        <v>3.41991E-3</v>
      </c>
      <c r="J14" s="1">
        <v>1.6464059999999999E-2</v>
      </c>
      <c r="K14" s="1">
        <v>7.0536719999999997E-2</v>
      </c>
      <c r="L14" s="1">
        <v>-5.4072660000000002E-2</v>
      </c>
      <c r="M14" s="1">
        <v>2.6985400000000001E-3</v>
      </c>
      <c r="N14" s="1">
        <v>-1.7177049999999999E-2</v>
      </c>
      <c r="O14" s="1">
        <v>1.9875589999999999E-2</v>
      </c>
      <c r="R14">
        <f t="shared" si="13"/>
        <v>1.6070300000000093E-3</v>
      </c>
      <c r="S14">
        <f t="shared" si="4"/>
        <v>1.7099600000000104E-3</v>
      </c>
      <c r="U14" s="8">
        <f t="shared" si="5"/>
        <v>1.6464059999999999E-2</v>
      </c>
      <c r="V14" s="8">
        <f t="shared" si="6"/>
        <v>2.6985400000000001E-3</v>
      </c>
      <c r="W14" s="8">
        <f t="shared" si="7"/>
        <v>7.0536719999999997E-2</v>
      </c>
      <c r="X14" s="8">
        <f t="shared" si="8"/>
        <v>-1.7177049999999999E-2</v>
      </c>
      <c r="Y14" s="9">
        <f t="shared" si="9"/>
        <v>0.95595259942113475</v>
      </c>
      <c r="Z14" s="9">
        <f t="shared" si="10"/>
        <v>4.1632255786350765</v>
      </c>
      <c r="AA14" s="9">
        <f t="shared" si="11"/>
        <v>9.308292347723544</v>
      </c>
      <c r="AB14" s="9">
        <f t="shared" si="12"/>
        <v>9.3115063977235444</v>
      </c>
    </row>
    <row r="15" spans="1:28" x14ac:dyDescent="0.25">
      <c r="A15">
        <v>13</v>
      </c>
      <c r="B15">
        <v>270</v>
      </c>
      <c r="C15">
        <v>25</v>
      </c>
      <c r="D15" s="1">
        <v>-0.24563198</v>
      </c>
      <c r="E15" s="1">
        <v>-0.24521794</v>
      </c>
      <c r="F15" s="1">
        <v>-4.1404000000000001E-4</v>
      </c>
      <c r="G15" s="1">
        <v>0.43049204000000002</v>
      </c>
      <c r="H15" s="1">
        <v>0.42477007999999999</v>
      </c>
      <c r="I15" s="1">
        <v>5.7219899999999997E-3</v>
      </c>
      <c r="J15" s="1">
        <v>1.5166600000000001E-2</v>
      </c>
      <c r="K15" s="1">
        <v>7.2656639999999995E-2</v>
      </c>
      <c r="L15" s="1">
        <v>-5.7490039999999999E-2</v>
      </c>
      <c r="M15" s="1">
        <v>-8.5320299999999995E-3</v>
      </c>
      <c r="N15" s="1">
        <v>-5.93926E-3</v>
      </c>
      <c r="O15" s="1">
        <v>-2.5927699999999999E-3</v>
      </c>
      <c r="R15">
        <f t="shared" si="13"/>
        <v>-2.070200000000022E-4</v>
      </c>
      <c r="S15">
        <f t="shared" si="4"/>
        <v>2.860980000000013E-3</v>
      </c>
      <c r="U15" s="8">
        <f t="shared" si="5"/>
        <v>1.5166600000000001E-2</v>
      </c>
      <c r="V15" s="8">
        <f t="shared" si="6"/>
        <v>-8.5320299999999995E-3</v>
      </c>
      <c r="W15" s="8">
        <f t="shared" si="7"/>
        <v>7.2656639999999995E-2</v>
      </c>
      <c r="X15" s="8">
        <f t="shared" si="8"/>
        <v>-5.93926E-3</v>
      </c>
      <c r="Y15" s="9">
        <f t="shared" si="9"/>
        <v>0.99709779864007975</v>
      </c>
      <c r="Z15" s="9">
        <f t="shared" si="10"/>
        <v>4.1805125366806024</v>
      </c>
      <c r="AA15" s="9">
        <f t="shared" si="11"/>
        <v>330.63990048846023</v>
      </c>
      <c r="AB15" s="9">
        <f t="shared" si="12"/>
        <v>330.63948644846022</v>
      </c>
    </row>
    <row r="16" spans="1:28" x14ac:dyDescent="0.25">
      <c r="A16">
        <v>14</v>
      </c>
      <c r="B16">
        <v>292.5</v>
      </c>
      <c r="C16">
        <v>25</v>
      </c>
      <c r="D16" s="1">
        <v>-0.24088196000000001</v>
      </c>
      <c r="E16" s="1">
        <v>-0.24397598000000001</v>
      </c>
      <c r="F16" s="1">
        <v>3.0940199999999998E-3</v>
      </c>
      <c r="G16" s="1">
        <v>0.42765209999999998</v>
      </c>
      <c r="H16" s="1">
        <v>0.42553999999999997</v>
      </c>
      <c r="I16" s="1">
        <v>2.1120900000000001E-3</v>
      </c>
      <c r="J16" s="1">
        <v>1.7855659999999999E-2</v>
      </c>
      <c r="K16" s="1">
        <v>6.8789740000000002E-2</v>
      </c>
      <c r="L16" s="1">
        <v>-5.093408E-2</v>
      </c>
      <c r="M16" s="1">
        <v>-1.9635159999999999E-2</v>
      </c>
      <c r="N16" s="1">
        <v>5.0956100000000004E-3</v>
      </c>
      <c r="O16" s="1">
        <v>-2.4730760000000001E-2</v>
      </c>
      <c r="R16">
        <f t="shared" si="13"/>
        <v>1.5470100000000014E-3</v>
      </c>
      <c r="S16">
        <f t="shared" si="4"/>
        <v>1.0560500000000028E-3</v>
      </c>
      <c r="U16" s="8">
        <f t="shared" si="5"/>
        <v>1.7855659999999999E-2</v>
      </c>
      <c r="V16" s="8">
        <f t="shared" si="6"/>
        <v>-1.9635159999999999E-2</v>
      </c>
      <c r="W16" s="8">
        <f t="shared" si="7"/>
        <v>6.8789740000000002E-2</v>
      </c>
      <c r="X16" s="8">
        <f t="shared" si="8"/>
        <v>5.0956100000000004E-3</v>
      </c>
      <c r="Y16" s="9">
        <f t="shared" si="9"/>
        <v>1.5208004635412338</v>
      </c>
      <c r="Z16" s="9">
        <f t="shared" si="10"/>
        <v>3.955301147754986</v>
      </c>
      <c r="AA16" s="9">
        <f t="shared" si="11"/>
        <v>312.28249808086281</v>
      </c>
      <c r="AB16" s="9">
        <f t="shared" si="12"/>
        <v>312.2855921008628</v>
      </c>
    </row>
    <row r="17" spans="1:28" x14ac:dyDescent="0.25">
      <c r="A17">
        <v>15</v>
      </c>
      <c r="B17">
        <v>315</v>
      </c>
      <c r="C17">
        <v>25</v>
      </c>
      <c r="D17" s="1">
        <v>-0.24473391999999999</v>
      </c>
      <c r="E17" s="1">
        <v>-0.24094396000000001</v>
      </c>
      <c r="F17" s="1">
        <v>-3.7899600000000002E-3</v>
      </c>
      <c r="G17" s="1">
        <v>0.42526012000000002</v>
      </c>
      <c r="H17" s="1">
        <v>0.42387207999999998</v>
      </c>
      <c r="I17" s="1">
        <v>1.3880400000000001E-3</v>
      </c>
      <c r="J17" s="1">
        <v>2.463721E-2</v>
      </c>
      <c r="K17" s="1">
        <v>6.3126470000000004E-2</v>
      </c>
      <c r="L17" s="1">
        <v>-3.8489259999999997E-2</v>
      </c>
      <c r="M17" s="1">
        <v>-2.8831929999999999E-2</v>
      </c>
      <c r="N17" s="1">
        <v>1.423984E-2</v>
      </c>
      <c r="O17" s="1">
        <v>-4.3071779999999997E-2</v>
      </c>
      <c r="R17">
        <f t="shared" si="13"/>
        <v>-1.8949799999999906E-3</v>
      </c>
      <c r="S17">
        <f t="shared" si="4"/>
        <v>6.940200000000174E-4</v>
      </c>
      <c r="U17" s="8">
        <f t="shared" si="5"/>
        <v>2.463721E-2</v>
      </c>
      <c r="V17" s="8">
        <f t="shared" si="6"/>
        <v>-2.8831929999999999E-2</v>
      </c>
      <c r="W17" s="8">
        <f t="shared" si="7"/>
        <v>6.3126470000000004E-2</v>
      </c>
      <c r="X17" s="8">
        <f t="shared" si="8"/>
        <v>1.423984E-2</v>
      </c>
      <c r="Y17" s="9">
        <f t="shared" si="9"/>
        <v>2.1734384797273343</v>
      </c>
      <c r="Z17" s="9">
        <f t="shared" si="10"/>
        <v>3.710353216535307</v>
      </c>
      <c r="AA17" s="9">
        <f t="shared" si="11"/>
        <v>310.51426298716041</v>
      </c>
      <c r="AB17" s="9">
        <f t="shared" si="12"/>
        <v>310.5104730271604</v>
      </c>
    </row>
    <row r="18" spans="1:28" x14ac:dyDescent="0.25">
      <c r="A18">
        <v>16</v>
      </c>
      <c r="B18">
        <v>337.5</v>
      </c>
      <c r="C18">
        <v>25</v>
      </c>
      <c r="D18" s="1">
        <v>-0.24388198</v>
      </c>
      <c r="E18" s="1">
        <v>-0.24284594000000001</v>
      </c>
      <c r="F18" s="1">
        <v>-1.0360499999999999E-3</v>
      </c>
      <c r="G18" s="1">
        <v>0.42844209999999999</v>
      </c>
      <c r="H18" s="1">
        <v>0.42260799999999998</v>
      </c>
      <c r="I18" s="1">
        <v>5.8340700000000002E-3</v>
      </c>
      <c r="J18" s="1">
        <v>3.42458E-2</v>
      </c>
      <c r="K18" s="1">
        <v>5.2606340000000001E-2</v>
      </c>
      <c r="L18" s="1">
        <v>-1.8360540000000002E-2</v>
      </c>
      <c r="M18" s="1">
        <v>-3.4574220000000003E-2</v>
      </c>
      <c r="N18" s="1">
        <v>2.005127E-2</v>
      </c>
      <c r="O18" s="1">
        <v>-5.4625489999999999E-2</v>
      </c>
      <c r="R18">
        <f t="shared" si="13"/>
        <v>-5.1801999999999404E-4</v>
      </c>
      <c r="S18">
        <f t="shared" si="4"/>
        <v>2.9170500000000044E-3</v>
      </c>
      <c r="U18" s="8">
        <f t="shared" si="5"/>
        <v>3.42458E-2</v>
      </c>
      <c r="V18" s="8">
        <f t="shared" si="6"/>
        <v>-3.4574220000000003E-2</v>
      </c>
      <c r="W18" s="8">
        <f t="shared" si="7"/>
        <v>5.2606340000000001E-2</v>
      </c>
      <c r="X18" s="8">
        <f t="shared" si="8"/>
        <v>2.005127E-2</v>
      </c>
      <c r="Y18" s="9">
        <f t="shared" si="9"/>
        <v>2.7893238211872866</v>
      </c>
      <c r="Z18" s="9">
        <f t="shared" si="10"/>
        <v>3.227352121665946</v>
      </c>
      <c r="AA18" s="9">
        <f t="shared" si="11"/>
        <v>314.72657757050774</v>
      </c>
      <c r="AB18" s="9">
        <f t="shared" si="12"/>
        <v>314.72554152050776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T14-2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2026-08-02T16:46:15Z</dcterms:modified>
</cp:coreProperties>
</file>