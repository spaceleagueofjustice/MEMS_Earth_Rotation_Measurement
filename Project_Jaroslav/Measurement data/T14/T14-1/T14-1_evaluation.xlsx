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4\T14-1\"/>
    </mc:Choice>
  </mc:AlternateContent>
  <xr:revisionPtr revIDLastSave="0" documentId="13_ncr:1_{A7E87487-6DFE-440C-8CD1-8D04B9F376C2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4-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9" i="2" s="1"/>
  <c r="Z18" i="1"/>
  <c r="X18" i="1"/>
  <c r="W18" i="1"/>
  <c r="V18" i="1"/>
  <c r="U18" i="1"/>
  <c r="Y18" i="1" s="1"/>
  <c r="X17" i="1"/>
  <c r="W17" i="1"/>
  <c r="V17" i="1"/>
  <c r="U17" i="1"/>
  <c r="X16" i="1"/>
  <c r="W16" i="1"/>
  <c r="Z16" i="1" s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Z13" i="1" s="1"/>
  <c r="V13" i="1"/>
  <c r="U13" i="1"/>
  <c r="X12" i="1"/>
  <c r="W12" i="1"/>
  <c r="Z12" i="1" s="1"/>
  <c r="V12" i="1"/>
  <c r="U12" i="1"/>
  <c r="Y12" i="1" s="1"/>
  <c r="Z11" i="1"/>
  <c r="X11" i="1"/>
  <c r="W11" i="1"/>
  <c r="V11" i="1"/>
  <c r="U11" i="1"/>
  <c r="X10" i="1"/>
  <c r="W10" i="1"/>
  <c r="Z10" i="1" s="1"/>
  <c r="V10" i="1"/>
  <c r="U10" i="1"/>
  <c r="X9" i="1"/>
  <c r="W9" i="1"/>
  <c r="Z9" i="1" s="1"/>
  <c r="V9" i="1"/>
  <c r="U9" i="1"/>
  <c r="Y9" i="1" s="1"/>
  <c r="X8" i="1"/>
  <c r="W8" i="1"/>
  <c r="Z8" i="1" s="1"/>
  <c r="V8" i="1"/>
  <c r="U8" i="1"/>
  <c r="X7" i="1"/>
  <c r="W7" i="1"/>
  <c r="Z7" i="1" s="1"/>
  <c r="V7" i="1"/>
  <c r="U7" i="1"/>
  <c r="Y6" i="1"/>
  <c r="X6" i="1"/>
  <c r="W6" i="1"/>
  <c r="Z6" i="1" s="1"/>
  <c r="V6" i="1"/>
  <c r="U6" i="1"/>
  <c r="X5" i="1"/>
  <c r="W5" i="1"/>
  <c r="Z5" i="1" s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1" i="2"/>
  <c r="G17" i="2" s="1"/>
  <c r="Z17" i="1" l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16" i="2" l="1"/>
  <c r="V16" i="2"/>
  <c r="T16" i="2"/>
  <c r="X16" i="2"/>
</calcChain>
</file>

<file path=xl/sharedStrings.xml><?xml version="1.0" encoding="utf-8"?>
<sst xmlns="http://schemas.openxmlformats.org/spreadsheetml/2006/main" count="58" uniqueCount="53">
  <si>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</si>
  <si>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</si>
  <si>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</si>
  <si>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</si>
  <si>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</si>
  <si>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</si>
  <si>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</si>
  <si>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</si>
  <si>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</si>
  <si>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</si>
  <si>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</si>
  <si>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</si>
  <si>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</si>
  <si>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</si>
  <si>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</si>
  <si>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</si>
  <si>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</si>
  <si>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</si>
  <si>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</si>
  <si>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</si>
  <si>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</si>
  <si>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</si>
  <si>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CW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</si>
  <si>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</si>
  <si>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</si>
  <si>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</si>
  <si>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</si>
  <si>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</si>
  <si>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</si>
  <si>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</si>
  <si>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</si>
  <si>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</si>
  <si>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</si>
  <si>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</si>
  <si>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</si>
  <si>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</si>
  <si>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</si>
  <si>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</si>
  <si>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</si>
  <si>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</si>
  <si>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</si>
  <si>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</si>
  <si>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</si>
  <si>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</si>
  <si>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</si>
  <si>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</si>
  <si>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</si>
  <si>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Rotation-direction control test: two runs at the same baseline configuration (level, arm at true north), 25-repeat randomized azimuth sweep each, run once with normal (CW) and once with reversed (CCW) motor rotation direction, to isolate whether the direction of rotation itself introduces a systematic bias into the measured differential signal.</t>
  </si>
  <si>
    <t>Azimuth-Dependence Test (Randomized 360° Step Scan, Off-North Start, Tilted Mount)</t>
  </si>
  <si>
    <t>Description/title:</t>
  </si>
  <si>
    <t>HORIZONTAL slepý test 360-kontrola accel-lepší csv-azimut parametr-fixed trim settle-s navratem do A</t>
  </si>
  <si>
    <t>Code:</t>
  </si>
  <si>
    <t>T14-1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</si>
</sst>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'T14-1'!$R$2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'T14-1'!$B$3:$B$18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'T14-1'!$R$3:$R$18</c:f>
              <c:numCache>
                <c:formatCode>General</c:formatCode>
                <c:ptCount val="16"/>
                <c:pt idx="0">
                  <c:v>-3.0309900000000112E-3</c:v>
                </c:pt>
                <c:pt idx="1">
                  <c:v>-2.9870100000000122E-3</c:v>
                </c:pt>
                <c:pt idx="2">
                  <c:v>-4.0329900000000141E-3</c:v>
                </c:pt>
                <c:pt idx="3">
                  <c:v>-1.9100999999999146E-4</c:v>
                </c:pt>
                <c:pt idx="4">
                  <c:v>4.0401000000001019E-4</c:v>
                </c:pt>
                <c:pt idx="5">
                  <c:v>1.3289999999999969E-3</c:v>
                </c:pt>
                <c:pt idx="6">
                  <c:v>1.3089899999999821E-3</c:v>
                </c:pt>
                <c:pt idx="7">
                  <c:v>2.196019999999993E-3</c:v>
                </c:pt>
                <c:pt idx="8">
                  <c:v>3.9470000000000061E-3</c:v>
                </c:pt>
                <c:pt idx="9">
                  <c:v>1.757019999999998E-3</c:v>
                </c:pt>
                <c:pt idx="10">
                  <c:v>1.7729800000000073E-3</c:v>
                </c:pt>
                <c:pt idx="11">
                  <c:v>2.8700000000000947E-4</c:v>
                </c:pt>
                <c:pt idx="12">
                  <c:v>8.4500000000001241E-4</c:v>
                </c:pt>
                <c:pt idx="13">
                  <c:v>-1.7609899999999901E-3</c:v>
                </c:pt>
                <c:pt idx="14">
                  <c:v>-2.8979999999999839E-3</c:v>
                </c:pt>
                <c:pt idx="15">
                  <c:v>-4.3059399999999803E-3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'T14-1'!$S$2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'T14-1'!$B$3:$B$18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'T14-1'!$S$3:$S$18</c:f>
              <c:numCache>
                <c:formatCode>General</c:formatCode>
                <c:ptCount val="16"/>
                <c:pt idx="0">
                  <c:v>1.2719900000000006E-3</c:v>
                </c:pt>
                <c:pt idx="1">
                  <c:v>1.5800199999999598E-3</c:v>
                </c:pt>
                <c:pt idx="2">
                  <c:v>4.8040500000000042E-3</c:v>
                </c:pt>
                <c:pt idx="3">
                  <c:v>4.22705000000001E-3</c:v>
                </c:pt>
                <c:pt idx="4">
                  <c:v>3.7799999999999501E-3</c:v>
                </c:pt>
                <c:pt idx="5">
                  <c:v>1.1879399999999984E-3</c:v>
                </c:pt>
                <c:pt idx="6">
                  <c:v>1.4249500000000359E-3</c:v>
                </c:pt>
                <c:pt idx="7">
                  <c:v>4.770000000000052E-4</c:v>
                </c:pt>
                <c:pt idx="8">
                  <c:v>1.537059999999979E-3</c:v>
                </c:pt>
                <c:pt idx="9">
                  <c:v>-3.4980000000017775E-5</c:v>
                </c:pt>
                <c:pt idx="10">
                  <c:v>-1.843040000000018E-3</c:v>
                </c:pt>
                <c:pt idx="11">
                  <c:v>-4.0169600000000139E-3</c:v>
                </c:pt>
                <c:pt idx="12">
                  <c:v>-3.8490000000000468E-3</c:v>
                </c:pt>
                <c:pt idx="13">
                  <c:v>-3.0689799999999989E-3</c:v>
                </c:pt>
                <c:pt idx="14">
                  <c:v>-3.2969999999999944E-3</c:v>
                </c:pt>
                <c:pt idx="15">
                  <c:v>-1.9799999999997597E-4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'T14-1'!$L$2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'T14-1'!$L$3:$L$18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-1.6502999999999999E-3</c:v>
                      </c:pt>
                      <c:pt idx="1">
                        <c:v>-2.3739739999999999E-2</c:v>
                      </c:pt>
                      <c:pt idx="2">
                        <c:v>-4.1914279999999998E-2</c:v>
                      </c:pt>
                      <c:pt idx="3">
                        <c:v>-5.3987599999999997E-2</c:v>
                      </c:pt>
                      <c:pt idx="4">
                        <c:v>-5.7811130000000002E-2</c:v>
                      </c:pt>
                      <c:pt idx="5">
                        <c:v>-5.364609E-2</c:v>
                      </c:pt>
                      <c:pt idx="6">
                        <c:v>-4.0936140000000003E-2</c:v>
                      </c:pt>
                      <c:pt idx="7">
                        <c:v>-2.213174E-2</c:v>
                      </c:pt>
                      <c:pt idx="8">
                        <c:v>3.2928999999999999E-4</c:v>
                      </c:pt>
                      <c:pt idx="9">
                        <c:v>2.1432920000000001E-2</c:v>
                      </c:pt>
                      <c:pt idx="10">
                        <c:v>4.0767280000000003E-2</c:v>
                      </c:pt>
                      <c:pt idx="11">
                        <c:v>5.2456339999999997E-2</c:v>
                      </c:pt>
                      <c:pt idx="12">
                        <c:v>5.6599419999999998E-2</c:v>
                      </c:pt>
                      <c:pt idx="13">
                        <c:v>5.1581929999999998E-2</c:v>
                      </c:pt>
                      <c:pt idx="14">
                        <c:v>3.9089440000000003E-2</c:v>
                      </c:pt>
                      <c:pt idx="15">
                        <c:v>1.994257E-2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'T14-1'!$O$2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'T14-1'!$O$3:$O$18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-5.7492380000000003E-2</c:v>
                      </c:pt>
                      <c:pt idx="1">
                        <c:v>-5.2701659999999997E-2</c:v>
                      </c:pt>
                      <c:pt idx="2">
                        <c:v>-4.0050099999999998E-2</c:v>
                      </c:pt>
                      <c:pt idx="3">
                        <c:v>-2.1362989999999998E-2</c:v>
                      </c:pt>
                      <c:pt idx="4">
                        <c:v>7.4248000000000001E-4</c:v>
                      </c:pt>
                      <c:pt idx="5">
                        <c:v>2.2602049999999999E-2</c:v>
                      </c:pt>
                      <c:pt idx="6">
                        <c:v>4.0981839999999999E-2</c:v>
                      </c:pt>
                      <c:pt idx="7">
                        <c:v>5.3174220000000001E-2</c:v>
                      </c:pt>
                      <c:pt idx="8">
                        <c:v>5.7298439999999999E-2</c:v>
                      </c:pt>
                      <c:pt idx="9">
                        <c:v>5.2521190000000002E-2</c:v>
                      </c:pt>
                      <c:pt idx="10">
                        <c:v>4.0047270000000003E-2</c:v>
                      </c:pt>
                      <c:pt idx="11">
                        <c:v>2.1121580000000001E-2</c:v>
                      </c:pt>
                      <c:pt idx="12">
                        <c:v>-1.0123E-3</c:v>
                      </c:pt>
                      <c:pt idx="13">
                        <c:v>-2.2821290000000001E-2</c:v>
                      </c:pt>
                      <c:pt idx="14">
                        <c:v>-4.1257519999999999E-2</c:v>
                      </c:pt>
                      <c:pt idx="15">
                        <c:v>-5.3249419999999999E-2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'T14-1'!$Y$2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'T14-1'!$B$3:$B$18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'T14-1'!$Y$3:$Y$18</c:f>
              <c:numCache>
                <c:formatCode>0.00</c:formatCode>
                <c:ptCount val="16"/>
                <c:pt idx="0">
                  <c:v>3.3047699828016426</c:v>
                </c:pt>
                <c:pt idx="1">
                  <c:v>2.7231829024408918</c:v>
                </c:pt>
                <c:pt idx="2">
                  <c:v>2.1087201532588988</c:v>
                </c:pt>
                <c:pt idx="3">
                  <c:v>1.4655512811804543</c:v>
                </c:pt>
                <c:pt idx="4">
                  <c:v>1.059463319121327</c:v>
                </c:pt>
                <c:pt idx="5">
                  <c:v>1.14431501440894</c:v>
                </c:pt>
                <c:pt idx="6">
                  <c:v>1.693256511392806</c:v>
                </c:pt>
                <c:pt idx="7">
                  <c:v>2.313602186566083</c:v>
                </c:pt>
                <c:pt idx="8">
                  <c:v>2.9680997104176905</c:v>
                </c:pt>
                <c:pt idx="9">
                  <c:v>3.454959444732066</c:v>
                </c:pt>
                <c:pt idx="10">
                  <c:v>3.8991030442204684</c:v>
                </c:pt>
                <c:pt idx="11">
                  <c:v>4.1589287325422966</c:v>
                </c:pt>
                <c:pt idx="12">
                  <c:v>4.3121208965056121</c:v>
                </c:pt>
                <c:pt idx="13">
                  <c:v>4.2354212019378261</c:v>
                </c:pt>
                <c:pt idx="14">
                  <c:v>4.1015103730306386</c:v>
                </c:pt>
                <c:pt idx="15">
                  <c:v>3.7454580585201338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'T14-1'!$Z$2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'T14-1'!$B$3:$B$18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'T14-1'!$Z$3:$Z$18</c:f>
              <c:numCache>
                <c:formatCode>0.00</c:formatCode>
                <c:ptCount val="16"/>
                <c:pt idx="0">
                  <c:v>3.0079158073684642</c:v>
                </c:pt>
                <c:pt idx="1">
                  <c:v>3.5276014643918989</c:v>
                </c:pt>
                <c:pt idx="2">
                  <c:v>3.951904735117314</c:v>
                </c:pt>
                <c:pt idx="3">
                  <c:v>4.1946831389709818</c:v>
                </c:pt>
                <c:pt idx="4">
                  <c:v>4.3348954481590862</c:v>
                </c:pt>
                <c:pt idx="5">
                  <c:v>4.3079965047476918</c:v>
                </c:pt>
                <c:pt idx="6">
                  <c:v>4.1356093941936738</c:v>
                </c:pt>
                <c:pt idx="7">
                  <c:v>3.7850822529514825</c:v>
                </c:pt>
                <c:pt idx="8">
                  <c:v>3.3345541574574722</c:v>
                </c:pt>
                <c:pt idx="9">
                  <c:v>2.765980327718772</c:v>
                </c:pt>
                <c:pt idx="10">
                  <c:v>2.1171622454979864</c:v>
                </c:pt>
                <c:pt idx="11">
                  <c:v>1.4987502191767301</c:v>
                </c:pt>
                <c:pt idx="12">
                  <c:v>1.0993657857793473</c:v>
                </c:pt>
                <c:pt idx="13">
                  <c:v>1.1875487126502156</c:v>
                </c:pt>
                <c:pt idx="14">
                  <c:v>1.7584767052136208</c:v>
                </c:pt>
                <c:pt idx="15">
                  <c:v>2.3892770829971517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12</xdr:col>
      <xdr:colOff>0</xdr:colOff>
      <xdr:row>48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20</xdr:row>
      <xdr:rowOff>0</xdr:rowOff>
    </xdr:from>
    <xdr:to>
      <xdr:col>25</xdr:col>
      <xdr:colOff>1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8"/>
  <sheetViews>
    <sheetView tabSelected="1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43" t="s">
        <v>31</v>
      </c>
      <c r="B1" s="43"/>
      <c r="C1" s="43" t="s">
        <v>52</v>
      </c>
      <c r="D1" s="43"/>
      <c r="E1" s="43" t="s">
        <v>48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4" spans="1:25" x14ac:dyDescent="0.25">
      <c r="A4" s="42" t="s">
        <v>32</v>
      </c>
      <c r="B4" s="42"/>
      <c r="C4" s="42"/>
      <c r="D4" s="42"/>
      <c r="E4" s="42"/>
      <c r="F4" s="42"/>
      <c r="G4" s="20">
        <v>0</v>
      </c>
      <c r="H4" s="21"/>
      <c r="I4" s="3" t="s">
        <v>19</v>
      </c>
      <c r="K4" s="44" t="s">
        <v>49</v>
      </c>
      <c r="L4" s="44"/>
      <c r="M4" s="44"/>
      <c r="N4" s="44"/>
      <c r="O4" s="44"/>
      <c r="P4" s="44"/>
      <c r="R4" s="44" t="s">
        <v>51</v>
      </c>
      <c r="S4" s="44"/>
      <c r="T4" s="44"/>
      <c r="U4" s="44"/>
      <c r="V4" s="44"/>
      <c r="W4" s="44"/>
      <c r="X4" s="44"/>
      <c r="Y4" s="44"/>
    </row>
    <row r="5" spans="1:25" ht="15.75" customHeight="1" x14ac:dyDescent="0.25">
      <c r="A5" s="17" t="s">
        <v>33</v>
      </c>
      <c r="B5" s="18"/>
      <c r="C5" s="18"/>
      <c r="D5" s="18"/>
      <c r="E5" s="18"/>
      <c r="F5" s="19"/>
      <c r="G5" s="20">
        <v>0</v>
      </c>
      <c r="H5" s="21"/>
      <c r="I5" s="3" t="s">
        <v>19</v>
      </c>
      <c r="K5" s="22" t="s">
        <v>47</v>
      </c>
      <c r="L5" s="23"/>
      <c r="M5" s="23"/>
      <c r="N5" s="23"/>
      <c r="O5" s="23"/>
      <c r="P5" s="24"/>
      <c r="R5" s="45" t="s">
        <v>50</v>
      </c>
      <c r="S5" s="45"/>
      <c r="T5" s="45"/>
      <c r="U5" s="45"/>
      <c r="V5" s="45"/>
      <c r="W5" s="45"/>
      <c r="X5" s="45"/>
      <c r="Y5" s="45"/>
    </row>
    <row r="6" spans="1:25" x14ac:dyDescent="0.25">
      <c r="A6" s="42" t="s">
        <v>34</v>
      </c>
      <c r="B6" s="42"/>
      <c r="C6" s="42"/>
      <c r="D6" s="42"/>
      <c r="E6" s="42"/>
      <c r="F6" s="42"/>
      <c r="G6" s="41">
        <v>0</v>
      </c>
      <c r="H6" s="41"/>
      <c r="I6" s="3" t="s">
        <v>26</v>
      </c>
      <c r="K6" s="25"/>
      <c r="L6" s="26"/>
      <c r="M6" s="26"/>
      <c r="N6" s="26"/>
      <c r="O6" s="26"/>
      <c r="P6" s="27"/>
      <c r="R6" s="45"/>
      <c r="S6" s="45"/>
      <c r="T6" s="45"/>
      <c r="U6" s="45"/>
      <c r="V6" s="45"/>
      <c r="W6" s="45"/>
      <c r="X6" s="45"/>
      <c r="Y6" s="45"/>
    </row>
    <row r="7" spans="1:25" ht="15.75" customHeight="1" x14ac:dyDescent="0.25">
      <c r="A7" s="42" t="s">
        <v>16</v>
      </c>
      <c r="B7" s="42"/>
      <c r="C7" s="42"/>
      <c r="D7" s="42"/>
      <c r="E7" s="42"/>
      <c r="F7" s="42"/>
      <c r="G7" s="46">
        <f>360/((23*60*60)+(56*60)+4.09)</f>
        <v>4.1780746480349299E-3</v>
      </c>
      <c r="H7" s="46"/>
      <c r="I7" s="3" t="s">
        <v>17</v>
      </c>
      <c r="K7" s="25"/>
      <c r="L7" s="26"/>
      <c r="M7" s="26"/>
      <c r="N7" s="26"/>
      <c r="O7" s="26"/>
      <c r="P7" s="27"/>
      <c r="R7" s="45"/>
      <c r="S7" s="45"/>
      <c r="T7" s="45"/>
      <c r="U7" s="45"/>
      <c r="V7" s="45"/>
      <c r="W7" s="45"/>
      <c r="X7" s="45"/>
      <c r="Y7" s="45"/>
    </row>
    <row r="8" spans="1:25" x14ac:dyDescent="0.25">
      <c r="A8" s="42" t="s">
        <v>18</v>
      </c>
      <c r="B8" s="42"/>
      <c r="C8" s="42"/>
      <c r="D8" s="42"/>
      <c r="E8" s="42"/>
      <c r="F8" s="42"/>
      <c r="G8" s="41">
        <v>49</v>
      </c>
      <c r="H8" s="41"/>
      <c r="I8" s="3" t="s">
        <v>19</v>
      </c>
      <c r="K8" s="25"/>
      <c r="L8" s="26"/>
      <c r="M8" s="26"/>
      <c r="N8" s="26"/>
      <c r="O8" s="26"/>
      <c r="P8" s="27"/>
      <c r="R8" s="45"/>
      <c r="S8" s="45"/>
      <c r="T8" s="45"/>
      <c r="U8" s="45"/>
      <c r="V8" s="45"/>
      <c r="W8" s="45"/>
      <c r="X8" s="45"/>
      <c r="Y8" s="45"/>
    </row>
    <row r="9" spans="1:25" ht="15.75" customHeight="1" x14ac:dyDescent="0.25">
      <c r="A9" s="36" t="s">
        <v>20</v>
      </c>
      <c r="B9" s="37"/>
      <c r="C9" s="37"/>
      <c r="D9" s="37"/>
      <c r="E9" s="37"/>
      <c r="F9" s="38"/>
      <c r="G9" s="39">
        <f>(COS(RADIANS(G8))*G7)</f>
        <v>2.7410635966396515E-3</v>
      </c>
      <c r="H9" s="40"/>
      <c r="I9" s="4" t="s">
        <v>17</v>
      </c>
      <c r="K9" s="25"/>
      <c r="L9" s="26"/>
      <c r="M9" s="26"/>
      <c r="N9" s="26"/>
      <c r="O9" s="26"/>
      <c r="P9" s="27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42" t="s">
        <v>35</v>
      </c>
      <c r="B10" s="42"/>
      <c r="C10" s="42"/>
      <c r="D10" s="42"/>
      <c r="E10" s="42"/>
      <c r="F10" s="42"/>
      <c r="G10" s="41">
        <v>22.5</v>
      </c>
      <c r="H10" s="41"/>
      <c r="I10" s="3" t="s">
        <v>19</v>
      </c>
      <c r="K10" s="25"/>
      <c r="L10" s="26"/>
      <c r="M10" s="26"/>
      <c r="N10" s="26"/>
      <c r="O10" s="26"/>
      <c r="P10" s="27"/>
      <c r="R10" s="16"/>
      <c r="S10" s="16"/>
      <c r="T10" s="16"/>
      <c r="U10" s="16"/>
      <c r="V10" s="16"/>
      <c r="W10" s="16"/>
      <c r="X10" s="16"/>
      <c r="Y10" s="16"/>
    </row>
    <row r="11" spans="1:25" ht="15.75" customHeight="1" x14ac:dyDescent="0.25">
      <c r="A11" s="17" t="s">
        <v>36</v>
      </c>
      <c r="B11" s="18"/>
      <c r="C11" s="18"/>
      <c r="D11" s="18"/>
      <c r="E11" s="18"/>
      <c r="F11" s="19"/>
      <c r="G11" s="20">
        <f>360/G10</f>
        <v>16</v>
      </c>
      <c r="H11" s="21"/>
      <c r="I11" s="3"/>
      <c r="K11" s="25"/>
      <c r="L11" s="26"/>
      <c r="M11" s="26"/>
      <c r="N11" s="26"/>
      <c r="O11" s="26"/>
      <c r="P11" s="27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5">
      <c r="A12" s="42" t="s">
        <v>21</v>
      </c>
      <c r="B12" s="42"/>
      <c r="C12" s="42"/>
      <c r="D12" s="42"/>
      <c r="E12" s="42"/>
      <c r="F12" s="42"/>
      <c r="G12" s="41" t="s">
        <v>22</v>
      </c>
      <c r="H12" s="41"/>
      <c r="I12" s="3"/>
      <c r="K12" s="25"/>
      <c r="L12" s="26"/>
      <c r="M12" s="26"/>
      <c r="N12" s="26"/>
      <c r="O12" s="26"/>
      <c r="P12" s="27"/>
      <c r="R12" s="47" t="s">
        <v>27</v>
      </c>
      <c r="S12" s="47"/>
      <c r="T12" s="47" t="s">
        <v>28</v>
      </c>
      <c r="U12" s="47"/>
      <c r="V12" s="47" t="s">
        <v>29</v>
      </c>
      <c r="W12" s="47"/>
      <c r="X12" s="47" t="s">
        <v>30</v>
      </c>
      <c r="Y12" s="47"/>
    </row>
    <row r="13" spans="1:25" ht="15.75" customHeight="1" x14ac:dyDescent="0.25">
      <c r="A13" s="17" t="s">
        <v>23</v>
      </c>
      <c r="B13" s="18"/>
      <c r="C13" s="18"/>
      <c r="D13" s="18"/>
      <c r="E13" s="18"/>
      <c r="F13" s="19"/>
      <c r="G13" s="20">
        <v>25</v>
      </c>
      <c r="H13" s="21"/>
      <c r="I13" s="3"/>
      <c r="K13" s="25"/>
      <c r="L13" s="26"/>
      <c r="M13" s="26"/>
      <c r="N13" s="26"/>
      <c r="O13" s="26"/>
      <c r="P13" s="27"/>
      <c r="R13" s="47"/>
      <c r="S13" s="47"/>
      <c r="T13" s="47"/>
      <c r="U13" s="47"/>
      <c r="V13" s="47"/>
      <c r="W13" s="47"/>
      <c r="X13" s="47"/>
      <c r="Y13" s="47"/>
    </row>
    <row r="14" spans="1:25" ht="15.75" customHeight="1" x14ac:dyDescent="0.25">
      <c r="A14" s="17" t="s">
        <v>24</v>
      </c>
      <c r="B14" s="18"/>
      <c r="C14" s="18"/>
      <c r="D14" s="18"/>
      <c r="E14" s="18"/>
      <c r="F14" s="19"/>
      <c r="G14" s="20">
        <v>200</v>
      </c>
      <c r="H14" s="21"/>
      <c r="I14" s="3"/>
      <c r="K14" s="25"/>
      <c r="L14" s="26"/>
      <c r="M14" s="26"/>
      <c r="N14" s="26"/>
      <c r="O14" s="26"/>
      <c r="P14" s="27"/>
      <c r="R14" s="47"/>
      <c r="S14" s="47"/>
      <c r="T14" s="47"/>
      <c r="U14" s="47"/>
      <c r="V14" s="47"/>
      <c r="W14" s="47"/>
      <c r="X14" s="47"/>
      <c r="Y14" s="47"/>
    </row>
    <row r="15" spans="1:25" ht="15.75" customHeight="1" x14ac:dyDescent="0.25">
      <c r="A15" s="17" t="s">
        <v>25</v>
      </c>
      <c r="B15" s="18"/>
      <c r="C15" s="18"/>
      <c r="D15" s="18"/>
      <c r="E15" s="18"/>
      <c r="F15" s="19"/>
      <c r="G15" s="20">
        <v>50</v>
      </c>
      <c r="H15" s="21"/>
      <c r="I15" s="3"/>
      <c r="K15" s="25"/>
      <c r="L15" s="26"/>
      <c r="M15" s="26"/>
      <c r="N15" s="26"/>
      <c r="O15" s="26"/>
      <c r="P15" s="27"/>
      <c r="R15" s="47"/>
      <c r="S15" s="47"/>
      <c r="T15" s="47"/>
      <c r="U15" s="47"/>
      <c r="V15" s="47"/>
      <c r="W15" s="47"/>
      <c r="X15" s="47"/>
      <c r="Y15" s="47"/>
    </row>
    <row r="16" spans="1:25" x14ac:dyDescent="0.25">
      <c r="A16" s="31" t="s">
        <v>38</v>
      </c>
      <c r="B16" s="32"/>
      <c r="C16" s="32"/>
      <c r="D16" s="32"/>
      <c r="E16" s="32"/>
      <c r="F16" s="33"/>
      <c r="G16" s="34">
        <v>400</v>
      </c>
      <c r="H16" s="35"/>
      <c r="I16" s="5" t="s">
        <v>19</v>
      </c>
      <c r="K16" s="25"/>
      <c r="L16" s="26"/>
      <c r="M16" s="26"/>
      <c r="N16" s="26"/>
      <c r="O16" s="26"/>
      <c r="P16" s="27"/>
      <c r="R16" s="48">
        <f>MIN('T14-1'!R3:R18)</f>
        <v>-4.3059399999999803E-3</v>
      </c>
      <c r="S16" s="48"/>
      <c r="T16" s="48">
        <f>MIN('T14-1'!S3:S18)</f>
        <v>-4.0169600000000139E-3</v>
      </c>
      <c r="U16" s="48"/>
      <c r="V16" s="48">
        <f>MAX('T14-1'!R3:R18)</f>
        <v>3.9470000000000061E-3</v>
      </c>
      <c r="W16" s="48"/>
      <c r="X16" s="48">
        <f>MAX('T14-1'!S3:S18)</f>
        <v>4.8040500000000042E-3</v>
      </c>
      <c r="Y16" s="48"/>
    </row>
    <row r="17" spans="1:25" x14ac:dyDescent="0.25">
      <c r="A17" s="31" t="s">
        <v>37</v>
      </c>
      <c r="B17" s="32"/>
      <c r="C17" s="32"/>
      <c r="D17" s="32"/>
      <c r="E17" s="32"/>
      <c r="F17" s="33"/>
      <c r="G17" s="34">
        <f>G11*G13*G14</f>
        <v>80000</v>
      </c>
      <c r="H17" s="35"/>
      <c r="I17" s="3"/>
      <c r="K17" s="28"/>
      <c r="L17" s="29"/>
      <c r="M17" s="29"/>
      <c r="N17" s="29"/>
      <c r="O17" s="29"/>
      <c r="P17" s="30"/>
      <c r="R17" s="48"/>
      <c r="S17" s="48"/>
      <c r="T17" s="48"/>
      <c r="U17" s="48"/>
      <c r="V17" s="48"/>
      <c r="W17" s="48"/>
      <c r="X17" s="48"/>
      <c r="Y17" s="48"/>
    </row>
    <row r="18" spans="1:25" ht="15.75" customHeight="1" x14ac:dyDescent="0.25">
      <c r="A18" s="12"/>
      <c r="B18" s="12"/>
      <c r="C18" s="12"/>
      <c r="D18" s="12"/>
      <c r="E18" s="12"/>
      <c r="F18" s="12"/>
      <c r="G18" s="13"/>
      <c r="H18" s="13"/>
      <c r="I18" s="14"/>
      <c r="K18" s="10"/>
      <c r="L18" s="10"/>
      <c r="M18" s="10"/>
      <c r="N18" s="10"/>
      <c r="O18" s="10"/>
      <c r="P18" s="10"/>
      <c r="R18" s="15"/>
      <c r="S18" s="15"/>
      <c r="T18" s="15"/>
      <c r="U18" s="15"/>
      <c r="V18" s="15"/>
      <c r="W18" s="15"/>
      <c r="X18" s="15"/>
      <c r="Y18" s="15"/>
    </row>
  </sheetData>
  <mergeCells count="43">
    <mergeCell ref="A17:F17"/>
    <mergeCell ref="A13:F13"/>
    <mergeCell ref="A14:F14"/>
    <mergeCell ref="A15:F15"/>
    <mergeCell ref="R16:S17"/>
    <mergeCell ref="R12:S15"/>
    <mergeCell ref="A12:F12"/>
    <mergeCell ref="T12:U15"/>
    <mergeCell ref="V12:W15"/>
    <mergeCell ref="X12:Y15"/>
    <mergeCell ref="T16:U17"/>
    <mergeCell ref="V16:W17"/>
    <mergeCell ref="X16:Y17"/>
    <mergeCell ref="R5:Y8"/>
    <mergeCell ref="G7:H7"/>
    <mergeCell ref="A5:F5"/>
    <mergeCell ref="G5:H5"/>
    <mergeCell ref="A6:F6"/>
    <mergeCell ref="G6:H6"/>
    <mergeCell ref="A7:F7"/>
    <mergeCell ref="G4:H4"/>
    <mergeCell ref="A1:B2"/>
    <mergeCell ref="C1:D2"/>
    <mergeCell ref="E1:Y2"/>
    <mergeCell ref="K4:P4"/>
    <mergeCell ref="A4:F4"/>
    <mergeCell ref="R4:Y4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H27" sqref="H27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39</v>
      </c>
      <c r="V2" s="7" t="s">
        <v>40</v>
      </c>
      <c r="W2" s="7" t="s">
        <v>41</v>
      </c>
      <c r="X2" s="7" t="s">
        <v>42</v>
      </c>
      <c r="Y2" s="7" t="s">
        <v>43</v>
      </c>
      <c r="Z2" s="6" t="s">
        <v>44</v>
      </c>
      <c r="AA2" s="6" t="s">
        <v>45</v>
      </c>
      <c r="AB2" s="6" t="s">
        <v>46</v>
      </c>
    </row>
    <row r="3" spans="1:28" x14ac:dyDescent="0.25">
      <c r="A3">
        <v>1</v>
      </c>
      <c r="B3">
        <v>0</v>
      </c>
      <c r="C3">
        <v>25</v>
      </c>
      <c r="D3" s="1">
        <v>-0.26066798000000002</v>
      </c>
      <c r="E3" s="1">
        <v>-0.254606</v>
      </c>
      <c r="F3" s="1">
        <v>-6.0619699999999999E-3</v>
      </c>
      <c r="G3" s="1">
        <v>0.52246608000000005</v>
      </c>
      <c r="H3" s="1">
        <v>0.51992210000000005</v>
      </c>
      <c r="I3" s="1">
        <v>2.5439899999999999E-3</v>
      </c>
      <c r="J3" s="1">
        <v>4.577676E-2</v>
      </c>
      <c r="K3" s="1">
        <v>4.742706E-2</v>
      </c>
      <c r="L3" s="1">
        <v>-1.6502999999999999E-3</v>
      </c>
      <c r="M3" s="1">
        <v>-3.5038279999999998E-2</v>
      </c>
      <c r="N3" s="1">
        <v>2.2454100000000001E-2</v>
      </c>
      <c r="O3" s="1">
        <v>-5.7492380000000003E-2</v>
      </c>
      <c r="R3">
        <f>(D3-E3)/2</f>
        <v>-3.0309900000000112E-3</v>
      </c>
      <c r="S3">
        <f>(G3-H3)/2</f>
        <v>1.2719900000000006E-3</v>
      </c>
      <c r="U3" s="8">
        <f>J3</f>
        <v>4.577676E-2</v>
      </c>
      <c r="V3" s="8">
        <f>M3</f>
        <v>-3.5038279999999998E-2</v>
      </c>
      <c r="W3" s="8">
        <f>K3</f>
        <v>4.742706E-2</v>
      </c>
      <c r="X3" s="8">
        <f>N3</f>
        <v>2.2454100000000001E-2</v>
      </c>
      <c r="Y3" s="9">
        <f t="shared" ref="Y3" si="0">IF(U3="","",DEGREES(ASIN(SQRT(U3^2+V3^2))))</f>
        <v>3.3047699828016426</v>
      </c>
      <c r="Z3" s="9">
        <f t="shared" ref="Z3" si="1">IF(W3="","",DEGREES(ASIN(SQRT(W3^2+X3^2))))</f>
        <v>3.0079158073684642</v>
      </c>
      <c r="AA3" s="9">
        <f t="shared" ref="AA3" si="2">IF(U3="","",MOD(DEGREES(ATAN2(U3,V3)),360))</f>
        <v>322.56896644330686</v>
      </c>
      <c r="AB3" s="9">
        <f t="shared" ref="AB3" si="3">IF(U3="","",MOD(F3+AA3,360))</f>
        <v>322.56290447330684</v>
      </c>
    </row>
    <row r="4" spans="1:28" x14ac:dyDescent="0.25">
      <c r="A4">
        <v>2</v>
      </c>
      <c r="B4">
        <v>22.5</v>
      </c>
      <c r="C4">
        <v>25</v>
      </c>
      <c r="D4" s="1">
        <v>-0.26008004000000001</v>
      </c>
      <c r="E4" s="1">
        <v>-0.25410601999999999</v>
      </c>
      <c r="F4" s="1">
        <v>-5.97402E-3</v>
      </c>
      <c r="G4" s="1">
        <v>0.51996403999999996</v>
      </c>
      <c r="H4" s="1">
        <v>0.51680400000000004</v>
      </c>
      <c r="I4" s="1">
        <v>3.1600600000000001E-3</v>
      </c>
      <c r="J4" s="1">
        <v>3.445293E-2</v>
      </c>
      <c r="K4" s="1">
        <v>5.8192670000000002E-2</v>
      </c>
      <c r="L4" s="1">
        <v>-2.3739739999999999E-2</v>
      </c>
      <c r="M4" s="1">
        <v>-3.2714739999999999E-2</v>
      </c>
      <c r="N4" s="1">
        <v>1.998691E-2</v>
      </c>
      <c r="O4" s="1">
        <v>-5.2701659999999997E-2</v>
      </c>
      <c r="R4">
        <f>(D4-E4)/2</f>
        <v>-2.9870100000000122E-3</v>
      </c>
      <c r="S4">
        <f t="shared" ref="S4:S18" si="4">(G4-H4)/2</f>
        <v>1.5800199999999598E-3</v>
      </c>
      <c r="U4" s="8">
        <f t="shared" ref="U4:U18" si="5">J4</f>
        <v>3.445293E-2</v>
      </c>
      <c r="V4" s="8">
        <f t="shared" ref="V4:V18" si="6">M4</f>
        <v>-3.2714739999999999E-2</v>
      </c>
      <c r="W4" s="8">
        <f t="shared" ref="W4:W18" si="7">K4</f>
        <v>5.8192670000000002E-2</v>
      </c>
      <c r="X4" s="8">
        <f t="shared" ref="X4:X18" si="8">N4</f>
        <v>1.998691E-2</v>
      </c>
      <c r="Y4" s="9">
        <f t="shared" ref="Y4:Y18" si="9">IF(U4="","",DEGREES(ASIN(SQRT(U4^2+V4^2))))</f>
        <v>2.7231829024408918</v>
      </c>
      <c r="Z4" s="9">
        <f t="shared" ref="Z4:Z18" si="10">IF(W4="","",DEGREES(ASIN(SQRT(W4^2+X4^2))))</f>
        <v>3.5276014643918989</v>
      </c>
      <c r="AA4" s="9">
        <f t="shared" ref="AA4:AA18" si="11">IF(U4="","",MOD(DEGREES(ATAN2(U4,V4)),360))</f>
        <v>316.48239068329701</v>
      </c>
      <c r="AB4" s="9">
        <f t="shared" ref="AB4:AB18" si="12">IF(U4="","",MOD(F4+AA4,360))</f>
        <v>316.47641666329702</v>
      </c>
    </row>
    <row r="5" spans="1:28" x14ac:dyDescent="0.25">
      <c r="A5">
        <v>3</v>
      </c>
      <c r="B5">
        <v>45</v>
      </c>
      <c r="C5">
        <v>25</v>
      </c>
      <c r="D5" s="1">
        <v>-0.27179602000000003</v>
      </c>
      <c r="E5" s="1">
        <v>-0.26373004</v>
      </c>
      <c r="F5" s="1">
        <v>-8.0659700000000004E-3</v>
      </c>
      <c r="G5" s="1">
        <v>0.53644000000000003</v>
      </c>
      <c r="H5" s="1">
        <v>0.52683190000000002</v>
      </c>
      <c r="I5" s="1">
        <v>9.6080899999999997E-3</v>
      </c>
      <c r="J5" s="1">
        <v>2.563818E-2</v>
      </c>
      <c r="K5" s="1">
        <v>6.7552459999999995E-2</v>
      </c>
      <c r="L5" s="1">
        <v>-4.1914279999999998E-2</v>
      </c>
      <c r="M5" s="1">
        <v>-2.6393460000000001E-2</v>
      </c>
      <c r="N5" s="1">
        <v>1.3656639999999999E-2</v>
      </c>
      <c r="O5" s="1">
        <v>-4.0050099999999998E-2</v>
      </c>
      <c r="R5">
        <f t="shared" ref="R5:R18" si="13">(D5-E5)/2</f>
        <v>-4.0329900000000141E-3</v>
      </c>
      <c r="S5">
        <f t="shared" si="4"/>
        <v>4.8040500000000042E-3</v>
      </c>
      <c r="U5" s="8">
        <f t="shared" si="5"/>
        <v>2.563818E-2</v>
      </c>
      <c r="V5" s="8">
        <f t="shared" si="6"/>
        <v>-2.6393460000000001E-2</v>
      </c>
      <c r="W5" s="8">
        <f t="shared" si="7"/>
        <v>6.7552459999999995E-2</v>
      </c>
      <c r="X5" s="8">
        <f t="shared" si="8"/>
        <v>1.3656639999999999E-2</v>
      </c>
      <c r="Y5" s="9">
        <f t="shared" si="9"/>
        <v>2.1087201532588988</v>
      </c>
      <c r="Z5" s="9">
        <f t="shared" si="10"/>
        <v>3.951904735117314</v>
      </c>
      <c r="AA5" s="9">
        <f t="shared" si="11"/>
        <v>314.16836530008004</v>
      </c>
      <c r="AB5" s="9">
        <f t="shared" si="12"/>
        <v>314.16029933008002</v>
      </c>
    </row>
    <row r="6" spans="1:28" x14ac:dyDescent="0.25">
      <c r="A6">
        <v>4</v>
      </c>
      <c r="B6">
        <v>67.5</v>
      </c>
      <c r="C6">
        <v>25</v>
      </c>
      <c r="D6" s="1">
        <v>-0.26018799999999997</v>
      </c>
      <c r="E6" s="1">
        <v>-0.25980597999999999</v>
      </c>
      <c r="F6" s="1">
        <v>-3.8203999999999999E-4</v>
      </c>
      <c r="G6" s="1">
        <v>0.52872410000000003</v>
      </c>
      <c r="H6" s="1">
        <v>0.52027000000000001</v>
      </c>
      <c r="I6" s="1">
        <v>8.4540799999999992E-3</v>
      </c>
      <c r="J6" s="1">
        <v>1.9032810000000001E-2</v>
      </c>
      <c r="K6" s="1">
        <v>7.3020409999999994E-2</v>
      </c>
      <c r="L6" s="1">
        <v>-5.3987599999999997E-2</v>
      </c>
      <c r="M6" s="1">
        <v>-1.7084470000000001E-2</v>
      </c>
      <c r="N6" s="1">
        <v>4.2785200000000001E-3</v>
      </c>
      <c r="O6" s="1">
        <v>-2.1362989999999998E-2</v>
      </c>
      <c r="R6">
        <f t="shared" si="13"/>
        <v>-1.9100999999999146E-4</v>
      </c>
      <c r="S6">
        <f t="shared" si="4"/>
        <v>4.22705000000001E-3</v>
      </c>
      <c r="U6" s="8">
        <f t="shared" si="5"/>
        <v>1.9032810000000001E-2</v>
      </c>
      <c r="V6" s="8">
        <f t="shared" si="6"/>
        <v>-1.7084470000000001E-2</v>
      </c>
      <c r="W6" s="8">
        <f t="shared" si="7"/>
        <v>7.3020409999999994E-2</v>
      </c>
      <c r="X6" s="8">
        <f t="shared" si="8"/>
        <v>4.2785200000000001E-3</v>
      </c>
      <c r="Y6" s="9">
        <f t="shared" si="9"/>
        <v>1.4655512811804543</v>
      </c>
      <c r="Z6" s="9">
        <f t="shared" si="10"/>
        <v>4.1946831389709818</v>
      </c>
      <c r="AA6" s="9">
        <f t="shared" si="11"/>
        <v>318.08781733891658</v>
      </c>
      <c r="AB6" s="9">
        <f t="shared" si="12"/>
        <v>318.0874352989166</v>
      </c>
    </row>
    <row r="7" spans="1:28" x14ac:dyDescent="0.25">
      <c r="A7">
        <v>5</v>
      </c>
      <c r="B7">
        <v>90</v>
      </c>
      <c r="C7">
        <v>25</v>
      </c>
      <c r="D7" s="1">
        <v>-0.25677</v>
      </c>
      <c r="E7" s="1">
        <v>-0.25757802000000002</v>
      </c>
      <c r="F7" s="1">
        <v>8.0800000000000002E-4</v>
      </c>
      <c r="G7" s="1">
        <v>0.52054599999999995</v>
      </c>
      <c r="H7" s="1">
        <v>0.51298600000000005</v>
      </c>
      <c r="I7" s="1">
        <v>7.5600099999999998E-3</v>
      </c>
      <c r="J7" s="1">
        <v>1.7467969999999999E-2</v>
      </c>
      <c r="K7" s="1">
        <v>7.5279100000000002E-2</v>
      </c>
      <c r="L7" s="1">
        <v>-5.7811130000000002E-2</v>
      </c>
      <c r="M7" s="1">
        <v>-6.0623999999999999E-3</v>
      </c>
      <c r="N7" s="1">
        <v>-6.8048800000000001E-3</v>
      </c>
      <c r="O7" s="1">
        <v>7.4248000000000001E-4</v>
      </c>
      <c r="R7">
        <f t="shared" si="13"/>
        <v>4.0401000000001019E-4</v>
      </c>
      <c r="S7">
        <f t="shared" si="4"/>
        <v>3.7799999999999501E-3</v>
      </c>
      <c r="U7" s="8">
        <f t="shared" si="5"/>
        <v>1.7467969999999999E-2</v>
      </c>
      <c r="V7" s="8">
        <f t="shared" si="6"/>
        <v>-6.0623999999999999E-3</v>
      </c>
      <c r="W7" s="8">
        <f t="shared" si="7"/>
        <v>7.5279100000000002E-2</v>
      </c>
      <c r="X7" s="8">
        <f t="shared" si="8"/>
        <v>-6.8048800000000001E-3</v>
      </c>
      <c r="Y7" s="9">
        <f t="shared" si="9"/>
        <v>1.059463319121327</v>
      </c>
      <c r="Z7" s="9">
        <f t="shared" si="10"/>
        <v>4.3348954481590862</v>
      </c>
      <c r="AA7" s="9">
        <f t="shared" si="11"/>
        <v>340.86025614246091</v>
      </c>
      <c r="AB7" s="9">
        <f t="shared" si="12"/>
        <v>340.86106414246092</v>
      </c>
    </row>
    <row r="8" spans="1:28" x14ac:dyDescent="0.25">
      <c r="A8">
        <v>6</v>
      </c>
      <c r="B8">
        <v>112.5</v>
      </c>
      <c r="C8">
        <v>25</v>
      </c>
      <c r="D8" s="1">
        <v>-0.26039203999999999</v>
      </c>
      <c r="E8" s="1">
        <v>-0.26305003999999998</v>
      </c>
      <c r="F8" s="1">
        <v>2.6580100000000001E-3</v>
      </c>
      <c r="G8" s="1">
        <v>0.52228191999999996</v>
      </c>
      <c r="H8" s="1">
        <v>0.51990603999999996</v>
      </c>
      <c r="I8" s="1">
        <v>2.3758999999999998E-3</v>
      </c>
      <c r="J8" s="1">
        <v>1.9358199999999999E-2</v>
      </c>
      <c r="K8" s="1">
        <v>7.3004289999999999E-2</v>
      </c>
      <c r="L8" s="1">
        <v>-5.364609E-2</v>
      </c>
      <c r="M8" s="1">
        <v>4.9081999999999997E-3</v>
      </c>
      <c r="N8" s="1">
        <v>-1.7693850000000001E-2</v>
      </c>
      <c r="O8" s="1">
        <v>2.2602049999999999E-2</v>
      </c>
      <c r="R8">
        <f t="shared" si="13"/>
        <v>1.3289999999999969E-3</v>
      </c>
      <c r="S8">
        <f t="shared" si="4"/>
        <v>1.1879399999999984E-3</v>
      </c>
      <c r="U8" s="8">
        <f t="shared" si="5"/>
        <v>1.9358199999999999E-2</v>
      </c>
      <c r="V8" s="8">
        <f t="shared" si="6"/>
        <v>4.9081999999999997E-3</v>
      </c>
      <c r="W8" s="8">
        <f t="shared" si="7"/>
        <v>7.3004289999999999E-2</v>
      </c>
      <c r="X8" s="8">
        <f t="shared" si="8"/>
        <v>-1.7693850000000001E-2</v>
      </c>
      <c r="Y8" s="9">
        <f t="shared" si="9"/>
        <v>1.14431501440894</v>
      </c>
      <c r="Z8" s="9">
        <f t="shared" si="10"/>
        <v>4.3079965047476918</v>
      </c>
      <c r="AA8" s="9">
        <f t="shared" si="11"/>
        <v>14.227319149877621</v>
      </c>
      <c r="AB8" s="9">
        <f t="shared" si="12"/>
        <v>14.22997715987762</v>
      </c>
    </row>
    <row r="9" spans="1:28" x14ac:dyDescent="0.25">
      <c r="A9">
        <v>7</v>
      </c>
      <c r="B9">
        <v>135</v>
      </c>
      <c r="C9">
        <v>25</v>
      </c>
      <c r="D9" s="1">
        <v>-0.25598604000000003</v>
      </c>
      <c r="E9" s="1">
        <v>-0.25860401999999999</v>
      </c>
      <c r="F9" s="1">
        <v>2.6179900000000002E-3</v>
      </c>
      <c r="G9" s="1">
        <v>0.51685000000000003</v>
      </c>
      <c r="H9" s="1">
        <v>0.51400009999999996</v>
      </c>
      <c r="I9" s="1">
        <v>2.8498799999999999E-3</v>
      </c>
      <c r="J9" s="1">
        <v>2.5976849999999999E-2</v>
      </c>
      <c r="K9" s="1">
        <v>6.6912990000000006E-2</v>
      </c>
      <c r="L9" s="1">
        <v>-4.0936140000000003E-2</v>
      </c>
      <c r="M9" s="1">
        <v>1.408272E-2</v>
      </c>
      <c r="N9" s="1">
        <v>-2.6899119999999999E-2</v>
      </c>
      <c r="O9" s="1">
        <v>4.0981839999999999E-2</v>
      </c>
      <c r="R9">
        <f t="shared" si="13"/>
        <v>1.3089899999999821E-3</v>
      </c>
      <c r="S9">
        <f t="shared" si="4"/>
        <v>1.4249500000000359E-3</v>
      </c>
      <c r="U9" s="8">
        <f t="shared" si="5"/>
        <v>2.5976849999999999E-2</v>
      </c>
      <c r="V9" s="8">
        <f t="shared" si="6"/>
        <v>1.408272E-2</v>
      </c>
      <c r="W9" s="8">
        <f t="shared" si="7"/>
        <v>6.6912990000000006E-2</v>
      </c>
      <c r="X9" s="8">
        <f t="shared" si="8"/>
        <v>-2.6899119999999999E-2</v>
      </c>
      <c r="Y9" s="9">
        <f t="shared" si="9"/>
        <v>1.693256511392806</v>
      </c>
      <c r="Z9" s="9">
        <f t="shared" si="10"/>
        <v>4.1356093941936738</v>
      </c>
      <c r="AA9" s="9">
        <f t="shared" si="11"/>
        <v>28.463262621240883</v>
      </c>
      <c r="AB9" s="9">
        <f t="shared" si="12"/>
        <v>28.465880611240884</v>
      </c>
    </row>
    <row r="10" spans="1:28" x14ac:dyDescent="0.25">
      <c r="A10">
        <v>8</v>
      </c>
      <c r="B10">
        <v>157.5</v>
      </c>
      <c r="C10">
        <v>25</v>
      </c>
      <c r="D10" s="1">
        <v>-0.255274</v>
      </c>
      <c r="E10" s="1">
        <v>-0.25966603999999999</v>
      </c>
      <c r="F10" s="1">
        <v>4.3920299999999999E-3</v>
      </c>
      <c r="G10" s="1">
        <v>0.51775599999999999</v>
      </c>
      <c r="H10" s="1">
        <v>0.51680199999999998</v>
      </c>
      <c r="I10" s="1">
        <v>9.5396999999999995E-4</v>
      </c>
      <c r="J10" s="1">
        <v>3.5004300000000002E-2</v>
      </c>
      <c r="K10" s="1">
        <v>5.7136039999999999E-2</v>
      </c>
      <c r="L10" s="1">
        <v>-2.213174E-2</v>
      </c>
      <c r="M10" s="1">
        <v>2.0108589999999999E-2</v>
      </c>
      <c r="N10" s="1">
        <v>-3.3065619999999997E-2</v>
      </c>
      <c r="O10" s="1">
        <v>5.3174220000000001E-2</v>
      </c>
      <c r="R10">
        <f>(D10-E10)/2</f>
        <v>2.196019999999993E-3</v>
      </c>
      <c r="S10">
        <f t="shared" si="4"/>
        <v>4.770000000000052E-4</v>
      </c>
      <c r="U10" s="8">
        <f t="shared" si="5"/>
        <v>3.5004300000000002E-2</v>
      </c>
      <c r="V10" s="8">
        <f t="shared" si="6"/>
        <v>2.0108589999999999E-2</v>
      </c>
      <c r="W10" s="8">
        <f t="shared" si="7"/>
        <v>5.7136039999999999E-2</v>
      </c>
      <c r="X10" s="8">
        <f t="shared" si="8"/>
        <v>-3.3065619999999997E-2</v>
      </c>
      <c r="Y10" s="9">
        <f t="shared" si="9"/>
        <v>2.313602186566083</v>
      </c>
      <c r="Z10" s="9">
        <f t="shared" si="10"/>
        <v>3.7850822529514825</v>
      </c>
      <c r="AA10" s="9">
        <f t="shared" si="11"/>
        <v>29.87566878612293</v>
      </c>
      <c r="AB10" s="9">
        <f t="shared" si="12"/>
        <v>29.880060816122931</v>
      </c>
    </row>
    <row r="11" spans="1:28" x14ac:dyDescent="0.25">
      <c r="A11">
        <v>9</v>
      </c>
      <c r="B11">
        <v>180</v>
      </c>
      <c r="C11">
        <v>25</v>
      </c>
      <c r="D11" s="1">
        <v>-0.25522400000000001</v>
      </c>
      <c r="E11" s="1">
        <v>-0.26311800000000002</v>
      </c>
      <c r="F11" s="1">
        <v>7.8940099999999999E-3</v>
      </c>
      <c r="G11" s="1">
        <v>0.51842608000000001</v>
      </c>
      <c r="H11" s="1">
        <v>0.51535196000000005</v>
      </c>
      <c r="I11" s="1">
        <v>3.0741100000000001E-3</v>
      </c>
      <c r="J11" s="1">
        <v>4.6753610000000001E-2</v>
      </c>
      <c r="K11" s="1">
        <v>4.6424319999999998E-2</v>
      </c>
      <c r="L11" s="1">
        <v>3.2928999999999999E-4</v>
      </c>
      <c r="M11" s="1">
        <v>2.22545E-2</v>
      </c>
      <c r="N11" s="1">
        <v>-3.5043940000000003E-2</v>
      </c>
      <c r="O11" s="1">
        <v>5.7298439999999999E-2</v>
      </c>
      <c r="R11">
        <f t="shared" si="13"/>
        <v>3.9470000000000061E-3</v>
      </c>
      <c r="S11">
        <f t="shared" si="4"/>
        <v>1.537059999999979E-3</v>
      </c>
      <c r="U11" s="8">
        <f t="shared" si="5"/>
        <v>4.6753610000000001E-2</v>
      </c>
      <c r="V11" s="8">
        <f t="shared" si="6"/>
        <v>2.22545E-2</v>
      </c>
      <c r="W11" s="8">
        <f t="shared" si="7"/>
        <v>4.6424319999999998E-2</v>
      </c>
      <c r="X11" s="8">
        <f t="shared" si="8"/>
        <v>-3.5043940000000003E-2</v>
      </c>
      <c r="Y11" s="9">
        <f t="shared" si="9"/>
        <v>2.9680997104176905</v>
      </c>
      <c r="Z11" s="9">
        <f t="shared" si="10"/>
        <v>3.3345541574574722</v>
      </c>
      <c r="AA11" s="9">
        <f t="shared" si="11"/>
        <v>25.45423003585891</v>
      </c>
      <c r="AB11" s="9">
        <f t="shared" si="12"/>
        <v>25.462124045858911</v>
      </c>
    </row>
    <row r="12" spans="1:28" x14ac:dyDescent="0.25">
      <c r="A12">
        <v>10</v>
      </c>
      <c r="B12">
        <v>202.5</v>
      </c>
      <c r="C12">
        <v>25</v>
      </c>
      <c r="D12" s="1">
        <v>-0.26327400000000001</v>
      </c>
      <c r="E12" s="1">
        <v>-0.26678804</v>
      </c>
      <c r="F12" s="1">
        <v>3.5140200000000001E-3</v>
      </c>
      <c r="G12" s="1">
        <v>0.52577200000000002</v>
      </c>
      <c r="H12" s="1">
        <v>0.52584196000000005</v>
      </c>
      <c r="I12" s="1">
        <v>-6.9980000000000004E-5</v>
      </c>
      <c r="J12" s="1">
        <v>5.6913770000000002E-2</v>
      </c>
      <c r="K12" s="1">
        <v>3.5480850000000001E-2</v>
      </c>
      <c r="L12" s="1">
        <v>2.1432920000000001E-2</v>
      </c>
      <c r="M12" s="1">
        <v>1.981308E-2</v>
      </c>
      <c r="N12" s="1">
        <v>-3.2708099999999997E-2</v>
      </c>
      <c r="O12" s="1">
        <v>5.2521190000000002E-2</v>
      </c>
      <c r="R12">
        <f t="shared" si="13"/>
        <v>1.757019999999998E-3</v>
      </c>
      <c r="S12">
        <f t="shared" si="4"/>
        <v>-3.4980000000017775E-5</v>
      </c>
      <c r="U12" s="8">
        <f t="shared" si="5"/>
        <v>5.6913770000000002E-2</v>
      </c>
      <c r="V12" s="8">
        <f t="shared" si="6"/>
        <v>1.981308E-2</v>
      </c>
      <c r="W12" s="8">
        <f t="shared" si="7"/>
        <v>3.5480850000000001E-2</v>
      </c>
      <c r="X12" s="8">
        <f t="shared" si="8"/>
        <v>-3.2708099999999997E-2</v>
      </c>
      <c r="Y12" s="9">
        <f t="shared" si="9"/>
        <v>3.454959444732066</v>
      </c>
      <c r="Z12" s="9">
        <f t="shared" si="10"/>
        <v>2.765980327718772</v>
      </c>
      <c r="AA12" s="9">
        <f t="shared" si="11"/>
        <v>19.1942611699039</v>
      </c>
      <c r="AB12" s="9">
        <f t="shared" si="12"/>
        <v>19.197775189903901</v>
      </c>
    </row>
    <row r="13" spans="1:28" x14ac:dyDescent="0.25">
      <c r="A13">
        <v>11</v>
      </c>
      <c r="B13">
        <v>225</v>
      </c>
      <c r="C13">
        <v>25</v>
      </c>
      <c r="D13" s="1">
        <v>-0.25706804</v>
      </c>
      <c r="E13" s="1">
        <v>-0.26061400000000001</v>
      </c>
      <c r="F13" s="1">
        <v>3.5459699999999999E-3</v>
      </c>
      <c r="G13" s="1">
        <v>0.51566400000000001</v>
      </c>
      <c r="H13" s="1">
        <v>0.51935008000000005</v>
      </c>
      <c r="I13" s="1">
        <v>-3.6860700000000001E-3</v>
      </c>
      <c r="J13" s="1">
        <v>6.661504E-2</v>
      </c>
      <c r="K13" s="1">
        <v>2.5847760000000001E-2</v>
      </c>
      <c r="L13" s="1">
        <v>4.0767280000000003E-2</v>
      </c>
      <c r="M13" s="1">
        <v>1.3652539999999999E-2</v>
      </c>
      <c r="N13" s="1">
        <v>-2.6394730000000002E-2</v>
      </c>
      <c r="O13" s="1">
        <v>4.0047270000000003E-2</v>
      </c>
      <c r="R13">
        <f t="shared" si="13"/>
        <v>1.7729800000000073E-3</v>
      </c>
      <c r="S13">
        <f t="shared" si="4"/>
        <v>-1.843040000000018E-3</v>
      </c>
      <c r="U13" s="8">
        <f t="shared" si="5"/>
        <v>6.661504E-2</v>
      </c>
      <c r="V13" s="8">
        <f t="shared" si="6"/>
        <v>1.3652539999999999E-2</v>
      </c>
      <c r="W13" s="8">
        <f t="shared" si="7"/>
        <v>2.5847760000000001E-2</v>
      </c>
      <c r="X13" s="8">
        <f t="shared" si="8"/>
        <v>-2.6394730000000002E-2</v>
      </c>
      <c r="Y13" s="9">
        <f t="shared" si="9"/>
        <v>3.8991030442204684</v>
      </c>
      <c r="Z13" s="9">
        <f t="shared" si="10"/>
        <v>2.1171622454979864</v>
      </c>
      <c r="AA13" s="9">
        <f t="shared" si="11"/>
        <v>11.582201584877108</v>
      </c>
      <c r="AB13" s="9">
        <f t="shared" si="12"/>
        <v>11.585747554877107</v>
      </c>
    </row>
    <row r="14" spans="1:28" x14ac:dyDescent="0.25">
      <c r="A14">
        <v>12</v>
      </c>
      <c r="B14">
        <v>247.5</v>
      </c>
      <c r="C14">
        <v>25</v>
      </c>
      <c r="D14" s="1">
        <v>-0.25815603999999998</v>
      </c>
      <c r="E14" s="1">
        <v>-0.25873003999999999</v>
      </c>
      <c r="F14" s="1">
        <v>5.7401999999999996E-4</v>
      </c>
      <c r="G14" s="1">
        <v>0.51191799999999998</v>
      </c>
      <c r="H14" s="1">
        <v>0.51995192000000001</v>
      </c>
      <c r="I14" s="1">
        <v>-8.0339299999999999E-3</v>
      </c>
      <c r="J14" s="1">
        <v>7.2401460000000001E-2</v>
      </c>
      <c r="K14" s="1">
        <v>1.994512E-2</v>
      </c>
      <c r="L14" s="1">
        <v>5.2456339999999997E-2</v>
      </c>
      <c r="M14" s="1">
        <v>4.2016600000000003E-3</v>
      </c>
      <c r="N14" s="1">
        <v>-1.6919920000000001E-2</v>
      </c>
      <c r="O14" s="1">
        <v>2.1121580000000001E-2</v>
      </c>
      <c r="R14">
        <f t="shared" si="13"/>
        <v>2.8700000000000947E-4</v>
      </c>
      <c r="S14">
        <f t="shared" si="4"/>
        <v>-4.0169600000000139E-3</v>
      </c>
      <c r="U14" s="8">
        <f t="shared" si="5"/>
        <v>7.2401460000000001E-2</v>
      </c>
      <c r="V14" s="8">
        <f t="shared" si="6"/>
        <v>4.2016600000000003E-3</v>
      </c>
      <c r="W14" s="8">
        <f t="shared" si="7"/>
        <v>1.994512E-2</v>
      </c>
      <c r="X14" s="8">
        <f t="shared" si="8"/>
        <v>-1.6919920000000001E-2</v>
      </c>
      <c r="Y14" s="9">
        <f t="shared" si="9"/>
        <v>4.1589287325422966</v>
      </c>
      <c r="Z14" s="9">
        <f t="shared" si="10"/>
        <v>1.4987502191767301</v>
      </c>
      <c r="AA14" s="9">
        <f t="shared" si="11"/>
        <v>3.3213097830125795</v>
      </c>
      <c r="AB14" s="9">
        <f t="shared" si="12"/>
        <v>3.3218838030125797</v>
      </c>
    </row>
    <row r="15" spans="1:28" x14ac:dyDescent="0.25">
      <c r="A15">
        <v>13</v>
      </c>
      <c r="B15">
        <v>270</v>
      </c>
      <c r="C15">
        <v>25</v>
      </c>
      <c r="D15" s="1">
        <v>-0.25633603999999999</v>
      </c>
      <c r="E15" s="1">
        <v>-0.25802604000000001</v>
      </c>
      <c r="F15" s="1">
        <v>1.6900000000000001E-3</v>
      </c>
      <c r="G15" s="1">
        <v>0.51341795999999995</v>
      </c>
      <c r="H15" s="1">
        <v>0.52111596000000004</v>
      </c>
      <c r="I15" s="1">
        <v>-7.698E-3</v>
      </c>
      <c r="J15" s="1">
        <v>7.4877349999999995E-2</v>
      </c>
      <c r="K15" s="1">
        <v>1.8277930000000001E-2</v>
      </c>
      <c r="L15" s="1">
        <v>5.6599419999999998E-2</v>
      </c>
      <c r="M15" s="1">
        <v>-6.8461900000000003E-3</v>
      </c>
      <c r="N15" s="1">
        <v>-5.8338900000000004E-3</v>
      </c>
      <c r="O15" s="1">
        <v>-1.0123E-3</v>
      </c>
      <c r="R15">
        <f t="shared" si="13"/>
        <v>8.4500000000001241E-4</v>
      </c>
      <c r="S15">
        <f t="shared" si="4"/>
        <v>-3.8490000000000468E-3</v>
      </c>
      <c r="U15" s="8">
        <f t="shared" si="5"/>
        <v>7.4877349999999995E-2</v>
      </c>
      <c r="V15" s="8">
        <f t="shared" si="6"/>
        <v>-6.8461900000000003E-3</v>
      </c>
      <c r="W15" s="8">
        <f t="shared" si="7"/>
        <v>1.8277930000000001E-2</v>
      </c>
      <c r="X15" s="8">
        <f t="shared" si="8"/>
        <v>-5.8338900000000004E-3</v>
      </c>
      <c r="Y15" s="9">
        <f t="shared" si="9"/>
        <v>4.3121208965056121</v>
      </c>
      <c r="Z15" s="9">
        <f t="shared" si="10"/>
        <v>1.0993657857793473</v>
      </c>
      <c r="AA15" s="9">
        <f t="shared" si="11"/>
        <v>354.77585445190903</v>
      </c>
      <c r="AB15" s="9">
        <f t="shared" si="12"/>
        <v>354.77754445190902</v>
      </c>
    </row>
    <row r="16" spans="1:28" x14ac:dyDescent="0.25">
      <c r="A16">
        <v>14</v>
      </c>
      <c r="B16">
        <v>292.5</v>
      </c>
      <c r="C16">
        <v>25</v>
      </c>
      <c r="D16" s="1">
        <v>-0.25868799999999997</v>
      </c>
      <c r="E16" s="1">
        <v>-0.25516601999999999</v>
      </c>
      <c r="F16" s="1">
        <v>-3.5219800000000001E-3</v>
      </c>
      <c r="G16" s="1">
        <v>0.51575400000000005</v>
      </c>
      <c r="H16" s="1">
        <v>0.52189196000000004</v>
      </c>
      <c r="I16" s="1">
        <v>-6.1379700000000004E-3</v>
      </c>
      <c r="J16" s="1">
        <v>7.1683590000000005E-2</v>
      </c>
      <c r="K16" s="1">
        <v>2.010166E-2</v>
      </c>
      <c r="L16" s="1">
        <v>5.1581929999999998E-2</v>
      </c>
      <c r="M16" s="1">
        <v>-1.777598E-2</v>
      </c>
      <c r="N16" s="1">
        <v>5.0453099999999999E-3</v>
      </c>
      <c r="O16" s="1">
        <v>-2.2821290000000001E-2</v>
      </c>
      <c r="R16">
        <f t="shared" si="13"/>
        <v>-1.7609899999999901E-3</v>
      </c>
      <c r="S16">
        <f t="shared" si="4"/>
        <v>-3.0689799999999989E-3</v>
      </c>
      <c r="U16" s="8">
        <f t="shared" si="5"/>
        <v>7.1683590000000005E-2</v>
      </c>
      <c r="V16" s="8">
        <f t="shared" si="6"/>
        <v>-1.777598E-2</v>
      </c>
      <c r="W16" s="8">
        <f t="shared" si="7"/>
        <v>2.010166E-2</v>
      </c>
      <c r="X16" s="8">
        <f t="shared" si="8"/>
        <v>5.0453099999999999E-3</v>
      </c>
      <c r="Y16" s="9">
        <f t="shared" si="9"/>
        <v>4.2354212019378261</v>
      </c>
      <c r="Z16" s="9">
        <f t="shared" si="10"/>
        <v>1.1875487126502156</v>
      </c>
      <c r="AA16" s="9">
        <f t="shared" si="11"/>
        <v>346.07282542080941</v>
      </c>
      <c r="AB16" s="9">
        <f t="shared" si="12"/>
        <v>346.06930344080939</v>
      </c>
    </row>
    <row r="17" spans="1:28" x14ac:dyDescent="0.25">
      <c r="A17">
        <v>15</v>
      </c>
      <c r="B17">
        <v>315</v>
      </c>
      <c r="C17">
        <v>25</v>
      </c>
      <c r="D17" s="1">
        <v>-0.26133803999999999</v>
      </c>
      <c r="E17" s="1">
        <v>-0.25554204000000003</v>
      </c>
      <c r="F17" s="1">
        <v>-5.79599E-3</v>
      </c>
      <c r="G17" s="1">
        <v>0.51905000000000001</v>
      </c>
      <c r="H17" s="1">
        <v>0.525644</v>
      </c>
      <c r="I17" s="1">
        <v>-6.594E-3</v>
      </c>
      <c r="J17" s="1">
        <v>6.6245200000000004E-2</v>
      </c>
      <c r="K17" s="1">
        <v>2.7155760000000001E-2</v>
      </c>
      <c r="L17" s="1">
        <v>3.9089440000000003E-2</v>
      </c>
      <c r="M17" s="1">
        <v>-2.696699E-2</v>
      </c>
      <c r="N17" s="1">
        <v>1.4290529999999999E-2</v>
      </c>
      <c r="O17" s="1">
        <v>-4.1257519999999999E-2</v>
      </c>
      <c r="R17">
        <f t="shared" si="13"/>
        <v>-2.8979999999999839E-3</v>
      </c>
      <c r="S17">
        <f t="shared" si="4"/>
        <v>-3.2969999999999944E-3</v>
      </c>
      <c r="U17" s="8">
        <f t="shared" si="5"/>
        <v>6.6245200000000004E-2</v>
      </c>
      <c r="V17" s="8">
        <f t="shared" si="6"/>
        <v>-2.696699E-2</v>
      </c>
      <c r="W17" s="8">
        <f t="shared" si="7"/>
        <v>2.7155760000000001E-2</v>
      </c>
      <c r="X17" s="8">
        <f t="shared" si="8"/>
        <v>1.4290529999999999E-2</v>
      </c>
      <c r="Y17" s="9">
        <f t="shared" si="9"/>
        <v>4.1015103730306386</v>
      </c>
      <c r="Z17" s="9">
        <f t="shared" si="10"/>
        <v>1.7584767052136208</v>
      </c>
      <c r="AA17" s="9">
        <f t="shared" si="11"/>
        <v>337.84982333202464</v>
      </c>
      <c r="AB17" s="9">
        <f t="shared" si="12"/>
        <v>337.84402734202462</v>
      </c>
    </row>
    <row r="18" spans="1:28" x14ac:dyDescent="0.25">
      <c r="A18">
        <v>16</v>
      </c>
      <c r="B18">
        <v>337.5</v>
      </c>
      <c r="C18">
        <v>25</v>
      </c>
      <c r="D18" s="1">
        <v>-0.26156395999999998</v>
      </c>
      <c r="E18" s="1">
        <v>-0.25295208000000002</v>
      </c>
      <c r="F18" s="1">
        <v>-8.6118900000000005E-3</v>
      </c>
      <c r="G18" s="1">
        <v>0.51953000000000005</v>
      </c>
      <c r="H18" s="1">
        <v>0.519926</v>
      </c>
      <c r="I18" s="1">
        <v>-3.9601000000000003E-4</v>
      </c>
      <c r="J18" s="1">
        <v>5.6379489999999997E-2</v>
      </c>
      <c r="K18" s="1">
        <v>3.6436919999999998E-2</v>
      </c>
      <c r="L18" s="1">
        <v>1.994257E-2</v>
      </c>
      <c r="M18" s="1">
        <v>-3.2993660000000001E-2</v>
      </c>
      <c r="N18" s="1">
        <v>2.0255760000000001E-2</v>
      </c>
      <c r="O18" s="1">
        <v>-5.3249419999999999E-2</v>
      </c>
      <c r="R18">
        <f t="shared" si="13"/>
        <v>-4.3059399999999803E-3</v>
      </c>
      <c r="S18">
        <f t="shared" si="4"/>
        <v>-1.9799999999997597E-4</v>
      </c>
      <c r="U18" s="8">
        <f t="shared" si="5"/>
        <v>5.6379489999999997E-2</v>
      </c>
      <c r="V18" s="8">
        <f t="shared" si="6"/>
        <v>-3.2993660000000001E-2</v>
      </c>
      <c r="W18" s="8">
        <f t="shared" si="7"/>
        <v>3.6436919999999998E-2</v>
      </c>
      <c r="X18" s="8">
        <f t="shared" si="8"/>
        <v>2.0255760000000001E-2</v>
      </c>
      <c r="Y18" s="9">
        <f t="shared" si="9"/>
        <v>3.7454580585201338</v>
      </c>
      <c r="Z18" s="9">
        <f t="shared" si="10"/>
        <v>2.3892770829971517</v>
      </c>
      <c r="AA18" s="9">
        <f t="shared" si="11"/>
        <v>329.66353967378831</v>
      </c>
      <c r="AB18" s="9">
        <f t="shared" si="12"/>
        <v>329.65492778378831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T14-1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2026-08-02T16:46:04Z</dcterms:modified>
</cp:coreProperties>
</file>