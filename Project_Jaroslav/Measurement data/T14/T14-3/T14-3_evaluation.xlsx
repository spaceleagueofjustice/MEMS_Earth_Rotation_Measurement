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4\T14-3\"/>
    </mc:Choice>
  </mc:AlternateContent>
  <xr:revisionPtr revIDLastSave="0" documentId="13_ncr:1_{42BDDB69-D975-413C-BC91-5BE34B9BC562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4-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G9" i="2" s="1"/>
  <c r="X18" i="1"/>
  <c r="W18" i="1"/>
  <c r="Z18" i="1" s="1"/>
  <c r="V18" i="1"/>
  <c r="U18" i="1"/>
  <c r="Y18" i="1" s="1"/>
  <c r="X17" i="1"/>
  <c r="W17" i="1"/>
  <c r="V17" i="1"/>
  <c r="U17" i="1"/>
  <c r="X16" i="1"/>
  <c r="W16" i="1"/>
  <c r="V16" i="1"/>
  <c r="U16" i="1"/>
  <c r="X15" i="1"/>
  <c r="W15" i="1"/>
  <c r="Z15" i="1" s="1"/>
  <c r="V15" i="1"/>
  <c r="U15" i="1"/>
  <c r="Y15" i="1" s="1"/>
  <c r="X14" i="1"/>
  <c r="W14" i="1"/>
  <c r="Z14" i="1" s="1"/>
  <c r="V14" i="1"/>
  <c r="U14" i="1"/>
  <c r="X13" i="1"/>
  <c r="W13" i="1"/>
  <c r="Z13" i="1" s="1"/>
  <c r="V13" i="1"/>
  <c r="U13" i="1"/>
  <c r="X12" i="1"/>
  <c r="W12" i="1"/>
  <c r="Z12" i="1" s="1"/>
  <c r="V12" i="1"/>
  <c r="U12" i="1"/>
  <c r="Y12" i="1" s="1"/>
  <c r="X11" i="1"/>
  <c r="W11" i="1"/>
  <c r="Z11" i="1" s="1"/>
  <c r="V11" i="1"/>
  <c r="U11" i="1"/>
  <c r="X10" i="1"/>
  <c r="W10" i="1"/>
  <c r="V10" i="1"/>
  <c r="U10" i="1"/>
  <c r="X9" i="1"/>
  <c r="W9" i="1"/>
  <c r="Z9" i="1" s="1"/>
  <c r="V9" i="1"/>
  <c r="U9" i="1"/>
  <c r="X8" i="1"/>
  <c r="W8" i="1"/>
  <c r="Z8" i="1" s="1"/>
  <c r="V8" i="1"/>
  <c r="U8" i="1"/>
  <c r="X7" i="1"/>
  <c r="W7" i="1"/>
  <c r="V7" i="1"/>
  <c r="U7" i="1"/>
  <c r="X6" i="1"/>
  <c r="W6" i="1"/>
  <c r="Z6" i="1" s="1"/>
  <c r="V6" i="1"/>
  <c r="U6" i="1"/>
  <c r="Y6" i="1" s="1"/>
  <c r="X5" i="1"/>
  <c r="W5" i="1"/>
  <c r="V5" i="1"/>
  <c r="U5" i="1"/>
  <c r="X4" i="1"/>
  <c r="W4" i="1"/>
  <c r="Z4" i="1" s="1"/>
  <c r="V4" i="1"/>
  <c r="U4" i="1"/>
  <c r="X3" i="1"/>
  <c r="W3" i="1"/>
  <c r="Z3" i="1" s="1"/>
  <c r="V3" i="1"/>
  <c r="U3" i="1"/>
  <c r="AA3" i="1" s="1"/>
  <c r="AB3" i="1" s="1"/>
  <c r="G11" i="2"/>
  <c r="G17" i="2" s="1"/>
  <c r="Z16" i="1" l="1"/>
  <c r="Z7" i="1"/>
  <c r="Z10" i="1"/>
  <c r="Z5" i="1"/>
  <c r="Y9" i="1"/>
  <c r="Z17" i="1"/>
  <c r="Y5" i="1"/>
  <c r="Y8" i="1"/>
  <c r="Y11" i="1"/>
  <c r="Y14" i="1"/>
  <c r="Y17" i="1"/>
  <c r="AA5" i="1"/>
  <c r="AB5" i="1" s="1"/>
  <c r="AA8" i="1"/>
  <c r="AB8" i="1" s="1"/>
  <c r="AA11" i="1"/>
  <c r="AB11" i="1" s="1"/>
  <c r="AA14" i="1"/>
  <c r="AB14" i="1" s="1"/>
  <c r="AA17" i="1"/>
  <c r="AB17" i="1" s="1"/>
  <c r="Y4" i="1"/>
  <c r="Y7" i="1"/>
  <c r="Y10" i="1"/>
  <c r="Y13" i="1"/>
  <c r="Y16" i="1"/>
  <c r="AA4" i="1"/>
  <c r="AB4" i="1" s="1"/>
  <c r="AA7" i="1"/>
  <c r="AB7" i="1" s="1"/>
  <c r="AA10" i="1"/>
  <c r="AB10" i="1" s="1"/>
  <c r="AA13" i="1"/>
  <c r="AB13" i="1" s="1"/>
  <c r="AA16" i="1"/>
  <c r="AB16" i="1" s="1"/>
  <c r="AA6" i="1"/>
  <c r="AB6" i="1" s="1"/>
  <c r="AA9" i="1"/>
  <c r="AB9" i="1" s="1"/>
  <c r="AA12" i="1"/>
  <c r="AB12" i="1" s="1"/>
  <c r="AA15" i="1"/>
  <c r="AB15" i="1" s="1"/>
  <c r="AA18" i="1"/>
  <c r="AB18" i="1" s="1"/>
  <c r="Y3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10" i="1"/>
  <c r="R4" i="1"/>
  <c r="S3" i="1"/>
  <c r="R18" i="1"/>
  <c r="R17" i="1"/>
  <c r="R16" i="1"/>
  <c r="R15" i="1"/>
  <c r="R14" i="1"/>
  <c r="R13" i="1"/>
  <c r="R12" i="1"/>
  <c r="R11" i="1"/>
  <c r="R9" i="1"/>
  <c r="R8" i="1"/>
  <c r="R7" i="1"/>
  <c r="R6" i="1"/>
  <c r="R5" i="1"/>
  <c r="R3" i="1"/>
  <c r="R16" i="2" l="1"/>
  <c r="V16" i="2"/>
  <c r="T16" i="2"/>
  <c r="X16" i="2"/>
</calcChain>
</file>

<file path=xl/sharedStrings.xml><?xml version="1.0" encoding="utf-8"?>
<sst xmlns="http://schemas.openxmlformats.org/spreadsheetml/2006/main" count="58" uniqueCount="53">
  <si>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</si>
  <si>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</si>
  <si>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</si>
  <si>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</si>
  <si>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</si>
  <si>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</si>
  <si>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</si>
  <si>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</si>
  <si>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</si>
  <si>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</si>
  <si>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</si>
  <si>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</si>
  <si>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</si>
  <si>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</si>
  <si>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(xA-xC)/2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</si>
  <si>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</si>
  <si>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</si>
  <si>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</si>
  <si>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</si>
  <si>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</si>
  <si>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</si>
  <si>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Rotation direction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</si>
  <si>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</si>
  <si>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</si>
  <si>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</si>
  <si>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</si>
  <si>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</si>
  <si>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</si>
  <si>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</si>
  <si>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</si>
  <si>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</si>
  <si>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</si>
  <si>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</si>
  <si>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</si>
  <si>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</si>
  <si>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</si>
  <si>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</si>
  <si>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</si>
  <si>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</si>
  <si>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</si>
  <si>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</si>
  <si>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</si>
  <si>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</si>
  <si>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</si>
  <si>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</si>
  <si>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</si>
  <si>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Rotation-direction control test: two runs at the same baseline configuration (level, arm at true north), 25-repeat randomized azimuth sweep each, run once with normal (CW) and once with reversed (CCW) motor rotation direction, to isolate whether the direction of rotation itself introduces a systematic bias into the measured differential signal.</t>
  </si>
  <si>
    <t>Azimuth-Dependence Test (Randomized 360° Step Scan, Off-North Start, Tilted Mount)</t>
  </si>
  <si>
    <t>Description/title:</t>
  </si>
  <si>
    <t>HORIZONTAL slepý test 360-kontrola accel-lepší csv-azimut parametr-fixed trim settle-s navratem do A</t>
  </si>
  <si>
    <t>Code:</t>
  </si>
  <si>
    <t>CCW</t>
  </si>
  <si>
    <t>T14-3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</si>
</sst>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top" wrapText="1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'T14-3'!$R$2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'T14-3'!$B$3:$B$18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'T14-3'!$R$3:$R$18</c:f>
              <c:numCache>
                <c:formatCode>General</c:formatCode>
                <c:ptCount val="16"/>
                <c:pt idx="0">
                  <c:v>-2.7170200000000005E-3</c:v>
                </c:pt>
                <c:pt idx="1">
                  <c:v>-3.7679800000000041E-3</c:v>
                </c:pt>
                <c:pt idx="2">
                  <c:v>-2.5269600000000086E-3</c:v>
                </c:pt>
                <c:pt idx="3">
                  <c:v>-2.4160100000000101E-3</c:v>
                </c:pt>
                <c:pt idx="4">
                  <c:v>-1.8880099999999955E-3</c:v>
                </c:pt>
                <c:pt idx="5">
                  <c:v>-2.6700999999999808E-4</c:v>
                </c:pt>
                <c:pt idx="6">
                  <c:v>8.4401000000000614E-4</c:v>
                </c:pt>
                <c:pt idx="7">
                  <c:v>1.3749799999999979E-3</c:v>
                </c:pt>
                <c:pt idx="8">
                  <c:v>4.3569999999999998E-3</c:v>
                </c:pt>
                <c:pt idx="9">
                  <c:v>3.6369699999999894E-3</c:v>
                </c:pt>
                <c:pt idx="10">
                  <c:v>2.559990000000012E-3</c:v>
                </c:pt>
                <c:pt idx="11">
                  <c:v>2.2829999999999934E-3</c:v>
                </c:pt>
                <c:pt idx="12">
                  <c:v>9.1300999999999188E-4</c:v>
                </c:pt>
                <c:pt idx="13">
                  <c:v>-1.5402000000000471E-4</c:v>
                </c:pt>
                <c:pt idx="14">
                  <c:v>-1.3139999999999957E-3</c:v>
                </c:pt>
                <c:pt idx="15">
                  <c:v>-2.7739999999999987E-3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'T14-3'!$S$2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B05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noFill/>
                <a:ln w="254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'T14-3'!$B$3:$B$18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'T14-3'!$S$3:$S$18</c:f>
              <c:numCache>
                <c:formatCode>General</c:formatCode>
                <c:ptCount val="16"/>
                <c:pt idx="0">
                  <c:v>-3.0000000000002247E-5</c:v>
                </c:pt>
                <c:pt idx="1">
                  <c:v>6.0604000000000213E-4</c:v>
                </c:pt>
                <c:pt idx="2">
                  <c:v>-3.9495999999999976E-4</c:v>
                </c:pt>
                <c:pt idx="3">
                  <c:v>-8.2399999999999141E-4</c:v>
                </c:pt>
                <c:pt idx="4">
                  <c:v>-3.8320199999999915E-3</c:v>
                </c:pt>
                <c:pt idx="5">
                  <c:v>-3.8850200000000168E-3</c:v>
                </c:pt>
                <c:pt idx="6">
                  <c:v>-4.3839599999999923E-3</c:v>
                </c:pt>
                <c:pt idx="7">
                  <c:v>-3.0509999999999982E-3</c:v>
                </c:pt>
                <c:pt idx="8">
                  <c:v>-7.1397999999997519E-4</c:v>
                </c:pt>
                <c:pt idx="9">
                  <c:v>6.010700000000091E-4</c:v>
                </c:pt>
                <c:pt idx="10">
                  <c:v>2.4830399999999919E-3</c:v>
                </c:pt>
                <c:pt idx="11">
                  <c:v>3.0220200000000141E-3</c:v>
                </c:pt>
                <c:pt idx="12">
                  <c:v>2.0949999999999858E-3</c:v>
                </c:pt>
                <c:pt idx="13">
                  <c:v>1.78399999999998E-3</c:v>
                </c:pt>
                <c:pt idx="14">
                  <c:v>3.7890400000000213E-3</c:v>
                </c:pt>
                <c:pt idx="15">
                  <c:v>1.0090000000000099E-3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'T14-3'!$L$2</c15:sqref>
                        </c15:formulaRef>
                      </c:ext>
                    </c:extLst>
                    <c:strCache>
                      <c:ptCount val="1"/>
                      <c:pt idx="0">
                        <c:v>diffax_prumer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'T14-3'!$L$3:$L$18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-1.0502829999999999E-2</c:v>
                      </c:pt>
                      <c:pt idx="1">
                        <c:v>-3.6020120000000003E-2</c:v>
                      </c:pt>
                      <c:pt idx="2">
                        <c:v>-5.5115919999999999E-2</c:v>
                      </c:pt>
                      <c:pt idx="3">
                        <c:v>-6.6223519999999994E-2</c:v>
                      </c:pt>
                      <c:pt idx="4">
                        <c:v>-6.6508990000000004E-2</c:v>
                      </c:pt>
                      <c:pt idx="5">
                        <c:v>-5.7070599999999999E-2</c:v>
                      </c:pt>
                      <c:pt idx="6">
                        <c:v>-3.8433019999999998E-2</c:v>
                      </c:pt>
                      <c:pt idx="7">
                        <c:v>-1.4057719999999999E-2</c:v>
                      </c:pt>
                      <c:pt idx="8">
                        <c:v>1.2781839999999999E-2</c:v>
                      </c:pt>
                      <c:pt idx="9">
                        <c:v>3.7853419999999999E-2</c:v>
                      </c:pt>
                      <c:pt idx="10">
                        <c:v>5.659844E-2</c:v>
                      </c:pt>
                      <c:pt idx="11">
                        <c:v>6.7609950000000002E-2</c:v>
                      </c:pt>
                      <c:pt idx="12">
                        <c:v>6.863213E-2</c:v>
                      </c:pt>
                      <c:pt idx="13">
                        <c:v>5.8658990000000001E-2</c:v>
                      </c:pt>
                      <c:pt idx="14">
                        <c:v>4.0490619999999998E-2</c:v>
                      </c:pt>
                      <c:pt idx="15">
                        <c:v>1.578164E-2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'T14-3'!$O$2</c15:sqref>
                        </c15:formulaRef>
                      </c:ext>
                    </c:extLst>
                    <c:strCache>
                      <c:ptCount val="1"/>
                      <c:pt idx="0">
                        <c:v>diffay_prumer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'T14-3'!$O$3:$O$18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6.7880759999999998E-2</c:v>
                      </c:pt>
                      <c:pt idx="1">
                        <c:v>5.8135449999999998E-2</c:v>
                      </c:pt>
                      <c:pt idx="2">
                        <c:v>3.9701559999999997E-2</c:v>
                      </c:pt>
                      <c:pt idx="3">
                        <c:v>1.509922E-2</c:v>
                      </c:pt>
                      <c:pt idx="4">
                        <c:v>-1.1868160000000001E-2</c:v>
                      </c:pt>
                      <c:pt idx="5">
                        <c:v>-3.6923730000000002E-2</c:v>
                      </c:pt>
                      <c:pt idx="6">
                        <c:v>-5.6336039999999997E-2</c:v>
                      </c:pt>
                      <c:pt idx="7">
                        <c:v>-6.7127930000000002E-2</c:v>
                      </c:pt>
                      <c:pt idx="8">
                        <c:v>-6.7856739999999999E-2</c:v>
                      </c:pt>
                      <c:pt idx="9">
                        <c:v>-5.8167679999999999E-2</c:v>
                      </c:pt>
                      <c:pt idx="10">
                        <c:v>-3.9658600000000002E-2</c:v>
                      </c:pt>
                      <c:pt idx="11">
                        <c:v>-1.495781E-2</c:v>
                      </c:pt>
                      <c:pt idx="12">
                        <c:v>1.1915530000000001E-2</c:v>
                      </c:pt>
                      <c:pt idx="13">
                        <c:v>3.6906149999999999E-2</c:v>
                      </c:pt>
                      <c:pt idx="14">
                        <c:v>5.6238860000000002E-2</c:v>
                      </c:pt>
                      <c:pt idx="15">
                        <c:v>6.7230760000000001E-2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'T14-3'!$Y$2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70C0"/>
                </a:solidFill>
              </a:ln>
              <a:effectLst/>
            </c:spPr>
          </c:marker>
          <c:cat>
            <c:numRef>
              <c:f>'T14-3'!$B$3:$B$18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'T14-3'!$Y$3:$Y$18</c:f>
              <c:numCache>
                <c:formatCode>0.00</c:formatCode>
                <c:ptCount val="16"/>
                <c:pt idx="0">
                  <c:v>2.6907880241885378</c:v>
                </c:pt>
                <c:pt idx="1">
                  <c:v>1.9338184857746736</c:v>
                </c:pt>
                <c:pt idx="2">
                  <c:v>1.180856578904784</c:v>
                </c:pt>
                <c:pt idx="3">
                  <c:v>0.58981406446785056</c:v>
                </c:pt>
                <c:pt idx="4">
                  <c:v>0.95705678945368167</c:v>
                </c:pt>
                <c:pt idx="5">
                  <c:v>1.6866652075624431</c:v>
                </c:pt>
                <c:pt idx="6">
                  <c:v>2.4445823394494814</c:v>
                </c:pt>
                <c:pt idx="7">
                  <c:v>3.1189934903864751</c:v>
                </c:pt>
                <c:pt idx="8">
                  <c:v>3.6880330055512407</c:v>
                </c:pt>
                <c:pt idx="9">
                  <c:v>4.1187302784864448</c:v>
                </c:pt>
                <c:pt idx="10">
                  <c:v>4.3787215783114073</c:v>
                </c:pt>
                <c:pt idx="11">
                  <c:v>4.4986414899023597</c:v>
                </c:pt>
                <c:pt idx="12">
                  <c:v>4.4483105882893037</c:v>
                </c:pt>
                <c:pt idx="13">
                  <c:v>4.2152037164514642</c:v>
                </c:pt>
                <c:pt idx="14">
                  <c:v>3.8552864964572415</c:v>
                </c:pt>
                <c:pt idx="15">
                  <c:v>3.3234898502225341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'T14-3'!$Z$2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FF00"/>
                </a:solidFill>
              </a:ln>
              <a:effectLst/>
            </c:spPr>
          </c:marker>
          <c:cat>
            <c:numRef>
              <c:f>'T14-3'!$B$3:$B$18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'T14-3'!$Z$3:$Z$18</c:f>
              <c:numCache>
                <c:formatCode>0.00</c:formatCode>
                <c:ptCount val="16"/>
                <c:pt idx="0">
                  <c:v>3.6581040795778752</c:v>
                </c:pt>
                <c:pt idx="1">
                  <c:v>4.0909292343081631</c:v>
                </c:pt>
                <c:pt idx="2">
                  <c:v>4.3611524154797694</c:v>
                </c:pt>
                <c:pt idx="3">
                  <c:v>4.4650554401545035</c:v>
                </c:pt>
                <c:pt idx="4">
                  <c:v>4.4224855745039306</c:v>
                </c:pt>
                <c:pt idx="5">
                  <c:v>4.1701636400080959</c:v>
                </c:pt>
                <c:pt idx="6">
                  <c:v>3.7854915660279715</c:v>
                </c:pt>
                <c:pt idx="7">
                  <c:v>3.2615476562245522</c:v>
                </c:pt>
                <c:pt idx="8">
                  <c:v>2.615050573343086</c:v>
                </c:pt>
                <c:pt idx="9">
                  <c:v>1.880802187129597</c:v>
                </c:pt>
                <c:pt idx="10">
                  <c:v>1.1279343234050117</c:v>
                </c:pt>
                <c:pt idx="11">
                  <c:v>0.54569181620311991</c:v>
                </c:pt>
                <c:pt idx="12">
                  <c:v>0.89983575844801722</c:v>
                </c:pt>
                <c:pt idx="13">
                  <c:v>1.6583052307047133</c:v>
                </c:pt>
                <c:pt idx="14">
                  <c:v>2.4161843647202721</c:v>
                </c:pt>
                <c:pt idx="15">
                  <c:v>3.1025243381262615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200024</xdr:rowOff>
    </xdr:from>
    <xdr:to>
      <xdr:col>12</xdr:col>
      <xdr:colOff>0</xdr:colOff>
      <xdr:row>48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20</xdr:row>
      <xdr:rowOff>0</xdr:rowOff>
    </xdr:from>
    <xdr:to>
      <xdr:col>25</xdr:col>
      <xdr:colOff>1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Y18"/>
  <sheetViews>
    <sheetView tabSelected="1" zoomScaleNormal="100" workbookViewId="0">
      <selection activeCell="G7" sqref="G7:H7"/>
    </sheetView>
  </sheetViews>
  <sheetFormatPr defaultRowHeight="15.75" x14ac:dyDescent="0.25"/>
  <cols>
    <col min="1" max="4" width="9.140625" style="2"/>
    <col min="5" max="6" width="9.140625" style="2" customWidth="1"/>
    <col min="7" max="16384" width="9.140625" style="2"/>
  </cols>
  <sheetData>
    <row r="1" spans="1:25" ht="15.75" customHeight="1" x14ac:dyDescent="0.25">
      <c r="A1" s="43" t="s">
        <v>30</v>
      </c>
      <c r="B1" s="43"/>
      <c r="C1" s="43" t="s">
        <v>52</v>
      </c>
      <c r="D1" s="43"/>
      <c r="E1" s="43" t="s">
        <v>47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ht="15.7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4" spans="1:25" x14ac:dyDescent="0.25">
      <c r="A4" s="42" t="s">
        <v>31</v>
      </c>
      <c r="B4" s="42"/>
      <c r="C4" s="42"/>
      <c r="D4" s="42"/>
      <c r="E4" s="42"/>
      <c r="F4" s="42"/>
      <c r="G4" s="20">
        <v>180</v>
      </c>
      <c r="H4" s="21"/>
      <c r="I4" s="3" t="s">
        <v>19</v>
      </c>
      <c r="K4" s="44" t="s">
        <v>48</v>
      </c>
      <c r="L4" s="44"/>
      <c r="M4" s="44"/>
      <c r="N4" s="44"/>
      <c r="O4" s="44"/>
      <c r="P4" s="44"/>
      <c r="R4" s="44" t="s">
        <v>50</v>
      </c>
      <c r="S4" s="44"/>
      <c r="T4" s="44"/>
      <c r="U4" s="44"/>
      <c r="V4" s="44"/>
      <c r="W4" s="44"/>
      <c r="X4" s="44"/>
      <c r="Y4" s="44"/>
    </row>
    <row r="5" spans="1:25" ht="15.75" customHeight="1" x14ac:dyDescent="0.25">
      <c r="A5" s="17" t="s">
        <v>32</v>
      </c>
      <c r="B5" s="18"/>
      <c r="C5" s="18"/>
      <c r="D5" s="18"/>
      <c r="E5" s="18"/>
      <c r="F5" s="19"/>
      <c r="G5" s="20">
        <v>0</v>
      </c>
      <c r="H5" s="21"/>
      <c r="I5" s="3" t="s">
        <v>19</v>
      </c>
      <c r="K5" s="22" t="s">
        <v>46</v>
      </c>
      <c r="L5" s="23"/>
      <c r="M5" s="23"/>
      <c r="N5" s="23"/>
      <c r="O5" s="23"/>
      <c r="P5" s="24"/>
      <c r="R5" s="45" t="s">
        <v>49</v>
      </c>
      <c r="S5" s="45"/>
      <c r="T5" s="45"/>
      <c r="U5" s="45"/>
      <c r="V5" s="45"/>
      <c r="W5" s="45"/>
      <c r="X5" s="45"/>
      <c r="Y5" s="45"/>
    </row>
    <row r="6" spans="1:25" x14ac:dyDescent="0.25">
      <c r="A6" s="42" t="s">
        <v>33</v>
      </c>
      <c r="B6" s="42"/>
      <c r="C6" s="42"/>
      <c r="D6" s="42"/>
      <c r="E6" s="42"/>
      <c r="F6" s="42"/>
      <c r="G6" s="41">
        <v>0</v>
      </c>
      <c r="H6" s="41"/>
      <c r="I6" s="3" t="s">
        <v>25</v>
      </c>
      <c r="K6" s="25"/>
      <c r="L6" s="26"/>
      <c r="M6" s="26"/>
      <c r="N6" s="26"/>
      <c r="O6" s="26"/>
      <c r="P6" s="27"/>
      <c r="R6" s="45"/>
      <c r="S6" s="45"/>
      <c r="T6" s="45"/>
      <c r="U6" s="45"/>
      <c r="V6" s="45"/>
      <c r="W6" s="45"/>
      <c r="X6" s="45"/>
      <c r="Y6" s="45"/>
    </row>
    <row r="7" spans="1:25" ht="15.75" customHeight="1" x14ac:dyDescent="0.25">
      <c r="A7" s="42" t="s">
        <v>16</v>
      </c>
      <c r="B7" s="42"/>
      <c r="C7" s="42"/>
      <c r="D7" s="42"/>
      <c r="E7" s="42"/>
      <c r="F7" s="42"/>
      <c r="G7" s="46">
        <f t="shared" ref="G7:H7" si="0">360/((23*60*60)+(56*60)+4.09)</f>
        <v>4.1780746480349299E-3</v>
      </c>
      <c r="H7" s="46"/>
      <c r="I7" s="3" t="s">
        <v>17</v>
      </c>
      <c r="K7" s="25"/>
      <c r="L7" s="26"/>
      <c r="M7" s="26"/>
      <c r="N7" s="26"/>
      <c r="O7" s="26"/>
      <c r="P7" s="27"/>
      <c r="R7" s="45"/>
      <c r="S7" s="45"/>
      <c r="T7" s="45"/>
      <c r="U7" s="45"/>
      <c r="V7" s="45"/>
      <c r="W7" s="45"/>
      <c r="X7" s="45"/>
      <c r="Y7" s="45"/>
    </row>
    <row r="8" spans="1:25" x14ac:dyDescent="0.25">
      <c r="A8" s="42" t="s">
        <v>18</v>
      </c>
      <c r="B8" s="42"/>
      <c r="C8" s="42"/>
      <c r="D8" s="42"/>
      <c r="E8" s="42"/>
      <c r="F8" s="42"/>
      <c r="G8" s="41">
        <v>49</v>
      </c>
      <c r="H8" s="41"/>
      <c r="I8" s="3" t="s">
        <v>19</v>
      </c>
      <c r="K8" s="25"/>
      <c r="L8" s="26"/>
      <c r="M8" s="26"/>
      <c r="N8" s="26"/>
      <c r="O8" s="26"/>
      <c r="P8" s="27"/>
      <c r="R8" s="45"/>
      <c r="S8" s="45"/>
      <c r="T8" s="45"/>
      <c r="U8" s="45"/>
      <c r="V8" s="45"/>
      <c r="W8" s="45"/>
      <c r="X8" s="45"/>
      <c r="Y8" s="45"/>
    </row>
    <row r="9" spans="1:25" ht="15.75" customHeight="1" x14ac:dyDescent="0.25">
      <c r="A9" s="36" t="s">
        <v>20</v>
      </c>
      <c r="B9" s="37"/>
      <c r="C9" s="37"/>
      <c r="D9" s="37"/>
      <c r="E9" s="37"/>
      <c r="F9" s="38"/>
      <c r="G9" s="39">
        <f>(COS(RADIANS(G8))*G7)</f>
        <v>2.7410635966396515E-3</v>
      </c>
      <c r="H9" s="40"/>
      <c r="I9" s="4" t="s">
        <v>17</v>
      </c>
      <c r="K9" s="25"/>
      <c r="L9" s="26"/>
      <c r="M9" s="26"/>
      <c r="N9" s="26"/>
      <c r="O9" s="26"/>
      <c r="P9" s="27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42" t="s">
        <v>34</v>
      </c>
      <c r="B10" s="42"/>
      <c r="C10" s="42"/>
      <c r="D10" s="42"/>
      <c r="E10" s="42"/>
      <c r="F10" s="42"/>
      <c r="G10" s="41">
        <v>22.5</v>
      </c>
      <c r="H10" s="41"/>
      <c r="I10" s="3" t="s">
        <v>19</v>
      </c>
      <c r="K10" s="25"/>
      <c r="L10" s="26"/>
      <c r="M10" s="26"/>
      <c r="N10" s="26"/>
      <c r="O10" s="26"/>
      <c r="P10" s="27"/>
      <c r="R10" s="16"/>
      <c r="S10" s="16"/>
      <c r="T10" s="16"/>
      <c r="U10" s="16"/>
      <c r="V10" s="16"/>
      <c r="W10" s="16"/>
      <c r="X10" s="16"/>
      <c r="Y10" s="16"/>
    </row>
    <row r="11" spans="1:25" ht="15.75" customHeight="1" x14ac:dyDescent="0.25">
      <c r="A11" s="17" t="s">
        <v>35</v>
      </c>
      <c r="B11" s="18"/>
      <c r="C11" s="18"/>
      <c r="D11" s="18"/>
      <c r="E11" s="18"/>
      <c r="F11" s="19"/>
      <c r="G11" s="20">
        <f>360/G10</f>
        <v>16</v>
      </c>
      <c r="H11" s="21"/>
      <c r="I11" s="3"/>
      <c r="K11" s="25"/>
      <c r="L11" s="26"/>
      <c r="M11" s="26"/>
      <c r="N11" s="26"/>
      <c r="O11" s="26"/>
      <c r="P11" s="27"/>
      <c r="R11" s="11"/>
      <c r="S11" s="11"/>
      <c r="T11" s="11"/>
      <c r="U11" s="11"/>
      <c r="V11" s="11"/>
      <c r="W11" s="11"/>
      <c r="X11" s="11"/>
      <c r="Y11" s="11"/>
    </row>
    <row r="12" spans="1:25" ht="15.75" customHeight="1" x14ac:dyDescent="0.25">
      <c r="A12" s="42" t="s">
        <v>21</v>
      </c>
      <c r="B12" s="42"/>
      <c r="C12" s="42"/>
      <c r="D12" s="42"/>
      <c r="E12" s="42"/>
      <c r="F12" s="42"/>
      <c r="G12" s="41" t="s">
        <v>51</v>
      </c>
      <c r="H12" s="41"/>
      <c r="I12" s="3"/>
      <c r="K12" s="25"/>
      <c r="L12" s="26"/>
      <c r="M12" s="26"/>
      <c r="N12" s="26"/>
      <c r="O12" s="26"/>
      <c r="P12" s="27"/>
      <c r="R12" s="47" t="s">
        <v>26</v>
      </c>
      <c r="S12" s="47"/>
      <c r="T12" s="47" t="s">
        <v>27</v>
      </c>
      <c r="U12" s="47"/>
      <c r="V12" s="47" t="s">
        <v>28</v>
      </c>
      <c r="W12" s="47"/>
      <c r="X12" s="47" t="s">
        <v>29</v>
      </c>
      <c r="Y12" s="47"/>
    </row>
    <row r="13" spans="1:25" ht="15.75" customHeight="1" x14ac:dyDescent="0.25">
      <c r="A13" s="17" t="s">
        <v>22</v>
      </c>
      <c r="B13" s="18"/>
      <c r="C13" s="18"/>
      <c r="D13" s="18"/>
      <c r="E13" s="18"/>
      <c r="F13" s="19"/>
      <c r="G13" s="20">
        <v>25</v>
      </c>
      <c r="H13" s="21"/>
      <c r="I13" s="3"/>
      <c r="K13" s="25"/>
      <c r="L13" s="26"/>
      <c r="M13" s="26"/>
      <c r="N13" s="26"/>
      <c r="O13" s="26"/>
      <c r="P13" s="27"/>
      <c r="R13" s="47"/>
      <c r="S13" s="47"/>
      <c r="T13" s="47"/>
      <c r="U13" s="47"/>
      <c r="V13" s="47"/>
      <c r="W13" s="47"/>
      <c r="X13" s="47"/>
      <c r="Y13" s="47"/>
    </row>
    <row r="14" spans="1:25" ht="15.75" customHeight="1" x14ac:dyDescent="0.25">
      <c r="A14" s="17" t="s">
        <v>23</v>
      </c>
      <c r="B14" s="18"/>
      <c r="C14" s="18"/>
      <c r="D14" s="18"/>
      <c r="E14" s="18"/>
      <c r="F14" s="19"/>
      <c r="G14" s="20">
        <v>200</v>
      </c>
      <c r="H14" s="21"/>
      <c r="I14" s="3"/>
      <c r="K14" s="25"/>
      <c r="L14" s="26"/>
      <c r="M14" s="26"/>
      <c r="N14" s="26"/>
      <c r="O14" s="26"/>
      <c r="P14" s="27"/>
      <c r="R14" s="47"/>
      <c r="S14" s="47"/>
      <c r="T14" s="47"/>
      <c r="U14" s="47"/>
      <c r="V14" s="47"/>
      <c r="W14" s="47"/>
      <c r="X14" s="47"/>
      <c r="Y14" s="47"/>
    </row>
    <row r="15" spans="1:25" ht="15.75" customHeight="1" x14ac:dyDescent="0.25">
      <c r="A15" s="17" t="s">
        <v>24</v>
      </c>
      <c r="B15" s="18"/>
      <c r="C15" s="18"/>
      <c r="D15" s="18"/>
      <c r="E15" s="18"/>
      <c r="F15" s="19"/>
      <c r="G15" s="20">
        <v>50</v>
      </c>
      <c r="H15" s="21"/>
      <c r="I15" s="3"/>
      <c r="K15" s="25"/>
      <c r="L15" s="26"/>
      <c r="M15" s="26"/>
      <c r="N15" s="26"/>
      <c r="O15" s="26"/>
      <c r="P15" s="27"/>
      <c r="R15" s="47"/>
      <c r="S15" s="47"/>
      <c r="T15" s="47"/>
      <c r="U15" s="47"/>
      <c r="V15" s="47"/>
      <c r="W15" s="47"/>
      <c r="X15" s="47"/>
      <c r="Y15" s="47"/>
    </row>
    <row r="16" spans="1:25" x14ac:dyDescent="0.25">
      <c r="A16" s="31" t="s">
        <v>37</v>
      </c>
      <c r="B16" s="32"/>
      <c r="C16" s="32"/>
      <c r="D16" s="32"/>
      <c r="E16" s="32"/>
      <c r="F16" s="33"/>
      <c r="G16" s="34">
        <v>400</v>
      </c>
      <c r="H16" s="35"/>
      <c r="I16" s="5" t="s">
        <v>19</v>
      </c>
      <c r="K16" s="25"/>
      <c r="L16" s="26"/>
      <c r="M16" s="26"/>
      <c r="N16" s="26"/>
      <c r="O16" s="26"/>
      <c r="P16" s="27"/>
      <c r="R16" s="48">
        <f>MIN('T14-3'!R3:R18)</f>
        <v>-3.7679800000000041E-3</v>
      </c>
      <c r="S16" s="48"/>
      <c r="T16" s="48">
        <f>MIN('T14-3'!S3:S18)</f>
        <v>-4.3839599999999923E-3</v>
      </c>
      <c r="U16" s="48"/>
      <c r="V16" s="48">
        <f>MAX('T14-3'!R3:R18)</f>
        <v>4.3569999999999998E-3</v>
      </c>
      <c r="W16" s="48"/>
      <c r="X16" s="48">
        <f>MAX('T14-3'!S3:S18)</f>
        <v>3.7890400000000213E-3</v>
      </c>
      <c r="Y16" s="48"/>
    </row>
    <row r="17" spans="1:25" x14ac:dyDescent="0.25">
      <c r="A17" s="31" t="s">
        <v>36</v>
      </c>
      <c r="B17" s="32"/>
      <c r="C17" s="32"/>
      <c r="D17" s="32"/>
      <c r="E17" s="32"/>
      <c r="F17" s="33"/>
      <c r="G17" s="34">
        <f>G11*G13*G14</f>
        <v>80000</v>
      </c>
      <c r="H17" s="35"/>
      <c r="I17" s="3"/>
      <c r="K17" s="28"/>
      <c r="L17" s="29"/>
      <c r="M17" s="29"/>
      <c r="N17" s="29"/>
      <c r="O17" s="29"/>
      <c r="P17" s="30"/>
      <c r="R17" s="48"/>
      <c r="S17" s="48"/>
      <c r="T17" s="48"/>
      <c r="U17" s="48"/>
      <c r="V17" s="48"/>
      <c r="W17" s="48"/>
      <c r="X17" s="48"/>
      <c r="Y17" s="48"/>
    </row>
    <row r="18" spans="1:25" ht="15.75" customHeight="1" x14ac:dyDescent="0.25">
      <c r="A18" s="12"/>
      <c r="B18" s="12"/>
      <c r="C18" s="12"/>
      <c r="D18" s="12"/>
      <c r="E18" s="12"/>
      <c r="F18" s="12"/>
      <c r="G18" s="13"/>
      <c r="H18" s="13"/>
      <c r="I18" s="14"/>
      <c r="K18" s="10"/>
      <c r="L18" s="10"/>
      <c r="M18" s="10"/>
      <c r="N18" s="10"/>
      <c r="O18" s="10"/>
      <c r="P18" s="10"/>
      <c r="R18" s="15"/>
      <c r="S18" s="15"/>
      <c r="T18" s="15"/>
      <c r="U18" s="15"/>
      <c r="V18" s="15"/>
      <c r="W18" s="15"/>
      <c r="X18" s="15"/>
      <c r="Y18" s="15"/>
    </row>
  </sheetData>
  <mergeCells count="43">
    <mergeCell ref="A17:F17"/>
    <mergeCell ref="A13:F13"/>
    <mergeCell ref="A14:F14"/>
    <mergeCell ref="A15:F15"/>
    <mergeCell ref="R16:S17"/>
    <mergeCell ref="R12:S15"/>
    <mergeCell ref="A12:F12"/>
    <mergeCell ref="T12:U15"/>
    <mergeCell ref="V12:W15"/>
    <mergeCell ref="X12:Y15"/>
    <mergeCell ref="T16:U17"/>
    <mergeCell ref="V16:W17"/>
    <mergeCell ref="X16:Y17"/>
    <mergeCell ref="R5:Y8"/>
    <mergeCell ref="G7:H7"/>
    <mergeCell ref="A5:F5"/>
    <mergeCell ref="G5:H5"/>
    <mergeCell ref="A6:F6"/>
    <mergeCell ref="G6:H6"/>
    <mergeCell ref="A7:F7"/>
    <mergeCell ref="G4:H4"/>
    <mergeCell ref="A1:B2"/>
    <mergeCell ref="C1:D2"/>
    <mergeCell ref="E1:Y2"/>
    <mergeCell ref="K4:P4"/>
    <mergeCell ref="A4:F4"/>
    <mergeCell ref="R4:Y4"/>
    <mergeCell ref="A11:F11"/>
    <mergeCell ref="G11:H11"/>
    <mergeCell ref="K5:P17"/>
    <mergeCell ref="A16:F16"/>
    <mergeCell ref="G16:H16"/>
    <mergeCell ref="G15:H15"/>
    <mergeCell ref="G14:H14"/>
    <mergeCell ref="G13:H13"/>
    <mergeCell ref="G17:H17"/>
    <mergeCell ref="A9:F9"/>
    <mergeCell ref="G9:H9"/>
    <mergeCell ref="G8:H8"/>
    <mergeCell ref="G10:H10"/>
    <mergeCell ref="G12:H12"/>
    <mergeCell ref="A8:F8"/>
    <mergeCell ref="A10:F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B18"/>
  <sheetViews>
    <sheetView workbookViewId="0">
      <selection activeCell="P28" sqref="P28"/>
    </sheetView>
  </sheetViews>
  <sheetFormatPr defaultRowHeight="15" x14ac:dyDescent="0.25"/>
  <cols>
    <col min="4" max="4" width="12.140625" customWidth="1"/>
    <col min="5" max="5" width="12.42578125" customWidth="1"/>
    <col min="6" max="7" width="14.5703125" customWidth="1"/>
    <col min="8" max="8" width="15.42578125" customWidth="1"/>
    <col min="9" max="9" width="13.140625" customWidth="1"/>
    <col min="10" max="10" width="14.42578125" customWidth="1"/>
    <col min="11" max="11" width="12.28515625" customWidth="1"/>
    <col min="12" max="12" width="14.28515625" customWidth="1"/>
    <col min="13" max="13" width="13.140625" customWidth="1"/>
    <col min="14" max="14" width="12.5703125" customWidth="1"/>
    <col min="15" max="15" width="15.28515625" customWidth="1"/>
    <col min="21" max="21" width="11.28515625" customWidth="1"/>
    <col min="22" max="22" width="13.5703125" customWidth="1"/>
    <col min="23" max="23" width="13.28515625" customWidth="1"/>
    <col min="24" max="24" width="12.5703125" customWidth="1"/>
    <col min="27" max="27" width="15.7109375" customWidth="1"/>
    <col min="28" max="28" width="20.85546875" customWidth="1"/>
  </cols>
  <sheetData>
    <row r="1" spans="1:28" x14ac:dyDescent="0.25">
      <c r="U1" s="6"/>
      <c r="V1" s="6"/>
      <c r="W1" s="6"/>
      <c r="X1" s="6"/>
      <c r="Y1" s="6"/>
      <c r="Z1" s="6"/>
      <c r="AA1" s="6"/>
      <c r="AB1" s="6"/>
    </row>
    <row r="2" spans="1:2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R2" t="s">
        <v>14</v>
      </c>
      <c r="S2" t="s">
        <v>15</v>
      </c>
      <c r="U2" s="7" t="s">
        <v>38</v>
      </c>
      <c r="V2" s="7" t="s">
        <v>39</v>
      </c>
      <c r="W2" s="7" t="s">
        <v>40</v>
      </c>
      <c r="X2" s="7" t="s">
        <v>41</v>
      </c>
      <c r="Y2" s="7" t="s">
        <v>42</v>
      </c>
      <c r="Z2" s="6" t="s">
        <v>43</v>
      </c>
      <c r="AA2" s="6" t="s">
        <v>44</v>
      </c>
      <c r="AB2" s="6" t="s">
        <v>45</v>
      </c>
    </row>
    <row r="3" spans="1:28" x14ac:dyDescent="0.25">
      <c r="A3">
        <v>1</v>
      </c>
      <c r="B3">
        <v>0</v>
      </c>
      <c r="C3">
        <v>25</v>
      </c>
      <c r="D3" s="1">
        <v>-0.23074</v>
      </c>
      <c r="E3" s="1">
        <v>-0.22530596</v>
      </c>
      <c r="F3" s="1">
        <v>-5.4340500000000002E-3</v>
      </c>
      <c r="G3" s="1">
        <v>0.39696207999999999</v>
      </c>
      <c r="H3" s="1">
        <v>0.39702208</v>
      </c>
      <c r="I3" s="1">
        <v>-5.999E-5</v>
      </c>
      <c r="J3" s="1">
        <v>3.8440040000000002E-2</v>
      </c>
      <c r="K3" s="1">
        <v>4.8942869999999999E-2</v>
      </c>
      <c r="L3" s="1">
        <v>-1.0502829999999999E-2</v>
      </c>
      <c r="M3" s="1">
        <v>2.6949509999999999E-2</v>
      </c>
      <c r="N3" s="1">
        <v>-4.0931240000000001E-2</v>
      </c>
      <c r="O3" s="1">
        <v>6.7880759999999998E-2</v>
      </c>
      <c r="R3">
        <f>(D3-E3)/2</f>
        <v>-2.7170200000000005E-3</v>
      </c>
      <c r="S3">
        <f>(G3-H3)/2</f>
        <v>-3.0000000000002247E-5</v>
      </c>
      <c r="U3" s="8">
        <f>J3</f>
        <v>3.8440040000000002E-2</v>
      </c>
      <c r="V3" s="8">
        <f>M3</f>
        <v>2.6949509999999999E-2</v>
      </c>
      <c r="W3" s="8">
        <f>K3</f>
        <v>4.8942869999999999E-2</v>
      </c>
      <c r="X3" s="8">
        <f>N3</f>
        <v>-4.0931240000000001E-2</v>
      </c>
      <c r="Y3" s="9">
        <f t="shared" ref="Y3" si="0">IF(U3="","",DEGREES(ASIN(SQRT(U3^2+V3^2))))</f>
        <v>2.6907880241885378</v>
      </c>
      <c r="Z3" s="9">
        <f t="shared" ref="Z3" si="1">IF(W3="","",DEGREES(ASIN(SQRT(W3^2+X3^2))))</f>
        <v>3.6581040795778752</v>
      </c>
      <c r="AA3" s="9">
        <f t="shared" ref="AA3" si="2">IF(U3="","",MOD(DEGREES(ATAN2(U3,V3)),360))</f>
        <v>35.033495736080773</v>
      </c>
      <c r="AB3" s="9">
        <f t="shared" ref="AB3" si="3">IF(U3="","",MOD(F3+AA3,360))</f>
        <v>35.028061686080775</v>
      </c>
    </row>
    <row r="4" spans="1:28" x14ac:dyDescent="0.25">
      <c r="A4">
        <v>2</v>
      </c>
      <c r="B4">
        <v>22.5</v>
      </c>
      <c r="C4">
        <v>25</v>
      </c>
      <c r="D4" s="1">
        <v>-0.23404194</v>
      </c>
      <c r="E4" s="1">
        <v>-0.22650598</v>
      </c>
      <c r="F4" s="1">
        <v>-7.5359600000000004E-3</v>
      </c>
      <c r="G4" s="1">
        <v>0.39879007999999999</v>
      </c>
      <c r="H4" s="1">
        <v>0.39757799999999999</v>
      </c>
      <c r="I4" s="1">
        <v>1.21206E-3</v>
      </c>
      <c r="J4" s="1">
        <v>2.5529880000000001E-2</v>
      </c>
      <c r="K4" s="1">
        <v>6.1550000000000001E-2</v>
      </c>
      <c r="L4" s="1">
        <v>-3.6020120000000003E-2</v>
      </c>
      <c r="M4" s="1">
        <v>2.2067090000000001E-2</v>
      </c>
      <c r="N4" s="1">
        <v>-3.6068360000000001E-2</v>
      </c>
      <c r="O4" s="1">
        <v>5.8135449999999998E-2</v>
      </c>
      <c r="R4">
        <f>(D4-E4)/2</f>
        <v>-3.7679800000000041E-3</v>
      </c>
      <c r="S4">
        <f t="shared" ref="S4:S18" si="4">(G4-H4)/2</f>
        <v>6.0604000000000213E-4</v>
      </c>
      <c r="U4" s="8">
        <f t="shared" ref="U4:U18" si="5">J4</f>
        <v>2.5529880000000001E-2</v>
      </c>
      <c r="V4" s="8">
        <f t="shared" ref="V4:V18" si="6">M4</f>
        <v>2.2067090000000001E-2</v>
      </c>
      <c r="W4" s="8">
        <f t="shared" ref="W4:W18" si="7">K4</f>
        <v>6.1550000000000001E-2</v>
      </c>
      <c r="X4" s="8">
        <f t="shared" ref="X4:X18" si="8">N4</f>
        <v>-3.6068360000000001E-2</v>
      </c>
      <c r="Y4" s="9">
        <f t="shared" ref="Y4:Y18" si="9">IF(U4="","",DEGREES(ASIN(SQRT(U4^2+V4^2))))</f>
        <v>1.9338184857746736</v>
      </c>
      <c r="Z4" s="9">
        <f t="shared" ref="Z4:Z18" si="10">IF(W4="","",DEGREES(ASIN(SQRT(W4^2+X4^2))))</f>
        <v>4.0909292343081631</v>
      </c>
      <c r="AA4" s="9">
        <f t="shared" ref="AA4:AA18" si="11">IF(U4="","",MOD(DEGREES(ATAN2(U4,V4)),360))</f>
        <v>40.838930147532643</v>
      </c>
      <c r="AB4" s="9">
        <f t="shared" ref="AB4:AB18" si="12">IF(U4="","",MOD(F4+AA4,360))</f>
        <v>40.831394187532645</v>
      </c>
    </row>
    <row r="5" spans="1:28" x14ac:dyDescent="0.25">
      <c r="A5">
        <v>3</v>
      </c>
      <c r="B5">
        <v>45</v>
      </c>
      <c r="C5">
        <v>25</v>
      </c>
      <c r="D5" s="1">
        <v>-0.23334392000000001</v>
      </c>
      <c r="E5" s="1">
        <v>-0.22828999999999999</v>
      </c>
      <c r="F5" s="1">
        <v>-5.0539399999999998E-3</v>
      </c>
      <c r="G5" s="1">
        <v>0.39854608000000002</v>
      </c>
      <c r="H5" s="1">
        <v>0.39933600000000002</v>
      </c>
      <c r="I5" s="1">
        <v>-7.8991E-4</v>
      </c>
      <c r="J5" s="1">
        <v>1.6055079999999999E-2</v>
      </c>
      <c r="K5" s="1">
        <v>7.1170999999999998E-2</v>
      </c>
      <c r="L5" s="1">
        <v>-5.5115919999999999E-2</v>
      </c>
      <c r="M5" s="1">
        <v>1.292051E-2</v>
      </c>
      <c r="N5" s="1">
        <v>-2.6781059999999999E-2</v>
      </c>
      <c r="O5" s="1">
        <v>3.9701559999999997E-2</v>
      </c>
      <c r="R5">
        <f t="shared" ref="R5:R18" si="13">(D5-E5)/2</f>
        <v>-2.5269600000000086E-3</v>
      </c>
      <c r="S5">
        <f t="shared" si="4"/>
        <v>-3.9495999999999976E-4</v>
      </c>
      <c r="U5" s="8">
        <f t="shared" si="5"/>
        <v>1.6055079999999999E-2</v>
      </c>
      <c r="V5" s="8">
        <f t="shared" si="6"/>
        <v>1.292051E-2</v>
      </c>
      <c r="W5" s="8">
        <f t="shared" si="7"/>
        <v>7.1170999999999998E-2</v>
      </c>
      <c r="X5" s="8">
        <f t="shared" si="8"/>
        <v>-2.6781059999999999E-2</v>
      </c>
      <c r="Y5" s="9">
        <f t="shared" si="9"/>
        <v>1.180856578904784</v>
      </c>
      <c r="Z5" s="9">
        <f t="shared" si="10"/>
        <v>4.3611524154797694</v>
      </c>
      <c r="AA5" s="9">
        <f t="shared" si="11"/>
        <v>38.825771647691361</v>
      </c>
      <c r="AB5" s="9">
        <f t="shared" si="12"/>
        <v>38.820717707691358</v>
      </c>
    </row>
    <row r="6" spans="1:28" x14ac:dyDescent="0.25">
      <c r="A6">
        <v>4</v>
      </c>
      <c r="B6">
        <v>67.5</v>
      </c>
      <c r="C6">
        <v>25</v>
      </c>
      <c r="D6" s="1">
        <v>-0.23200196000000001</v>
      </c>
      <c r="E6" s="1">
        <v>-0.22716993999999999</v>
      </c>
      <c r="F6" s="1">
        <v>-4.8320100000000003E-3</v>
      </c>
      <c r="G6" s="1">
        <v>0.398538</v>
      </c>
      <c r="H6" s="1">
        <v>0.40018599999999999</v>
      </c>
      <c r="I6" s="1">
        <v>-1.6479800000000001E-3</v>
      </c>
      <c r="J6" s="1">
        <v>1.0273829999999999E-2</v>
      </c>
      <c r="K6" s="1">
        <v>7.6497350000000006E-2</v>
      </c>
      <c r="L6" s="1">
        <v>-6.6223519999999994E-2</v>
      </c>
      <c r="M6" s="1">
        <v>6.4433999999999997E-4</v>
      </c>
      <c r="N6" s="1">
        <v>-1.445488E-2</v>
      </c>
      <c r="O6" s="1">
        <v>1.509922E-2</v>
      </c>
      <c r="R6">
        <f t="shared" si="13"/>
        <v>-2.4160100000000101E-3</v>
      </c>
      <c r="S6">
        <f t="shared" si="4"/>
        <v>-8.2399999999999141E-4</v>
      </c>
      <c r="U6" s="8">
        <f t="shared" si="5"/>
        <v>1.0273829999999999E-2</v>
      </c>
      <c r="V6" s="8">
        <f t="shared" si="6"/>
        <v>6.4433999999999997E-4</v>
      </c>
      <c r="W6" s="8">
        <f t="shared" si="7"/>
        <v>7.6497350000000006E-2</v>
      </c>
      <c r="X6" s="8">
        <f t="shared" si="8"/>
        <v>-1.445488E-2</v>
      </c>
      <c r="Y6" s="9">
        <f t="shared" si="9"/>
        <v>0.58981406446785056</v>
      </c>
      <c r="Z6" s="9">
        <f t="shared" si="10"/>
        <v>4.4650554401545035</v>
      </c>
      <c r="AA6" s="9">
        <f t="shared" si="11"/>
        <v>3.5886979260435057</v>
      </c>
      <c r="AB6" s="9">
        <f t="shared" si="12"/>
        <v>3.5838659160435058</v>
      </c>
    </row>
    <row r="7" spans="1:28" x14ac:dyDescent="0.25">
      <c r="A7">
        <v>5</v>
      </c>
      <c r="B7">
        <v>90</v>
      </c>
      <c r="C7">
        <v>25</v>
      </c>
      <c r="D7" s="1">
        <v>-0.23298795999999999</v>
      </c>
      <c r="E7" s="1">
        <v>-0.22921194</v>
      </c>
      <c r="F7" s="1">
        <v>-3.7760300000000001E-3</v>
      </c>
      <c r="G7" s="1">
        <v>0.39511000000000002</v>
      </c>
      <c r="H7" s="1">
        <v>0.40277404</v>
      </c>
      <c r="I7" s="1">
        <v>-7.6640199999999997E-3</v>
      </c>
      <c r="J7" s="1">
        <v>1.059424E-2</v>
      </c>
      <c r="K7" s="1">
        <v>7.7103229999999995E-2</v>
      </c>
      <c r="L7" s="1">
        <v>-6.6508990000000004E-2</v>
      </c>
      <c r="M7" s="1">
        <v>-1.2913279999999999E-2</v>
      </c>
      <c r="N7" s="1">
        <v>-1.0451200000000001E-3</v>
      </c>
      <c r="O7" s="1">
        <v>-1.1868160000000001E-2</v>
      </c>
      <c r="R7">
        <f t="shared" si="13"/>
        <v>-1.8880099999999955E-3</v>
      </c>
      <c r="S7">
        <f t="shared" si="4"/>
        <v>-3.8320199999999915E-3</v>
      </c>
      <c r="U7" s="8">
        <f t="shared" si="5"/>
        <v>1.059424E-2</v>
      </c>
      <c r="V7" s="8">
        <f t="shared" si="6"/>
        <v>-1.2913279999999999E-2</v>
      </c>
      <c r="W7" s="8">
        <f t="shared" si="7"/>
        <v>7.7103229999999995E-2</v>
      </c>
      <c r="X7" s="8">
        <f t="shared" si="8"/>
        <v>-1.0451200000000001E-3</v>
      </c>
      <c r="Y7" s="9">
        <f t="shared" si="9"/>
        <v>0.95705678945368167</v>
      </c>
      <c r="Z7" s="9">
        <f t="shared" si="10"/>
        <v>4.4224855745039306</v>
      </c>
      <c r="AA7" s="9">
        <f t="shared" si="11"/>
        <v>309.36594463692796</v>
      </c>
      <c r="AB7" s="9">
        <f t="shared" si="12"/>
        <v>309.36216860692798</v>
      </c>
    </row>
    <row r="8" spans="1:28" x14ac:dyDescent="0.25">
      <c r="A8">
        <v>6</v>
      </c>
      <c r="B8">
        <v>112.5</v>
      </c>
      <c r="C8">
        <v>25</v>
      </c>
      <c r="D8" s="1">
        <v>-0.23141396</v>
      </c>
      <c r="E8" s="1">
        <v>-0.23087994000000001</v>
      </c>
      <c r="F8" s="1">
        <v>-5.3403000000000001E-4</v>
      </c>
      <c r="G8" s="1">
        <v>0.39424999999999999</v>
      </c>
      <c r="H8" s="1">
        <v>0.40202004000000002</v>
      </c>
      <c r="I8" s="1">
        <v>-7.7700299999999998E-3</v>
      </c>
      <c r="J8" s="1">
        <v>1.4741499999999999E-2</v>
      </c>
      <c r="K8" s="1">
        <v>7.1812109999999998E-2</v>
      </c>
      <c r="L8" s="1">
        <v>-5.7070599999999999E-2</v>
      </c>
      <c r="M8" s="1">
        <v>-2.5475979999999999E-2</v>
      </c>
      <c r="N8" s="1">
        <v>1.144775E-2</v>
      </c>
      <c r="O8" s="1">
        <v>-3.6923730000000002E-2</v>
      </c>
      <c r="R8">
        <f t="shared" si="13"/>
        <v>-2.6700999999999808E-4</v>
      </c>
      <c r="S8">
        <f t="shared" si="4"/>
        <v>-3.8850200000000168E-3</v>
      </c>
      <c r="U8" s="8">
        <f t="shared" si="5"/>
        <v>1.4741499999999999E-2</v>
      </c>
      <c r="V8" s="8">
        <f t="shared" si="6"/>
        <v>-2.5475979999999999E-2</v>
      </c>
      <c r="W8" s="8">
        <f t="shared" si="7"/>
        <v>7.1812109999999998E-2</v>
      </c>
      <c r="X8" s="8">
        <f t="shared" si="8"/>
        <v>1.144775E-2</v>
      </c>
      <c r="Y8" s="9">
        <f t="shared" si="9"/>
        <v>1.6866652075624431</v>
      </c>
      <c r="Z8" s="9">
        <f t="shared" si="10"/>
        <v>4.1701636400080959</v>
      </c>
      <c r="AA8" s="9">
        <f t="shared" si="11"/>
        <v>300.05552413926648</v>
      </c>
      <c r="AB8" s="9">
        <f t="shared" si="12"/>
        <v>300.0549901092665</v>
      </c>
    </row>
    <row r="9" spans="1:28" x14ac:dyDescent="0.25">
      <c r="A9">
        <v>7</v>
      </c>
      <c r="B9">
        <v>135</v>
      </c>
      <c r="C9">
        <v>25</v>
      </c>
      <c r="D9" s="1">
        <v>-0.22906795999999999</v>
      </c>
      <c r="E9" s="1">
        <v>-0.23075598</v>
      </c>
      <c r="F9" s="1">
        <v>1.6880300000000001E-3</v>
      </c>
      <c r="G9" s="1">
        <v>0.39381808000000001</v>
      </c>
      <c r="H9" s="1">
        <v>0.402586</v>
      </c>
      <c r="I9" s="1">
        <v>-8.7679000000000003E-3</v>
      </c>
      <c r="J9" s="1">
        <v>2.4108790000000001E-2</v>
      </c>
      <c r="K9" s="1">
        <v>6.2541799999999995E-2</v>
      </c>
      <c r="L9" s="1">
        <v>-3.8433019999999998E-2</v>
      </c>
      <c r="M9" s="1">
        <v>-3.5185939999999999E-2</v>
      </c>
      <c r="N9" s="1">
        <v>2.1150100000000002E-2</v>
      </c>
      <c r="O9" s="1">
        <v>-5.6336039999999997E-2</v>
      </c>
      <c r="R9">
        <f t="shared" si="13"/>
        <v>8.4401000000000614E-4</v>
      </c>
      <c r="S9">
        <f t="shared" si="4"/>
        <v>-4.3839599999999923E-3</v>
      </c>
      <c r="U9" s="8">
        <f t="shared" si="5"/>
        <v>2.4108790000000001E-2</v>
      </c>
      <c r="V9" s="8">
        <f t="shared" si="6"/>
        <v>-3.5185939999999999E-2</v>
      </c>
      <c r="W9" s="8">
        <f t="shared" si="7"/>
        <v>6.2541799999999995E-2</v>
      </c>
      <c r="X9" s="8">
        <f t="shared" si="8"/>
        <v>2.1150100000000002E-2</v>
      </c>
      <c r="Y9" s="9">
        <f t="shared" si="9"/>
        <v>2.4445823394494814</v>
      </c>
      <c r="Z9" s="9">
        <f t="shared" si="10"/>
        <v>3.7854915660279715</v>
      </c>
      <c r="AA9" s="9">
        <f t="shared" si="11"/>
        <v>304.41825941191519</v>
      </c>
      <c r="AB9" s="9">
        <f t="shared" si="12"/>
        <v>304.41994744191521</v>
      </c>
    </row>
    <row r="10" spans="1:28" x14ac:dyDescent="0.25">
      <c r="A10">
        <v>8</v>
      </c>
      <c r="B10">
        <v>157.5</v>
      </c>
      <c r="C10">
        <v>25</v>
      </c>
      <c r="D10" s="1">
        <v>-0.22881598</v>
      </c>
      <c r="E10" s="1">
        <v>-0.23156594</v>
      </c>
      <c r="F10" s="1">
        <v>2.7499600000000001E-3</v>
      </c>
      <c r="G10" s="1">
        <v>0.39395200000000002</v>
      </c>
      <c r="H10" s="1">
        <v>0.40005400000000002</v>
      </c>
      <c r="I10" s="1">
        <v>-6.1019999999999998E-3</v>
      </c>
      <c r="J10" s="1">
        <v>3.6256940000000001E-2</v>
      </c>
      <c r="K10" s="1">
        <v>5.0314650000000002E-2</v>
      </c>
      <c r="L10" s="1">
        <v>-1.4057719999999999E-2</v>
      </c>
      <c r="M10" s="1">
        <v>-4.0569239999999999E-2</v>
      </c>
      <c r="N10" s="1">
        <v>2.6558689999999999E-2</v>
      </c>
      <c r="O10" s="1">
        <v>-6.7127930000000002E-2</v>
      </c>
      <c r="R10">
        <f>(D10-E10)/2</f>
        <v>1.3749799999999979E-3</v>
      </c>
      <c r="S10">
        <f t="shared" si="4"/>
        <v>-3.0509999999999982E-3</v>
      </c>
      <c r="U10" s="8">
        <f t="shared" si="5"/>
        <v>3.6256940000000001E-2</v>
      </c>
      <c r="V10" s="8">
        <f t="shared" si="6"/>
        <v>-4.0569239999999999E-2</v>
      </c>
      <c r="W10" s="8">
        <f t="shared" si="7"/>
        <v>5.0314650000000002E-2</v>
      </c>
      <c r="X10" s="8">
        <f t="shared" si="8"/>
        <v>2.6558689999999999E-2</v>
      </c>
      <c r="Y10" s="9">
        <f t="shared" si="9"/>
        <v>3.1189934903864751</v>
      </c>
      <c r="Z10" s="9">
        <f t="shared" si="10"/>
        <v>3.2615476562245522</v>
      </c>
      <c r="AA10" s="9">
        <f t="shared" si="11"/>
        <v>311.78732437449105</v>
      </c>
      <c r="AB10" s="9">
        <f t="shared" si="12"/>
        <v>311.79007433449107</v>
      </c>
    </row>
    <row r="11" spans="1:28" x14ac:dyDescent="0.25">
      <c r="A11">
        <v>9</v>
      </c>
      <c r="B11">
        <v>180</v>
      </c>
      <c r="C11">
        <v>25</v>
      </c>
      <c r="D11" s="1">
        <v>-0.22757395999999999</v>
      </c>
      <c r="E11" s="1">
        <v>-0.23628795999999999</v>
      </c>
      <c r="F11" s="1">
        <v>8.7139899999999996E-3</v>
      </c>
      <c r="G11" s="1">
        <v>0.39860208000000003</v>
      </c>
      <c r="H11" s="1">
        <v>0.40003003999999998</v>
      </c>
      <c r="I11" s="1">
        <v>-1.4279799999999999E-3</v>
      </c>
      <c r="J11" s="1">
        <v>4.9617679999999997E-2</v>
      </c>
      <c r="K11" s="1">
        <v>3.6835840000000002E-2</v>
      </c>
      <c r="L11" s="1">
        <v>1.2781839999999999E-2</v>
      </c>
      <c r="M11" s="1">
        <v>-4.0934669999999999E-2</v>
      </c>
      <c r="N11" s="1">
        <v>2.6922069999999999E-2</v>
      </c>
      <c r="O11" s="1">
        <v>-6.7856739999999999E-2</v>
      </c>
      <c r="R11">
        <f t="shared" si="13"/>
        <v>4.3569999999999998E-3</v>
      </c>
      <c r="S11">
        <f t="shared" si="4"/>
        <v>-7.1397999999997519E-4</v>
      </c>
      <c r="U11" s="8">
        <f t="shared" si="5"/>
        <v>4.9617679999999997E-2</v>
      </c>
      <c r="V11" s="8">
        <f t="shared" si="6"/>
        <v>-4.0934669999999999E-2</v>
      </c>
      <c r="W11" s="8">
        <f t="shared" si="7"/>
        <v>3.6835840000000002E-2</v>
      </c>
      <c r="X11" s="8">
        <f t="shared" si="8"/>
        <v>2.6922069999999999E-2</v>
      </c>
      <c r="Y11" s="9">
        <f t="shared" si="9"/>
        <v>3.6880330055512407</v>
      </c>
      <c r="Z11" s="9">
        <f t="shared" si="10"/>
        <v>2.615050573343086</v>
      </c>
      <c r="AA11" s="9">
        <f t="shared" si="11"/>
        <v>320.47731101308676</v>
      </c>
      <c r="AB11" s="9">
        <f t="shared" si="12"/>
        <v>320.48602500308675</v>
      </c>
    </row>
    <row r="12" spans="1:28" x14ac:dyDescent="0.25">
      <c r="A12">
        <v>10</v>
      </c>
      <c r="B12">
        <v>202.5</v>
      </c>
      <c r="C12">
        <v>25</v>
      </c>
      <c r="D12" s="1">
        <v>-0.22695802000000001</v>
      </c>
      <c r="E12" s="1">
        <v>-0.23423195999999999</v>
      </c>
      <c r="F12" s="1">
        <v>7.2739399999999996E-3</v>
      </c>
      <c r="G12" s="1">
        <v>0.39915410000000001</v>
      </c>
      <c r="H12" s="1">
        <v>0.39795195999999999</v>
      </c>
      <c r="I12" s="1">
        <v>1.20214E-3</v>
      </c>
      <c r="J12" s="1">
        <v>6.2113479999999999E-2</v>
      </c>
      <c r="K12" s="1">
        <v>2.426006E-2</v>
      </c>
      <c r="L12" s="1">
        <v>3.7853419999999999E-2</v>
      </c>
      <c r="M12" s="1">
        <v>-3.606289E-2</v>
      </c>
      <c r="N12" s="1">
        <v>2.2104780000000001E-2</v>
      </c>
      <c r="O12" s="1">
        <v>-5.8167679999999999E-2</v>
      </c>
      <c r="R12">
        <f t="shared" si="13"/>
        <v>3.6369699999999894E-3</v>
      </c>
      <c r="S12">
        <f t="shared" si="4"/>
        <v>6.010700000000091E-4</v>
      </c>
      <c r="U12" s="8">
        <f t="shared" si="5"/>
        <v>6.2113479999999999E-2</v>
      </c>
      <c r="V12" s="8">
        <f t="shared" si="6"/>
        <v>-3.606289E-2</v>
      </c>
      <c r="W12" s="8">
        <f t="shared" si="7"/>
        <v>2.426006E-2</v>
      </c>
      <c r="X12" s="8">
        <f t="shared" si="8"/>
        <v>2.2104780000000001E-2</v>
      </c>
      <c r="Y12" s="9">
        <f t="shared" si="9"/>
        <v>4.1187302784864448</v>
      </c>
      <c r="Z12" s="9">
        <f t="shared" si="10"/>
        <v>1.880802187129597</v>
      </c>
      <c r="AA12" s="9">
        <f t="shared" si="11"/>
        <v>329.86068516529923</v>
      </c>
      <c r="AB12" s="9">
        <f t="shared" si="12"/>
        <v>329.86795910529924</v>
      </c>
    </row>
    <row r="13" spans="1:28" x14ac:dyDescent="0.25">
      <c r="A13">
        <v>11</v>
      </c>
      <c r="B13">
        <v>225</v>
      </c>
      <c r="C13">
        <v>25</v>
      </c>
      <c r="D13" s="1">
        <v>-0.22847799999999999</v>
      </c>
      <c r="E13" s="1">
        <v>-0.23359798000000001</v>
      </c>
      <c r="F13" s="1">
        <v>5.1199799999999997E-3</v>
      </c>
      <c r="G13" s="1">
        <v>0.39983207999999998</v>
      </c>
      <c r="H13" s="1">
        <v>0.39486599999999999</v>
      </c>
      <c r="I13" s="1">
        <v>4.9660499999999996E-3</v>
      </c>
      <c r="J13" s="1">
        <v>7.1494329999999995E-2</v>
      </c>
      <c r="K13" s="1">
        <v>1.48959E-2</v>
      </c>
      <c r="L13" s="1">
        <v>5.659844E-2</v>
      </c>
      <c r="M13" s="1">
        <v>-2.6789750000000001E-2</v>
      </c>
      <c r="N13" s="1">
        <v>1.2868849999999999E-2</v>
      </c>
      <c r="O13" s="1">
        <v>-3.9658600000000002E-2</v>
      </c>
      <c r="R13">
        <f t="shared" si="13"/>
        <v>2.559990000000012E-3</v>
      </c>
      <c r="S13">
        <f t="shared" si="4"/>
        <v>2.4830399999999919E-3</v>
      </c>
      <c r="U13" s="8">
        <f t="shared" si="5"/>
        <v>7.1494329999999995E-2</v>
      </c>
      <c r="V13" s="8">
        <f t="shared" si="6"/>
        <v>-2.6789750000000001E-2</v>
      </c>
      <c r="W13" s="8">
        <f t="shared" si="7"/>
        <v>1.48959E-2</v>
      </c>
      <c r="X13" s="8">
        <f t="shared" si="8"/>
        <v>1.2868849999999999E-2</v>
      </c>
      <c r="Y13" s="9">
        <f t="shared" si="9"/>
        <v>4.3787215783114073</v>
      </c>
      <c r="Z13" s="9">
        <f t="shared" si="10"/>
        <v>1.1279343234050117</v>
      </c>
      <c r="AA13" s="9">
        <f t="shared" si="11"/>
        <v>339.45844640122823</v>
      </c>
      <c r="AB13" s="9">
        <f t="shared" si="12"/>
        <v>339.46356638122825</v>
      </c>
    </row>
    <row r="14" spans="1:28" x14ac:dyDescent="0.25">
      <c r="A14">
        <v>12</v>
      </c>
      <c r="B14">
        <v>247.5</v>
      </c>
      <c r="C14">
        <v>25</v>
      </c>
      <c r="D14" s="1">
        <v>-0.22800196</v>
      </c>
      <c r="E14" s="1">
        <v>-0.23256795999999999</v>
      </c>
      <c r="F14" s="1">
        <v>4.5660099999999997E-3</v>
      </c>
      <c r="G14" s="1">
        <v>0.40050604000000001</v>
      </c>
      <c r="H14" s="1">
        <v>0.39446199999999998</v>
      </c>
      <c r="I14" s="1">
        <v>6.0440299999999997E-3</v>
      </c>
      <c r="J14" s="1">
        <v>7.7113760000000003E-2</v>
      </c>
      <c r="K14" s="1">
        <v>9.5038099999999997E-3</v>
      </c>
      <c r="L14" s="1">
        <v>6.7609950000000002E-2</v>
      </c>
      <c r="M14" s="1">
        <v>-1.433838E-2</v>
      </c>
      <c r="N14" s="1">
        <v>6.1943000000000002E-4</v>
      </c>
      <c r="O14" s="1">
        <v>-1.495781E-2</v>
      </c>
      <c r="R14">
        <f t="shared" si="13"/>
        <v>2.2829999999999934E-3</v>
      </c>
      <c r="S14">
        <f t="shared" si="4"/>
        <v>3.0220200000000141E-3</v>
      </c>
      <c r="U14" s="8">
        <f t="shared" si="5"/>
        <v>7.7113760000000003E-2</v>
      </c>
      <c r="V14" s="8">
        <f t="shared" si="6"/>
        <v>-1.433838E-2</v>
      </c>
      <c r="W14" s="8">
        <f t="shared" si="7"/>
        <v>9.5038099999999997E-3</v>
      </c>
      <c r="X14" s="8">
        <f t="shared" si="8"/>
        <v>6.1943000000000002E-4</v>
      </c>
      <c r="Y14" s="9">
        <f t="shared" si="9"/>
        <v>4.4986414899023597</v>
      </c>
      <c r="Z14" s="9">
        <f t="shared" si="10"/>
        <v>0.54569181620311991</v>
      </c>
      <c r="AA14" s="9">
        <f t="shared" si="11"/>
        <v>349.46682443068414</v>
      </c>
      <c r="AB14" s="9">
        <f t="shared" si="12"/>
        <v>349.47139044068416</v>
      </c>
    </row>
    <row r="15" spans="1:28" x14ac:dyDescent="0.25">
      <c r="A15">
        <v>13</v>
      </c>
      <c r="B15">
        <v>270</v>
      </c>
      <c r="C15">
        <v>25</v>
      </c>
      <c r="D15" s="1">
        <v>-0.22936996000000001</v>
      </c>
      <c r="E15" s="1">
        <v>-0.23119598</v>
      </c>
      <c r="F15" s="1">
        <v>1.82602E-3</v>
      </c>
      <c r="G15" s="1">
        <v>0.40037603999999999</v>
      </c>
      <c r="H15" s="1">
        <v>0.39618604000000002</v>
      </c>
      <c r="I15" s="1">
        <v>4.1900000000000001E-3</v>
      </c>
      <c r="J15" s="1">
        <v>7.7553129999999998E-2</v>
      </c>
      <c r="K15" s="1">
        <v>8.9210000000000001E-3</v>
      </c>
      <c r="L15" s="1">
        <v>6.863213E-2</v>
      </c>
      <c r="M15" s="1">
        <v>-1.0090800000000001E-3</v>
      </c>
      <c r="N15" s="1">
        <v>-1.292461E-2</v>
      </c>
      <c r="O15" s="1">
        <v>1.1915530000000001E-2</v>
      </c>
      <c r="R15">
        <f t="shared" si="13"/>
        <v>9.1300999999999188E-4</v>
      </c>
      <c r="S15">
        <f t="shared" si="4"/>
        <v>2.0949999999999858E-3</v>
      </c>
      <c r="U15" s="8">
        <f t="shared" si="5"/>
        <v>7.7553129999999998E-2</v>
      </c>
      <c r="V15" s="8">
        <f t="shared" si="6"/>
        <v>-1.0090800000000001E-3</v>
      </c>
      <c r="W15" s="8">
        <f t="shared" si="7"/>
        <v>8.9210000000000001E-3</v>
      </c>
      <c r="X15" s="8">
        <f t="shared" si="8"/>
        <v>-1.292461E-2</v>
      </c>
      <c r="Y15" s="9">
        <f t="shared" si="9"/>
        <v>4.4483105882893037</v>
      </c>
      <c r="Z15" s="9">
        <f t="shared" si="10"/>
        <v>0.89983575844801722</v>
      </c>
      <c r="AA15" s="9">
        <f t="shared" si="11"/>
        <v>359.25453991599511</v>
      </c>
      <c r="AB15" s="9">
        <f t="shared" si="12"/>
        <v>359.25636593599512</v>
      </c>
    </row>
    <row r="16" spans="1:28" x14ac:dyDescent="0.25">
      <c r="A16">
        <v>14</v>
      </c>
      <c r="B16">
        <v>292.5</v>
      </c>
      <c r="C16">
        <v>25</v>
      </c>
      <c r="D16" s="1">
        <v>-0.230156</v>
      </c>
      <c r="E16" s="1">
        <v>-0.22984795999999999</v>
      </c>
      <c r="F16" s="1">
        <v>-3.0802E-4</v>
      </c>
      <c r="G16" s="1">
        <v>0.39928399999999997</v>
      </c>
      <c r="H16" s="1">
        <v>0.39571600000000001</v>
      </c>
      <c r="I16" s="1">
        <v>3.5679900000000001E-3</v>
      </c>
      <c r="J16" s="1">
        <v>7.2591020000000006E-2</v>
      </c>
      <c r="K16" s="1">
        <v>1.393203E-2</v>
      </c>
      <c r="L16" s="1">
        <v>5.8658990000000001E-2</v>
      </c>
      <c r="M16" s="1">
        <v>1.15417E-2</v>
      </c>
      <c r="N16" s="1">
        <v>-2.536445E-2</v>
      </c>
      <c r="O16" s="1">
        <v>3.6906149999999999E-2</v>
      </c>
      <c r="R16">
        <f t="shared" si="13"/>
        <v>-1.5402000000000471E-4</v>
      </c>
      <c r="S16">
        <f t="shared" si="4"/>
        <v>1.78399999999998E-3</v>
      </c>
      <c r="U16" s="8">
        <f t="shared" si="5"/>
        <v>7.2591020000000006E-2</v>
      </c>
      <c r="V16" s="8">
        <f t="shared" si="6"/>
        <v>1.15417E-2</v>
      </c>
      <c r="W16" s="8">
        <f t="shared" si="7"/>
        <v>1.393203E-2</v>
      </c>
      <c r="X16" s="8">
        <f t="shared" si="8"/>
        <v>-2.536445E-2</v>
      </c>
      <c r="Y16" s="9">
        <f t="shared" si="9"/>
        <v>4.2152037164514642</v>
      </c>
      <c r="Z16" s="9">
        <f t="shared" si="10"/>
        <v>1.6583052307047133</v>
      </c>
      <c r="AA16" s="9">
        <f t="shared" si="11"/>
        <v>9.0341930687265286</v>
      </c>
      <c r="AB16" s="9">
        <f t="shared" si="12"/>
        <v>9.0338850487265283</v>
      </c>
    </row>
    <row r="17" spans="1:28" x14ac:dyDescent="0.25">
      <c r="A17">
        <v>15</v>
      </c>
      <c r="B17">
        <v>315</v>
      </c>
      <c r="C17">
        <v>25</v>
      </c>
      <c r="D17" s="1">
        <v>-0.23248195999999999</v>
      </c>
      <c r="E17" s="1">
        <v>-0.22985396</v>
      </c>
      <c r="F17" s="1">
        <v>-2.6280000000000001E-3</v>
      </c>
      <c r="G17" s="1">
        <v>0.40209608000000002</v>
      </c>
      <c r="H17" s="1">
        <v>0.39451799999999998</v>
      </c>
      <c r="I17" s="1">
        <v>7.5780800000000001E-3</v>
      </c>
      <c r="J17" s="1">
        <v>6.3829880000000006E-2</v>
      </c>
      <c r="K17" s="1">
        <v>2.3339260000000001E-2</v>
      </c>
      <c r="L17" s="1">
        <v>4.0490619999999998E-2</v>
      </c>
      <c r="M17" s="1">
        <v>2.1130960000000001E-2</v>
      </c>
      <c r="N17" s="1">
        <v>-3.5107909999999999E-2</v>
      </c>
      <c r="O17" s="1">
        <v>5.6238860000000002E-2</v>
      </c>
      <c r="R17">
        <f t="shared" si="13"/>
        <v>-1.3139999999999957E-3</v>
      </c>
      <c r="S17">
        <f t="shared" si="4"/>
        <v>3.7890400000000213E-3</v>
      </c>
      <c r="U17" s="8">
        <f t="shared" si="5"/>
        <v>6.3829880000000006E-2</v>
      </c>
      <c r="V17" s="8">
        <f t="shared" si="6"/>
        <v>2.1130960000000001E-2</v>
      </c>
      <c r="W17" s="8">
        <f t="shared" si="7"/>
        <v>2.3339260000000001E-2</v>
      </c>
      <c r="X17" s="8">
        <f t="shared" si="8"/>
        <v>-3.5107909999999999E-2</v>
      </c>
      <c r="Y17" s="9">
        <f t="shared" si="9"/>
        <v>3.8552864964572415</v>
      </c>
      <c r="Z17" s="9">
        <f t="shared" si="10"/>
        <v>2.4161843647202721</v>
      </c>
      <c r="AA17" s="9">
        <f t="shared" si="11"/>
        <v>18.317188735747269</v>
      </c>
      <c r="AB17" s="9">
        <f t="shared" si="12"/>
        <v>18.314560735747268</v>
      </c>
    </row>
    <row r="18" spans="1:28" x14ac:dyDescent="0.25">
      <c r="A18">
        <v>16</v>
      </c>
      <c r="B18">
        <v>337.5</v>
      </c>
      <c r="C18">
        <v>25</v>
      </c>
      <c r="D18" s="1">
        <v>-0.23118195999999999</v>
      </c>
      <c r="E18" s="1">
        <v>-0.22563395999999999</v>
      </c>
      <c r="F18" s="1">
        <v>-5.54799E-3</v>
      </c>
      <c r="G18" s="1">
        <v>0.39998208000000002</v>
      </c>
      <c r="H18" s="1">
        <v>0.39796408</v>
      </c>
      <c r="I18" s="1">
        <v>2.0179999999999998E-3</v>
      </c>
      <c r="J18" s="1">
        <v>5.1518750000000002E-2</v>
      </c>
      <c r="K18" s="1">
        <v>3.5737110000000002E-2</v>
      </c>
      <c r="L18" s="1">
        <v>1.578164E-2</v>
      </c>
      <c r="M18" s="1">
        <v>2.6584279999999998E-2</v>
      </c>
      <c r="N18" s="1">
        <v>-4.064649E-2</v>
      </c>
      <c r="O18" s="1">
        <v>6.7230760000000001E-2</v>
      </c>
      <c r="R18">
        <f t="shared" si="13"/>
        <v>-2.7739999999999987E-3</v>
      </c>
      <c r="S18">
        <f t="shared" si="4"/>
        <v>1.0090000000000099E-3</v>
      </c>
      <c r="U18" s="8">
        <f t="shared" si="5"/>
        <v>5.1518750000000002E-2</v>
      </c>
      <c r="V18" s="8">
        <f t="shared" si="6"/>
        <v>2.6584279999999998E-2</v>
      </c>
      <c r="W18" s="8">
        <f t="shared" si="7"/>
        <v>3.5737110000000002E-2</v>
      </c>
      <c r="X18" s="8">
        <f t="shared" si="8"/>
        <v>-4.064649E-2</v>
      </c>
      <c r="Y18" s="9">
        <f t="shared" si="9"/>
        <v>3.3234898502225341</v>
      </c>
      <c r="Z18" s="9">
        <f t="shared" si="10"/>
        <v>3.1025243381262615</v>
      </c>
      <c r="AA18" s="9">
        <f t="shared" si="11"/>
        <v>27.294265403769359</v>
      </c>
      <c r="AB18" s="9">
        <f t="shared" si="12"/>
        <v>27.288717413769358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T14-3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2026-08-02T16:46:25Z</dcterms:modified>
</cp:coreProperties>
</file>