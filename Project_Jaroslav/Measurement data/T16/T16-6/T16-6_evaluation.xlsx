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6\"/>
    </mc:Choice>
  </mc:AlternateContent>
  <xr:revisionPtr revIDLastSave="0" documentId="13_ncr:1_{630DE351-B6D2-4980-BC3F-D00BEB9A0BD8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AD52" i="1"/>
  <c r="AC52" i="1"/>
  <c r="V52" i="1"/>
  <c r="U52" i="1"/>
  <c r="M52" i="1"/>
  <c r="L52" i="1"/>
  <c r="K52" i="1"/>
  <c r="AD51" i="1"/>
  <c r="AC51" i="1"/>
  <c r="V51" i="1"/>
  <c r="U51" i="1"/>
  <c r="L51" i="1"/>
  <c r="K51" i="1"/>
  <c r="M51" i="1" s="1"/>
  <c r="AD50" i="1"/>
  <c r="AC50" i="1"/>
  <c r="V50" i="1"/>
  <c r="U50" i="1"/>
  <c r="M50" i="1"/>
  <c r="L50" i="1"/>
  <c r="K50" i="1"/>
  <c r="AD49" i="1"/>
  <c r="AC49" i="1"/>
  <c r="V49" i="1"/>
  <c r="U49" i="1"/>
  <c r="L49" i="1"/>
  <c r="K49" i="1"/>
  <c r="M49" i="1" s="1"/>
  <c r="AD48" i="1"/>
  <c r="AC48" i="1"/>
  <c r="V48" i="1"/>
  <c r="U48" i="1"/>
  <c r="M48" i="1"/>
  <c r="L48" i="1"/>
  <c r="K48" i="1"/>
  <c r="AD47" i="1"/>
  <c r="AC47" i="1"/>
  <c r="V47" i="1"/>
  <c r="U47" i="1"/>
  <c r="L47" i="1"/>
  <c r="K47" i="1"/>
  <c r="M47" i="1" s="1"/>
  <c r="AD46" i="1"/>
  <c r="AC46" i="1"/>
  <c r="V46" i="1"/>
  <c r="U46" i="1"/>
  <c r="L46" i="1"/>
  <c r="K46" i="1"/>
  <c r="M46" i="1" s="1"/>
  <c r="AD45" i="1"/>
  <c r="AC45" i="1"/>
  <c r="V45" i="1"/>
  <c r="U45" i="1"/>
  <c r="M45" i="1"/>
  <c r="L45" i="1"/>
  <c r="K45" i="1"/>
  <c r="AD44" i="1"/>
  <c r="AC44" i="1"/>
  <c r="V44" i="1"/>
  <c r="U44" i="1"/>
  <c r="L44" i="1"/>
  <c r="K44" i="1"/>
  <c r="M44" i="1" s="1"/>
  <c r="AD43" i="1"/>
  <c r="AC43" i="1"/>
  <c r="V43" i="1"/>
  <c r="U43" i="1"/>
  <c r="M43" i="1"/>
  <c r="L43" i="1"/>
  <c r="K43" i="1"/>
  <c r="AD42" i="1"/>
  <c r="AC42" i="1"/>
  <c r="V42" i="1"/>
  <c r="U42" i="1"/>
  <c r="L42" i="1"/>
  <c r="K42" i="1"/>
  <c r="M42" i="1" s="1"/>
  <c r="AD41" i="1"/>
  <c r="AC41" i="1"/>
  <c r="V41" i="1"/>
  <c r="U41" i="1"/>
  <c r="M41" i="1"/>
  <c r="L41" i="1"/>
  <c r="K41" i="1"/>
  <c r="AD40" i="1"/>
  <c r="AC40" i="1"/>
  <c r="V40" i="1"/>
  <c r="U40" i="1"/>
  <c r="L40" i="1"/>
  <c r="M40" i="1" s="1"/>
  <c r="K40" i="1"/>
  <c r="AD39" i="1"/>
  <c r="AC39" i="1"/>
  <c r="V39" i="1"/>
  <c r="U39" i="1"/>
  <c r="L39" i="1"/>
  <c r="K39" i="1"/>
  <c r="M39" i="1" s="1"/>
  <c r="AD38" i="1"/>
  <c r="AC38" i="1"/>
  <c r="V38" i="1"/>
  <c r="U38" i="1"/>
  <c r="M38" i="1"/>
  <c r="L38" i="1"/>
  <c r="K38" i="1"/>
  <c r="AD37" i="1"/>
  <c r="AC37" i="1"/>
  <c r="V37" i="1"/>
  <c r="U37" i="1"/>
  <c r="L37" i="1"/>
  <c r="K37" i="1"/>
  <c r="M37" i="1" s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G18" i="2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D8" i="1" l="1"/>
  <c r="AD34" i="1"/>
  <c r="AD33" i="1"/>
  <c r="AE28" i="1"/>
  <c r="AF28" i="1" s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<sst xmlns="http://schemas.openxmlformats.org/spreadsheetml/2006/main" count="118" uniqueCount="71">
  <si>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</si>
  <si>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</si>
  <si>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</si>
  <si>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</si>
  <si>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</si>
  <si>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</si>
  <si>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</si>
  <si>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</si>
  <si>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</si>
  <si>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</si>
  <si>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</si>
  <si>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</si>
  <si>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</si>
  <si>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</si>
  <si>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</si>
  <si>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</si>
  <si>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</si>
  <si>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</si>
  <si>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</si>
  <si>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</si>
  <si>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</si>
  <si>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</si>
  <si>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</si>
  <si>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</si>
  <si>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</si>
  <si>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</si>
  <si>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</si>
  <si>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</si>
  <si>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</si>
  <si>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</si>
  <si>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</si>
  <si>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</si>
  <si>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</si>
  <si>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</si>
  <si>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</si>
  <si>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</si>
  <si>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</si>
  <si>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</si>
  <si>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</si>
  <si>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</si>
  <si>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</si>
  <si>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</si>
  <si>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</si>
  <si>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</si>
  <si>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</si>
  <si>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</si>
  <si>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</si>
  <si>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</si>
  <si>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</si>
  <si>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</si>
  <si>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</si>
  <si>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</si>
  <si>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</si>
  <si>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</si>
  <si>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</si>
  <si>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</si>
  <si>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</si>
  <si>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</si>
  <si>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</si>
  <si>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</si>
  <si>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Azimuth-Dependence Test (Randomized 360° Step Scan)</t>
  </si>
  <si>
    <t>living room</t>
  </si>
  <si>
    <t>Deviation/
azimuth</t>
  </si>
  <si>
    <t>T16-6</t>
  </si>
  <si>
    <t>10°/0°</t>
  </si>
  <si>
    <t>10/0</t>
  </si>
  <si>
    <t>CCW</t>
  </si>
  <si>
    <t>CW</t>
  </si>
  <si>
    <t>- Test v různých místnostech
- Rotace ramene CW/CCW
- Náhodné azimuty pro celých 360°
- Různý azimut měřicí sestavy
- Různý azimut ramene při startu
- Různý náklon měřicí sestavy
- Oprava xA-xC na správný směr xC-xA</t>
  </si>
  <si>
    <t>(xC-xA)/2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</si>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</sst>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30"/>
      <color rgb="FF0070C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 textRotation="45"/>
    </xf>
    <xf numFmtId="0" fontId="9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'T16-6'!$U$2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'T16-6'!$C$3:$C$18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'T16-6'!$U$3:$U$18</c:f>
              <c:numCache>
                <c:formatCode>0.000000</c:formatCode>
                <c:ptCount val="16"/>
                <c:pt idx="0">
                  <c:v>-1.3363399999999914E-3</c:v>
                </c:pt>
                <c:pt idx="1">
                  <c:v>2.3970700000000011E-3</c:v>
                </c:pt>
                <c:pt idx="2">
                  <c:v>2.5249699999999875E-3</c:v>
                </c:pt>
                <c:pt idx="3">
                  <c:v>3.8857399999999986E-3</c:v>
                </c:pt>
                <c:pt idx="4">
                  <c:v>1.9300200000000045E-3</c:v>
                </c:pt>
                <c:pt idx="5">
                  <c:v>2.3766999999999816E-3</c:v>
                </c:pt>
                <c:pt idx="6">
                  <c:v>2.912510000000007E-3</c:v>
                </c:pt>
                <c:pt idx="7">
                  <c:v>-1.9764800000000027E-3</c:v>
                </c:pt>
                <c:pt idx="8">
                  <c:v>-2.8121999999999869E-4</c:v>
                </c:pt>
                <c:pt idx="9">
                  <c:v>-2.7461599999999975E-3</c:v>
                </c:pt>
                <c:pt idx="10">
                  <c:v>-5.5904200000000126E-3</c:v>
                </c:pt>
                <c:pt idx="11">
                  <c:v>-5.8983200000000124E-3</c:v>
                </c:pt>
                <c:pt idx="12">
                  <c:v>-4.5605700000000138E-3</c:v>
                </c:pt>
                <c:pt idx="13">
                  <c:v>-2.6354199999999994E-3</c:v>
                </c:pt>
                <c:pt idx="14">
                  <c:v>-3.1984699999999811E-3</c:v>
                </c:pt>
                <c:pt idx="15">
                  <c:v>4.5320000000015348E-5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'T16-6'!$V$2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'T16-6'!$C$3:$C$18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'T16-6'!$V$3:$V$18</c:f>
              <c:numCache>
                <c:formatCode>0.000000</c:formatCode>
                <c:ptCount val="16"/>
                <c:pt idx="0">
                  <c:v>-6.0181999999999736E-3</c:v>
                </c:pt>
                <c:pt idx="1">
                  <c:v>-2.052979999999982E-3</c:v>
                </c:pt>
                <c:pt idx="2">
                  <c:v>3.3057999999996923E-4</c:v>
                </c:pt>
                <c:pt idx="3">
                  <c:v>1.955399999999996E-3</c:v>
                </c:pt>
                <c:pt idx="4">
                  <c:v>3.3450100000000371E-3</c:v>
                </c:pt>
                <c:pt idx="5">
                  <c:v>3.9916999999999869E-3</c:v>
                </c:pt>
                <c:pt idx="6">
                  <c:v>2.024999999999999E-3</c:v>
                </c:pt>
                <c:pt idx="7">
                  <c:v>3.0543900000000179E-3</c:v>
                </c:pt>
                <c:pt idx="8">
                  <c:v>3.1687799999999822E-3</c:v>
                </c:pt>
                <c:pt idx="9">
                  <c:v>1.5076899999999505E-3</c:v>
                </c:pt>
                <c:pt idx="10">
                  <c:v>-1.9230500000000372E-3</c:v>
                </c:pt>
                <c:pt idx="11">
                  <c:v>-1.4833599999999891E-3</c:v>
                </c:pt>
                <c:pt idx="12">
                  <c:v>-3.7385000000000335E-3</c:v>
                </c:pt>
                <c:pt idx="13">
                  <c:v>-2.375000000000016E-3</c:v>
                </c:pt>
                <c:pt idx="14">
                  <c:v>-3.1500700000000048E-3</c:v>
                </c:pt>
                <c:pt idx="15">
                  <c:v>-3.0781500000000017E-3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'T16-6'!$U$2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'T16-6'!$U$19:$U$34</c:f>
              <c:numCache>
                <c:formatCode>0.000000</c:formatCode>
                <c:ptCount val="16"/>
                <c:pt idx="0">
                  <c:v>2.5857199999999858E-3</c:v>
                </c:pt>
                <c:pt idx="1">
                  <c:v>1.1749800000000199E-3</c:v>
                </c:pt>
                <c:pt idx="2">
                  <c:v>2.5337500000000013E-3</c:v>
                </c:pt>
                <c:pt idx="3">
                  <c:v>3.0071399999999915E-3</c:v>
                </c:pt>
                <c:pt idx="4">
                  <c:v>2.150000000000013E-3</c:v>
                </c:pt>
                <c:pt idx="5">
                  <c:v>8.2503999999999911E-4</c:v>
                </c:pt>
                <c:pt idx="6">
                  <c:v>-5.3633000000000153E-4</c:v>
                </c:pt>
                <c:pt idx="7">
                  <c:v>-7.9165000000000485E-4</c:v>
                </c:pt>
                <c:pt idx="8">
                  <c:v>-5.9541400000000244E-3</c:v>
                </c:pt>
                <c:pt idx="9">
                  <c:v>-1.2159499999999934E-3</c:v>
                </c:pt>
                <c:pt idx="10">
                  <c:v>-3.745040000000005E-3</c:v>
                </c:pt>
                <c:pt idx="11">
                  <c:v>-2.7453000000000061E-3</c:v>
                </c:pt>
                <c:pt idx="12">
                  <c:v>-3.0541699999999949E-3</c:v>
                </c:pt>
                <c:pt idx="13">
                  <c:v>-1.1318500000000176E-3</c:v>
                </c:pt>
                <c:pt idx="14">
                  <c:v>-2.8587300000000038E-3</c:v>
                </c:pt>
                <c:pt idx="15">
                  <c:v>8.9107999999998855E-4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D-4B21-80F7-36A201E986F9}"/>
            </c:ext>
          </c:extLst>
        </c:ser>
        <c:ser>
          <c:idx val="3"/>
          <c:order val="3"/>
          <c:tx>
            <c:strRef>
              <c:f>'T16-6'!$V$2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'T16-6'!$V$19:$V$34</c:f>
              <c:numCache>
                <c:formatCode>0.000000</c:formatCode>
                <c:ptCount val="16"/>
                <c:pt idx="0">
                  <c:v>-1.1250500000000163E-3</c:v>
                </c:pt>
                <c:pt idx="1">
                  <c:v>-4.2504999999998239E-4</c:v>
                </c:pt>
                <c:pt idx="2">
                  <c:v>-4.4874000000000303E-4</c:v>
                </c:pt>
                <c:pt idx="3">
                  <c:v>2.4760000000001448E-4</c:v>
                </c:pt>
                <c:pt idx="4">
                  <c:v>2.7147000000000143E-3</c:v>
                </c:pt>
                <c:pt idx="5">
                  <c:v>4.8588400000000309E-3</c:v>
                </c:pt>
                <c:pt idx="6">
                  <c:v>2.42502E-3</c:v>
                </c:pt>
                <c:pt idx="7">
                  <c:v>4.5846599999999627E-3</c:v>
                </c:pt>
                <c:pt idx="8">
                  <c:v>2.3333399999999616E-3</c:v>
                </c:pt>
                <c:pt idx="9">
                  <c:v>9.7500000000000364E-4</c:v>
                </c:pt>
                <c:pt idx="10">
                  <c:v>-1.6765999999999726E-3</c:v>
                </c:pt>
                <c:pt idx="11">
                  <c:v>-2.0343800000000023E-3</c:v>
                </c:pt>
                <c:pt idx="12">
                  <c:v>-6.9833699999999888E-3</c:v>
                </c:pt>
                <c:pt idx="13">
                  <c:v>-4.2091000000000212E-3</c:v>
                </c:pt>
                <c:pt idx="14">
                  <c:v>-4.1074999999999862E-3</c:v>
                </c:pt>
                <c:pt idx="15">
                  <c:v>-2.6946500000000206E-3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D-4B21-80F7-36A201E98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9.0000000000000028E-3"/>
          <c:min val="-9.0000000000000028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'T16-6'!$AC$2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'T16-6'!$AC$37:$AC$52</c:f>
              <c:numCache>
                <c:formatCode>General</c:formatCode>
                <c:ptCount val="16"/>
                <c:pt idx="0">
                  <c:v>10.815968950478437</c:v>
                </c:pt>
                <c:pt idx="1">
                  <c:v>9.7913921635510217</c:v>
                </c:pt>
                <c:pt idx="2">
                  <c:v>8.7220183577982322</c:v>
                </c:pt>
                <c:pt idx="3">
                  <c:v>7.8652475605151366</c:v>
                </c:pt>
                <c:pt idx="4">
                  <c:v>7.3810627493173149</c:v>
                </c:pt>
                <c:pt idx="5">
                  <c:v>7.6085821164508687</c:v>
                </c:pt>
                <c:pt idx="6">
                  <c:v>8.3074262314700853</c:v>
                </c:pt>
                <c:pt idx="7">
                  <c:v>9.2676920633379272</c:v>
                </c:pt>
                <c:pt idx="8">
                  <c:v>10.395923722429615</c:v>
                </c:pt>
                <c:pt idx="9">
                  <c:v>11.337227913428499</c:v>
                </c:pt>
                <c:pt idx="10">
                  <c:v>12.23017800076498</c:v>
                </c:pt>
                <c:pt idx="11">
                  <c:v>12.685667601773396</c:v>
                </c:pt>
                <c:pt idx="12">
                  <c:v>12.978203862424163</c:v>
                </c:pt>
                <c:pt idx="13">
                  <c:v>12.863267782459843</c:v>
                </c:pt>
                <c:pt idx="14">
                  <c:v>12.444924522521482</c:v>
                </c:pt>
                <c:pt idx="15">
                  <c:v>11.750869687356506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'T16-6'!$AD$2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'T16-6'!$AD$37:$AD$52</c:f>
              <c:numCache>
                <c:formatCode>General</c:formatCode>
                <c:ptCount val="16"/>
                <c:pt idx="0">
                  <c:v>10.346194401816712</c:v>
                </c:pt>
                <c:pt idx="1">
                  <c:v>11.303693036599778</c:v>
                </c:pt>
                <c:pt idx="2">
                  <c:v>12.174247152833136</c:v>
                </c:pt>
                <c:pt idx="3">
                  <c:v>12.710103456095405</c:v>
                </c:pt>
                <c:pt idx="4">
                  <c:v>12.964745675798035</c:v>
                </c:pt>
                <c:pt idx="5">
                  <c:v>12.89292768930925</c:v>
                </c:pt>
                <c:pt idx="6">
                  <c:v>12.44218083114707</c:v>
                </c:pt>
                <c:pt idx="7">
                  <c:v>11.748161344672344</c:v>
                </c:pt>
                <c:pt idx="8">
                  <c:v>10.80953172892656</c:v>
                </c:pt>
                <c:pt idx="9">
                  <c:v>9.7472697630403111</c:v>
                </c:pt>
                <c:pt idx="10">
                  <c:v>8.5789555250348428</c:v>
                </c:pt>
                <c:pt idx="11">
                  <c:v>7.8495187774501378</c:v>
                </c:pt>
                <c:pt idx="12">
                  <c:v>7.3017888995898117</c:v>
                </c:pt>
                <c:pt idx="13">
                  <c:v>7.5835160381129549</c:v>
                </c:pt>
                <c:pt idx="14">
                  <c:v>8.2456284834787361</c:v>
                </c:pt>
                <c:pt idx="15">
                  <c:v>9.2517596755764977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'T16-6'!$K$2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'T16-6'!$K$37:$K$52</c:f>
              <c:numCache>
                <c:formatCode>General</c:formatCode>
                <c:ptCount val="16"/>
                <c:pt idx="0">
                  <c:v>24.414999999999999</c:v>
                </c:pt>
                <c:pt idx="1">
                  <c:v>24.740000000000002</c:v>
                </c:pt>
                <c:pt idx="2">
                  <c:v>24.490000000000002</c:v>
                </c:pt>
                <c:pt idx="3">
                  <c:v>24.35</c:v>
                </c:pt>
                <c:pt idx="4">
                  <c:v>24.509999999999998</c:v>
                </c:pt>
                <c:pt idx="5">
                  <c:v>24.51</c:v>
                </c:pt>
                <c:pt idx="6">
                  <c:v>24.314999999999998</c:v>
                </c:pt>
                <c:pt idx="7">
                  <c:v>24.42</c:v>
                </c:pt>
                <c:pt idx="8">
                  <c:v>24.04</c:v>
                </c:pt>
                <c:pt idx="9">
                  <c:v>24.425000000000001</c:v>
                </c:pt>
                <c:pt idx="10">
                  <c:v>24.285</c:v>
                </c:pt>
                <c:pt idx="11">
                  <c:v>24.524999999999999</c:v>
                </c:pt>
                <c:pt idx="12">
                  <c:v>24.28</c:v>
                </c:pt>
                <c:pt idx="13">
                  <c:v>24.325000000000003</c:v>
                </c:pt>
                <c:pt idx="14">
                  <c:v>24.405000000000001</c:v>
                </c:pt>
                <c:pt idx="15">
                  <c:v>24.619999999999997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'T16-6'!$L$2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'T16-6'!$L$37:$L$52</c:f>
              <c:numCache>
                <c:formatCode>General</c:formatCode>
                <c:ptCount val="16"/>
                <c:pt idx="0">
                  <c:v>24.414999999999999</c:v>
                </c:pt>
                <c:pt idx="1">
                  <c:v>24.734999999999999</c:v>
                </c:pt>
                <c:pt idx="2">
                  <c:v>24.5</c:v>
                </c:pt>
                <c:pt idx="3">
                  <c:v>24.344999999999999</c:v>
                </c:pt>
                <c:pt idx="4">
                  <c:v>24.509999999999998</c:v>
                </c:pt>
                <c:pt idx="5">
                  <c:v>24.51</c:v>
                </c:pt>
                <c:pt idx="6">
                  <c:v>24.314999999999998</c:v>
                </c:pt>
                <c:pt idx="7">
                  <c:v>24.42</c:v>
                </c:pt>
                <c:pt idx="8">
                  <c:v>24.05</c:v>
                </c:pt>
                <c:pt idx="9">
                  <c:v>24.43</c:v>
                </c:pt>
                <c:pt idx="10">
                  <c:v>24.285</c:v>
                </c:pt>
                <c:pt idx="11">
                  <c:v>24.52</c:v>
                </c:pt>
                <c:pt idx="12">
                  <c:v>24.27</c:v>
                </c:pt>
                <c:pt idx="13">
                  <c:v>24.324999999999999</c:v>
                </c:pt>
                <c:pt idx="14">
                  <c:v>24.42</c:v>
                </c:pt>
                <c:pt idx="15">
                  <c:v>24.619999999999997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'T16-6'!$D$2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'T16-6'!$C$3:$C$18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'T16-6'!$D$3:$D$18</c:f>
              <c:numCache>
                <c:formatCode>General</c:formatCode>
                <c:ptCount val="16"/>
                <c:pt idx="0">
                  <c:v>11</c:v>
                </c:pt>
                <c:pt idx="1">
                  <c:v>17</c:v>
                </c:pt>
                <c:pt idx="2">
                  <c:v>18</c:v>
                </c:pt>
                <c:pt idx="3">
                  <c:v>14</c:v>
                </c:pt>
                <c:pt idx="4">
                  <c:v>5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15</c:v>
                </c:pt>
                <c:pt idx="12">
                  <c:v>26</c:v>
                </c:pt>
                <c:pt idx="13">
                  <c:v>12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'T16-6'!$D$2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'T16-6'!$D$19:$D$34</c:f>
              <c:numCache>
                <c:formatCode>General</c:formatCode>
                <c:ptCount val="16"/>
                <c:pt idx="0">
                  <c:v>14</c:v>
                </c:pt>
                <c:pt idx="1">
                  <c:v>7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14</c:v>
                </c:pt>
                <c:pt idx="6">
                  <c:v>11</c:v>
                </c:pt>
                <c:pt idx="7">
                  <c:v>18</c:v>
                </c:pt>
                <c:pt idx="8">
                  <c:v>12</c:v>
                </c:pt>
                <c:pt idx="9">
                  <c:v>11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11</c:v>
                </c:pt>
                <c:pt idx="14">
                  <c:v>20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D-427B-9B97-7008F4D17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'T16-6'!$M$2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'T16-6'!$M$37:$M$52</c:f>
              <c:numCache>
                <c:formatCode>General</c:formatCode>
                <c:ptCount val="16"/>
                <c:pt idx="0">
                  <c:v>0</c:v>
                </c:pt>
                <c:pt idx="1">
                  <c:v>5.000000000002558E-3</c:v>
                </c:pt>
                <c:pt idx="2">
                  <c:v>-9.9999999999980105E-3</c:v>
                </c:pt>
                <c:pt idx="3">
                  <c:v>5.000000000002558E-3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-1.0000000000001563E-2</c:v>
                </c:pt>
                <c:pt idx="9">
                  <c:v>-4.9999999999990052E-3</c:v>
                </c:pt>
                <c:pt idx="10">
                  <c:v>0</c:v>
                </c:pt>
                <c:pt idx="11">
                  <c:v>4.9999999999990052E-3</c:v>
                </c:pt>
                <c:pt idx="12">
                  <c:v>1.0000000000001563E-2</c:v>
                </c:pt>
                <c:pt idx="13">
                  <c:v>0</c:v>
                </c:pt>
                <c:pt idx="14">
                  <c:v>-1.5000000000000568E-2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'T16-6'!$U$2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'T16-6'!$U$37:$U$52</c:f>
              <c:numCache>
                <c:formatCode>General</c:formatCode>
                <c:ptCount val="16"/>
                <c:pt idx="0">
                  <c:v>6.2468999999999719E-4</c:v>
                </c:pt>
                <c:pt idx="1">
                  <c:v>1.7860250000000105E-3</c:v>
                </c:pt>
                <c:pt idx="2">
                  <c:v>2.5293599999999944E-3</c:v>
                </c:pt>
                <c:pt idx="3">
                  <c:v>3.4464399999999951E-3</c:v>
                </c:pt>
                <c:pt idx="4">
                  <c:v>2.0400100000000088E-3</c:v>
                </c:pt>
                <c:pt idx="5">
                  <c:v>1.6008699999999904E-3</c:v>
                </c:pt>
                <c:pt idx="6">
                  <c:v>1.1880900000000028E-3</c:v>
                </c:pt>
                <c:pt idx="7">
                  <c:v>-1.3840650000000038E-3</c:v>
                </c:pt>
                <c:pt idx="8">
                  <c:v>-3.1176800000000116E-3</c:v>
                </c:pt>
                <c:pt idx="9">
                  <c:v>-1.9810549999999955E-3</c:v>
                </c:pt>
                <c:pt idx="10">
                  <c:v>-4.6677300000000088E-3</c:v>
                </c:pt>
                <c:pt idx="11">
                  <c:v>-4.3218100000000093E-3</c:v>
                </c:pt>
                <c:pt idx="12">
                  <c:v>-3.8073700000000044E-3</c:v>
                </c:pt>
                <c:pt idx="13">
                  <c:v>-1.8836350000000085E-3</c:v>
                </c:pt>
                <c:pt idx="14">
                  <c:v>-3.0285999999999924E-3</c:v>
                </c:pt>
                <c:pt idx="15">
                  <c:v>4.6820000000000195E-4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E68-47D4-84B7-BBF5FBC46A06}"/>
            </c:ext>
          </c:extLst>
        </c:ser>
        <c:ser>
          <c:idx val="1"/>
          <c:order val="1"/>
          <c:tx>
            <c:strRef>
              <c:f>'T16-6'!$V$2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'T16-6'!$C$37:$C$52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'T16-6'!$V$37:$V$52</c:f>
              <c:numCache>
                <c:formatCode>General</c:formatCode>
                <c:ptCount val="16"/>
                <c:pt idx="0">
                  <c:v>-3.5716249999999949E-3</c:v>
                </c:pt>
                <c:pt idx="1">
                  <c:v>-1.2390149999999822E-3</c:v>
                </c:pt>
                <c:pt idx="2">
                  <c:v>-5.9080000000016897E-5</c:v>
                </c:pt>
                <c:pt idx="3">
                  <c:v>1.1015000000000053E-3</c:v>
                </c:pt>
                <c:pt idx="4">
                  <c:v>3.0298550000000257E-3</c:v>
                </c:pt>
                <c:pt idx="5">
                  <c:v>4.4252700000000089E-3</c:v>
                </c:pt>
                <c:pt idx="6">
                  <c:v>2.2250099999999995E-3</c:v>
                </c:pt>
                <c:pt idx="7">
                  <c:v>3.8195249999999903E-3</c:v>
                </c:pt>
                <c:pt idx="8">
                  <c:v>2.7510599999999719E-3</c:v>
                </c:pt>
                <c:pt idx="9">
                  <c:v>1.2413449999999771E-3</c:v>
                </c:pt>
                <c:pt idx="10">
                  <c:v>-1.7998250000000049E-3</c:v>
                </c:pt>
                <c:pt idx="11">
                  <c:v>-1.7588699999999957E-3</c:v>
                </c:pt>
                <c:pt idx="12">
                  <c:v>-5.3609350000000111E-3</c:v>
                </c:pt>
                <c:pt idx="13">
                  <c:v>-3.2920500000000186E-3</c:v>
                </c:pt>
                <c:pt idx="14">
                  <c:v>-3.6287849999999955E-3</c:v>
                </c:pt>
                <c:pt idx="15">
                  <c:v>-2.8864000000000112E-3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68-47D4-84B7-BBF5FBC4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9.0000000000000028E-3"/>
          <c:min val="-9.0000000000000028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</xdr:colOff>
      <xdr:row>55</xdr:row>
      <xdr:rowOff>0</xdr:rowOff>
    </xdr:from>
    <xdr:to>
      <xdr:col>25</xdr:col>
      <xdr:colOff>1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700513-415A-4A5F-8CE4-353A06968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J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6" ht="15.75" customHeight="1" x14ac:dyDescent="0.25">
      <c r="A1" s="77" t="s">
        <v>29</v>
      </c>
      <c r="B1" s="77"/>
      <c r="C1" s="77" t="s">
        <v>63</v>
      </c>
      <c r="D1" s="77"/>
      <c r="E1" s="77" t="s">
        <v>60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AC1" s="26" t="s">
        <v>53</v>
      </c>
      <c r="AD1" s="27"/>
      <c r="AE1" s="27"/>
      <c r="AF1" s="27"/>
      <c r="AG1" s="28"/>
    </row>
    <row r="2" spans="1:36" ht="15.7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AC2" s="29"/>
      <c r="AD2" s="30"/>
      <c r="AE2" s="30"/>
      <c r="AF2" s="30"/>
      <c r="AG2" s="31"/>
    </row>
    <row r="4" spans="1:36" x14ac:dyDescent="0.25">
      <c r="A4" s="76" t="s">
        <v>30</v>
      </c>
      <c r="B4" s="76"/>
      <c r="C4" s="76"/>
      <c r="D4" s="76"/>
      <c r="E4" s="76"/>
      <c r="F4" s="76"/>
      <c r="G4" s="40">
        <v>0</v>
      </c>
      <c r="H4" s="41"/>
      <c r="I4" s="2" t="s">
        <v>18</v>
      </c>
      <c r="K4" s="78" t="s">
        <v>45</v>
      </c>
      <c r="L4" s="78"/>
      <c r="M4" s="78"/>
      <c r="N4" s="78"/>
      <c r="O4" s="78"/>
      <c r="P4" s="78"/>
      <c r="R4" s="78" t="s">
        <v>46</v>
      </c>
      <c r="S4" s="78"/>
      <c r="T4" s="78"/>
      <c r="U4" s="78"/>
      <c r="V4" s="78"/>
      <c r="W4" s="78"/>
      <c r="X4" s="78"/>
      <c r="Y4" s="78"/>
      <c r="AC4" s="69"/>
      <c r="AD4" s="34"/>
      <c r="AE4" s="72" t="s">
        <v>59</v>
      </c>
      <c r="AF4" s="34"/>
      <c r="AG4" s="69"/>
    </row>
    <row r="5" spans="1:36" ht="15.75" customHeight="1" x14ac:dyDescent="0.25">
      <c r="A5" s="37" t="s">
        <v>31</v>
      </c>
      <c r="B5" s="38"/>
      <c r="C5" s="38"/>
      <c r="D5" s="38"/>
      <c r="E5" s="38"/>
      <c r="F5" s="39"/>
      <c r="G5" s="40">
        <v>0</v>
      </c>
      <c r="H5" s="41"/>
      <c r="I5" s="2" t="s">
        <v>18</v>
      </c>
      <c r="K5" s="49" t="s">
        <v>68</v>
      </c>
      <c r="L5" s="50"/>
      <c r="M5" s="50"/>
      <c r="N5" s="50"/>
      <c r="O5" s="50"/>
      <c r="P5" s="51"/>
      <c r="R5" s="79" t="s">
        <v>48</v>
      </c>
      <c r="S5" s="79"/>
      <c r="T5" s="79"/>
      <c r="U5" s="79"/>
      <c r="V5" s="79"/>
      <c r="W5" s="79"/>
      <c r="X5" s="79"/>
      <c r="Y5" s="79"/>
      <c r="AC5" s="69"/>
      <c r="AD5" s="34"/>
      <c r="AE5" s="72"/>
      <c r="AF5" s="34"/>
      <c r="AG5" s="69"/>
    </row>
    <row r="6" spans="1:36" x14ac:dyDescent="0.25">
      <c r="A6" s="76" t="s">
        <v>32</v>
      </c>
      <c r="B6" s="76"/>
      <c r="C6" s="76"/>
      <c r="D6" s="76"/>
      <c r="E6" s="76"/>
      <c r="F6" s="76"/>
      <c r="G6" s="66" t="s">
        <v>65</v>
      </c>
      <c r="H6" s="66"/>
      <c r="I6" s="2" t="s">
        <v>24</v>
      </c>
      <c r="K6" s="52"/>
      <c r="L6" s="53"/>
      <c r="M6" s="53"/>
      <c r="N6" s="53"/>
      <c r="O6" s="53"/>
      <c r="P6" s="54"/>
      <c r="R6" s="79"/>
      <c r="S6" s="79"/>
      <c r="T6" s="79"/>
      <c r="U6" s="79"/>
      <c r="V6" s="79"/>
      <c r="W6" s="79"/>
      <c r="X6" s="79"/>
      <c r="Y6" s="79"/>
      <c r="AC6" s="69"/>
      <c r="AD6" s="34"/>
      <c r="AE6" s="72"/>
      <c r="AF6" s="34"/>
      <c r="AG6" s="69"/>
    </row>
    <row r="7" spans="1:36" ht="15.75" customHeight="1" x14ac:dyDescent="0.25">
      <c r="A7" s="37" t="s">
        <v>52</v>
      </c>
      <c r="B7" s="38"/>
      <c r="C7" s="38"/>
      <c r="D7" s="38"/>
      <c r="E7" s="38"/>
      <c r="F7" s="39"/>
      <c r="G7" s="40" t="s">
        <v>61</v>
      </c>
      <c r="H7" s="41"/>
      <c r="I7" s="2"/>
      <c r="K7" s="52"/>
      <c r="L7" s="53"/>
      <c r="M7" s="53"/>
      <c r="N7" s="53"/>
      <c r="O7" s="53"/>
      <c r="P7" s="54"/>
      <c r="R7" s="79"/>
      <c r="S7" s="79"/>
      <c r="T7" s="79"/>
      <c r="U7" s="79"/>
      <c r="V7" s="79"/>
      <c r="W7" s="79"/>
      <c r="X7" s="79"/>
      <c r="Y7" s="79"/>
      <c r="AC7" s="34"/>
      <c r="AD7" s="34"/>
      <c r="AE7" s="34"/>
      <c r="AF7" s="34"/>
      <c r="AG7" s="34"/>
    </row>
    <row r="8" spans="1:36" x14ac:dyDescent="0.25">
      <c r="A8" s="76" t="s">
        <v>15</v>
      </c>
      <c r="B8" s="76"/>
      <c r="C8" s="76"/>
      <c r="D8" s="76"/>
      <c r="E8" s="76"/>
      <c r="F8" s="76"/>
      <c r="G8" s="80">
        <f>360/((23*60*60)+(56*60)+4.09)</f>
        <v>4.1780746480349299E-3</v>
      </c>
      <c r="H8" s="80"/>
      <c r="I8" s="2" t="s">
        <v>16</v>
      </c>
      <c r="K8" s="52"/>
      <c r="L8" s="53"/>
      <c r="M8" s="53"/>
      <c r="N8" s="53"/>
      <c r="O8" s="53"/>
      <c r="P8" s="54"/>
      <c r="R8" s="79"/>
      <c r="S8" s="79"/>
      <c r="T8" s="79"/>
      <c r="U8" s="79"/>
      <c r="V8" s="79"/>
      <c r="W8" s="79"/>
      <c r="X8" s="79"/>
      <c r="Y8" s="79"/>
      <c r="AC8" s="34"/>
      <c r="AD8" s="34"/>
      <c r="AE8" s="34"/>
      <c r="AF8" s="34"/>
      <c r="AG8" s="34"/>
    </row>
    <row r="9" spans="1:36" x14ac:dyDescent="0.25">
      <c r="A9" s="76" t="s">
        <v>17</v>
      </c>
      <c r="B9" s="76"/>
      <c r="C9" s="76"/>
      <c r="D9" s="76"/>
      <c r="E9" s="76"/>
      <c r="F9" s="76"/>
      <c r="G9" s="66" t="s">
        <v>70</v>
      </c>
      <c r="H9" s="66"/>
      <c r="I9" s="2" t="s">
        <v>18</v>
      </c>
      <c r="K9" s="52"/>
      <c r="L9" s="53"/>
      <c r="M9" s="53"/>
      <c r="N9" s="53"/>
      <c r="O9" s="53"/>
      <c r="P9" s="54"/>
      <c r="R9" s="79"/>
      <c r="S9" s="79"/>
      <c r="T9" s="79"/>
      <c r="U9" s="79"/>
      <c r="V9" s="79"/>
      <c r="W9" s="79"/>
      <c r="X9" s="79"/>
      <c r="Y9" s="79"/>
      <c r="AC9" s="34"/>
      <c r="AD9" s="35"/>
      <c r="AE9" s="35"/>
      <c r="AF9" s="35"/>
      <c r="AG9" s="34"/>
    </row>
    <row r="10" spans="1:36" ht="15.75" customHeight="1" x14ac:dyDescent="0.25">
      <c r="A10" s="61" t="s">
        <v>19</v>
      </c>
      <c r="B10" s="62"/>
      <c r="C10" s="62"/>
      <c r="D10" s="62"/>
      <c r="E10" s="62"/>
      <c r="F10" s="63"/>
      <c r="G10" s="64" t="e">
        <f>(COS(RADIANS(G9))*G8)</f>
        <v>#VALUE!</v>
      </c>
      <c r="H10" s="65"/>
      <c r="I10" s="3" t="s">
        <v>16</v>
      </c>
      <c r="K10" s="52"/>
      <c r="L10" s="53"/>
      <c r="M10" s="53"/>
      <c r="N10" s="53"/>
      <c r="O10" s="53"/>
      <c r="P10" s="54"/>
      <c r="R10" s="13"/>
      <c r="S10" s="13"/>
      <c r="T10" s="13"/>
      <c r="U10" s="13"/>
      <c r="V10" s="13"/>
      <c r="W10" s="13"/>
      <c r="X10" s="13"/>
      <c r="Y10" s="13"/>
      <c r="AC10" s="73" t="s">
        <v>49</v>
      </c>
      <c r="AD10" s="74"/>
      <c r="AE10" s="75" t="s">
        <v>51</v>
      </c>
      <c r="AF10" s="74"/>
      <c r="AG10" s="32" t="s">
        <v>49</v>
      </c>
      <c r="AI10" s="36" t="s">
        <v>62</v>
      </c>
      <c r="AJ10" s="36"/>
    </row>
    <row r="11" spans="1:36" ht="15.75" customHeight="1" x14ac:dyDescent="0.25">
      <c r="A11" s="76" t="s">
        <v>33</v>
      </c>
      <c r="B11" s="76"/>
      <c r="C11" s="76"/>
      <c r="D11" s="76"/>
      <c r="E11" s="76"/>
      <c r="F11" s="76"/>
      <c r="G11" s="66">
        <v>22.5</v>
      </c>
      <c r="H11" s="66"/>
      <c r="I11" s="2" t="s">
        <v>18</v>
      </c>
      <c r="K11" s="52"/>
      <c r="L11" s="53"/>
      <c r="M11" s="53"/>
      <c r="N11" s="53"/>
      <c r="O11" s="53"/>
      <c r="P11" s="54"/>
      <c r="R11" s="13"/>
      <c r="S11" s="13"/>
      <c r="T11" s="13"/>
      <c r="U11" s="13"/>
      <c r="V11" s="13"/>
      <c r="W11" s="13"/>
      <c r="X11" s="13"/>
      <c r="Y11" s="13"/>
      <c r="AC11" s="73"/>
      <c r="AD11" s="74"/>
      <c r="AE11" s="75"/>
      <c r="AF11" s="74"/>
      <c r="AG11" s="32"/>
      <c r="AI11" s="36"/>
      <c r="AJ11" s="36"/>
    </row>
    <row r="12" spans="1:36" ht="15.75" customHeight="1" x14ac:dyDescent="0.25">
      <c r="A12" s="37" t="s">
        <v>34</v>
      </c>
      <c r="B12" s="38"/>
      <c r="C12" s="38"/>
      <c r="D12" s="38"/>
      <c r="E12" s="38"/>
      <c r="F12" s="39"/>
      <c r="G12" s="40">
        <f>360/G11</f>
        <v>16</v>
      </c>
      <c r="H12" s="41"/>
      <c r="I12" s="2"/>
      <c r="K12" s="52"/>
      <c r="L12" s="53"/>
      <c r="M12" s="53"/>
      <c r="N12" s="53"/>
      <c r="O12" s="53"/>
      <c r="P12" s="54"/>
      <c r="R12" s="8"/>
      <c r="S12" s="8"/>
      <c r="T12" s="8"/>
      <c r="U12" s="8"/>
      <c r="V12" s="8"/>
      <c r="W12" s="8"/>
      <c r="X12" s="8"/>
      <c r="Y12" s="8"/>
      <c r="AC12" s="73"/>
      <c r="AD12" s="74"/>
      <c r="AE12" s="75"/>
      <c r="AF12" s="74"/>
      <c r="AG12" s="32"/>
      <c r="AI12" s="36"/>
      <c r="AJ12" s="36"/>
    </row>
    <row r="13" spans="1:36" ht="15.75" customHeight="1" x14ac:dyDescent="0.25">
      <c r="A13" s="76" t="s">
        <v>20</v>
      </c>
      <c r="B13" s="76"/>
      <c r="C13" s="76"/>
      <c r="D13" s="76"/>
      <c r="E13" s="76"/>
      <c r="F13" s="76"/>
      <c r="G13" s="66" t="s">
        <v>47</v>
      </c>
      <c r="H13" s="66"/>
      <c r="I13" s="2"/>
      <c r="K13" s="52"/>
      <c r="L13" s="53"/>
      <c r="M13" s="53"/>
      <c r="N13" s="53"/>
      <c r="O13" s="53"/>
      <c r="P13" s="54"/>
      <c r="R13" s="81" t="s">
        <v>25</v>
      </c>
      <c r="S13" s="81"/>
      <c r="T13" s="81" t="s">
        <v>26</v>
      </c>
      <c r="U13" s="81"/>
      <c r="V13" s="81" t="s">
        <v>27</v>
      </c>
      <c r="W13" s="81"/>
      <c r="X13" s="81" t="s">
        <v>28</v>
      </c>
      <c r="Y13" s="81"/>
      <c r="AC13" s="48" t="s">
        <v>49</v>
      </c>
      <c r="AD13" s="42"/>
      <c r="AE13" s="42" t="s">
        <v>50</v>
      </c>
      <c r="AF13" s="42"/>
      <c r="AG13" s="33" t="s">
        <v>49</v>
      </c>
      <c r="AH13" s="24" t="s">
        <v>51</v>
      </c>
      <c r="AI13" s="25" t="s">
        <v>64</v>
      </c>
      <c r="AJ13" s="25"/>
    </row>
    <row r="14" spans="1:36" ht="15.75" customHeight="1" x14ac:dyDescent="0.25">
      <c r="A14" s="37" t="s">
        <v>21</v>
      </c>
      <c r="B14" s="38"/>
      <c r="C14" s="38"/>
      <c r="D14" s="38"/>
      <c r="E14" s="38"/>
      <c r="F14" s="39"/>
      <c r="G14" s="40">
        <v>480</v>
      </c>
      <c r="H14" s="41"/>
      <c r="I14" s="2"/>
      <c r="K14" s="52"/>
      <c r="L14" s="53"/>
      <c r="M14" s="53"/>
      <c r="N14" s="53"/>
      <c r="O14" s="53"/>
      <c r="P14" s="54"/>
      <c r="R14" s="81"/>
      <c r="S14" s="81"/>
      <c r="T14" s="81"/>
      <c r="U14" s="81"/>
      <c r="V14" s="81"/>
      <c r="W14" s="81"/>
      <c r="X14" s="81"/>
      <c r="Y14" s="81"/>
      <c r="AC14" s="48"/>
      <c r="AD14" s="43"/>
      <c r="AE14" s="43"/>
      <c r="AF14" s="43"/>
      <c r="AG14" s="33"/>
      <c r="AH14" s="24"/>
      <c r="AI14" s="25"/>
      <c r="AJ14" s="25"/>
    </row>
    <row r="15" spans="1:36" ht="15.75" customHeight="1" x14ac:dyDescent="0.25">
      <c r="A15" s="37" t="s">
        <v>22</v>
      </c>
      <c r="B15" s="38"/>
      <c r="C15" s="38"/>
      <c r="D15" s="38"/>
      <c r="E15" s="38"/>
      <c r="F15" s="39"/>
      <c r="G15" s="40">
        <v>200</v>
      </c>
      <c r="H15" s="41"/>
      <c r="I15" s="2"/>
      <c r="K15" s="52"/>
      <c r="L15" s="53"/>
      <c r="M15" s="53"/>
      <c r="N15" s="53"/>
      <c r="O15" s="53"/>
      <c r="P15" s="54"/>
      <c r="R15" s="81"/>
      <c r="S15" s="81"/>
      <c r="T15" s="81"/>
      <c r="U15" s="81"/>
      <c r="V15" s="81"/>
      <c r="W15" s="81"/>
      <c r="X15" s="81"/>
      <c r="Y15" s="81"/>
      <c r="AC15" s="48"/>
      <c r="AD15" s="44"/>
      <c r="AE15" s="44"/>
      <c r="AF15" s="44"/>
      <c r="AG15" s="33"/>
      <c r="AH15" s="24"/>
      <c r="AI15" s="25"/>
      <c r="AJ15" s="25"/>
    </row>
    <row r="16" spans="1:36" ht="15.75" customHeight="1" x14ac:dyDescent="0.25">
      <c r="A16" s="37" t="s">
        <v>23</v>
      </c>
      <c r="B16" s="38"/>
      <c r="C16" s="38"/>
      <c r="D16" s="38"/>
      <c r="E16" s="38"/>
      <c r="F16" s="39"/>
      <c r="G16" s="40">
        <v>50</v>
      </c>
      <c r="H16" s="41"/>
      <c r="I16" s="2"/>
      <c r="K16" s="52"/>
      <c r="L16" s="53"/>
      <c r="M16" s="53"/>
      <c r="N16" s="53"/>
      <c r="O16" s="53"/>
      <c r="P16" s="54"/>
      <c r="R16" s="81"/>
      <c r="S16" s="81"/>
      <c r="T16" s="81"/>
      <c r="U16" s="81"/>
      <c r="V16" s="81"/>
      <c r="W16" s="81"/>
      <c r="X16" s="81"/>
      <c r="Y16" s="81"/>
      <c r="AC16" s="48" t="s">
        <v>49</v>
      </c>
      <c r="AD16" s="45"/>
      <c r="AE16" s="42" t="s">
        <v>49</v>
      </c>
      <c r="AF16" s="42"/>
      <c r="AG16" s="33" t="s">
        <v>49</v>
      </c>
    </row>
    <row r="17" spans="1:33" ht="15.75" customHeight="1" x14ac:dyDescent="0.25">
      <c r="A17" s="58" t="s">
        <v>36</v>
      </c>
      <c r="B17" s="59"/>
      <c r="C17" s="59"/>
      <c r="D17" s="59"/>
      <c r="E17" s="59"/>
      <c r="F17" s="60"/>
      <c r="G17" s="83">
        <v>400</v>
      </c>
      <c r="H17" s="84"/>
      <c r="I17" s="4" t="s">
        <v>18</v>
      </c>
      <c r="K17" s="52"/>
      <c r="L17" s="53"/>
      <c r="M17" s="53"/>
      <c r="N17" s="53"/>
      <c r="O17" s="53"/>
      <c r="P17" s="54"/>
      <c r="R17" s="82">
        <f>MIN('T16-6'!U3:U18)</f>
        <v>-5.8983200000000124E-3</v>
      </c>
      <c r="S17" s="82"/>
      <c r="T17" s="82">
        <f>MIN('T16-6'!V3:V18)</f>
        <v>-6.0181999999999736E-3</v>
      </c>
      <c r="U17" s="82"/>
      <c r="V17" s="82">
        <f>MAX('T16-6'!U3:U18)</f>
        <v>3.8857399999999986E-3</v>
      </c>
      <c r="W17" s="82"/>
      <c r="X17" s="82">
        <f>MAX('T16-6'!V3:V18)</f>
        <v>3.9916999999999869E-3</v>
      </c>
      <c r="Y17" s="82"/>
      <c r="AC17" s="48"/>
      <c r="AD17" s="46"/>
      <c r="AE17" s="43"/>
      <c r="AF17" s="43"/>
      <c r="AG17" s="33"/>
    </row>
    <row r="18" spans="1:33" ht="15.75" customHeight="1" x14ac:dyDescent="0.25">
      <c r="A18" s="58" t="s">
        <v>35</v>
      </c>
      <c r="B18" s="59"/>
      <c r="C18" s="59"/>
      <c r="D18" s="59"/>
      <c r="E18" s="59"/>
      <c r="F18" s="60"/>
      <c r="G18" s="83">
        <f>(G14*G15)*2</f>
        <v>192000</v>
      </c>
      <c r="H18" s="84"/>
      <c r="I18" s="2"/>
      <c r="K18" s="55"/>
      <c r="L18" s="56"/>
      <c r="M18" s="56"/>
      <c r="N18" s="56"/>
      <c r="O18" s="56"/>
      <c r="P18" s="57"/>
      <c r="R18" s="82"/>
      <c r="S18" s="82"/>
      <c r="T18" s="82"/>
      <c r="U18" s="82"/>
      <c r="V18" s="82"/>
      <c r="W18" s="82"/>
      <c r="X18" s="82"/>
      <c r="Y18" s="82"/>
      <c r="AC18" s="48"/>
      <c r="AD18" s="47"/>
      <c r="AE18" s="44"/>
      <c r="AF18" s="44"/>
      <c r="AG18" s="33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67" t="s">
        <v>49</v>
      </c>
      <c r="AD19" s="70" t="s">
        <v>49</v>
      </c>
      <c r="AE19" s="70" t="s">
        <v>49</v>
      </c>
      <c r="AF19" s="70" t="s">
        <v>49</v>
      </c>
      <c r="AG19" s="68" t="s">
        <v>49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67"/>
      <c r="AD20" s="71"/>
      <c r="AE20" s="71"/>
      <c r="AF20" s="71"/>
      <c r="AG20" s="68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67"/>
      <c r="AD21" s="71"/>
      <c r="AE21" s="71"/>
      <c r="AF21" s="71"/>
      <c r="AG21" s="68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9"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A1:B2"/>
    <mergeCell ref="C1:D2"/>
    <mergeCell ref="E1:Y2"/>
    <mergeCell ref="K4:P4"/>
    <mergeCell ref="A4:F4"/>
    <mergeCell ref="R4:Y4"/>
    <mergeCell ref="G11:H11"/>
    <mergeCell ref="G13:H13"/>
    <mergeCell ref="A9:F9"/>
    <mergeCell ref="A11:F11"/>
    <mergeCell ref="G4:H4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10:F10"/>
    <mergeCell ref="G10:H10"/>
    <mergeCell ref="G9:H9"/>
    <mergeCell ref="AH13:AH15"/>
    <mergeCell ref="AI13:AJ15"/>
    <mergeCell ref="AC1:AG2"/>
    <mergeCell ref="AG10:AG12"/>
    <mergeCell ref="AG13:AG15"/>
    <mergeCell ref="AC7:AC9"/>
    <mergeCell ref="AD7:AD9"/>
    <mergeCell ref="AE7:AE9"/>
    <mergeCell ref="AF7:AF9"/>
    <mergeCell ref="AG7:AG9"/>
    <mergeCell ref="AI10:AJ12"/>
  </mergeCells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workbookViewId="0">
      <selection activeCell="H30" sqref="H30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69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66</v>
      </c>
      <c r="C3" s="14">
        <v>0</v>
      </c>
      <c r="D3" s="14">
        <v>11</v>
      </c>
      <c r="E3" s="15">
        <v>-0.38232736</v>
      </c>
      <c r="F3" s="15">
        <v>-0.38500003999999999</v>
      </c>
      <c r="G3" s="15">
        <v>2.6727000000000001E-3</v>
      </c>
      <c r="H3" s="15">
        <v>0.5940318</v>
      </c>
      <c r="I3" s="15">
        <v>0.60606819999999995</v>
      </c>
      <c r="J3" s="15">
        <v>-1.2036379999999999E-2</v>
      </c>
      <c r="K3" s="18">
        <v>24.34</v>
      </c>
      <c r="L3" s="18">
        <v>24.34</v>
      </c>
      <c r="M3" s="18">
        <v>0</v>
      </c>
      <c r="N3" s="15">
        <v>4.6167880000000001E-2</v>
      </c>
      <c r="O3" s="15">
        <v>4.5329590000000003E-2</v>
      </c>
      <c r="P3" s="15">
        <v>8.3829E-4</v>
      </c>
      <c r="Q3" s="15">
        <v>-0.18119805999999999</v>
      </c>
      <c r="R3" s="15">
        <v>0.17373089999999999</v>
      </c>
      <c r="S3" s="15">
        <v>-0.35492896000000002</v>
      </c>
      <c r="T3" s="14"/>
      <c r="U3" s="15">
        <f>(F3-E3)/2</f>
        <v>-1.3363399999999914E-3</v>
      </c>
      <c r="V3" s="15">
        <f>(H3-I3)/2</f>
        <v>-6.0181999999999736E-3</v>
      </c>
      <c r="W3" s="15"/>
      <c r="X3" s="15"/>
      <c r="Y3" s="16">
        <f t="shared" ref="Y3:Y34" si="0">N3</f>
        <v>4.6167880000000001E-2</v>
      </c>
      <c r="Z3" s="16">
        <f t="shared" ref="Z3:Z34" si="1">Q3</f>
        <v>-0.18119805999999999</v>
      </c>
      <c r="AA3" s="16">
        <f t="shared" ref="AA3:AA34" si="2">O3</f>
        <v>4.5329590000000003E-2</v>
      </c>
      <c r="AB3" s="16">
        <f t="shared" ref="AB3:AB34" si="3">R3</f>
        <v>0.17373089999999999</v>
      </c>
      <c r="AC3" s="17">
        <f>IF(Y3="","",DEGREES(ASIN(SQRT(Y3^2+Z3^2))))</f>
        <v>10.777012142880128</v>
      </c>
      <c r="AD3" s="17">
        <f>IF(AA3="","",DEGREES(ASIN(SQRT(AA3^2+AB3^2))))</f>
        <v>10.343386655724405</v>
      </c>
      <c r="AE3" s="17">
        <f>IF(Y3="","",MOD(DEGREES(ATAN2(Y3,Z3)),360))</f>
        <v>284.29438036321466</v>
      </c>
      <c r="AF3" s="17">
        <f t="shared" ref="AF3:AF34" si="4">IF(Y3="","",MOD(F3+AE3,360))</f>
        <v>283.90938032321463</v>
      </c>
    </row>
    <row r="4" spans="1:32" x14ac:dyDescent="0.25">
      <c r="A4" s="14">
        <v>2</v>
      </c>
      <c r="B4" s="14" t="s">
        <v>66</v>
      </c>
      <c r="C4" s="14">
        <v>22.5</v>
      </c>
      <c r="D4" s="14">
        <v>17</v>
      </c>
      <c r="E4" s="15">
        <v>-0.38137650000000001</v>
      </c>
      <c r="F4" s="15">
        <v>-0.37658236</v>
      </c>
      <c r="G4" s="15">
        <v>-4.7941499999999996E-3</v>
      </c>
      <c r="H4" s="15">
        <v>0.57746755999999999</v>
      </c>
      <c r="I4" s="15">
        <v>0.58157351999999995</v>
      </c>
      <c r="J4" s="15">
        <v>-4.1059900000000003E-3</v>
      </c>
      <c r="K4" s="18">
        <v>24.62</v>
      </c>
      <c r="L4" s="18">
        <v>24.63</v>
      </c>
      <c r="M4" s="18">
        <v>-0.01</v>
      </c>
      <c r="N4" s="15">
        <v>-1.8060949999999999E-2</v>
      </c>
      <c r="O4" s="15">
        <v>0.11123835999999999</v>
      </c>
      <c r="P4" s="15">
        <v>-0.12929932</v>
      </c>
      <c r="Q4" s="15">
        <v>-0.16896412</v>
      </c>
      <c r="R4" s="15">
        <v>0.16134778</v>
      </c>
      <c r="S4" s="15">
        <v>-0.33031189999999999</v>
      </c>
      <c r="T4" s="14"/>
      <c r="U4" s="15">
        <f t="shared" ref="U4:U34" si="5">(F4-E4)/2</f>
        <v>2.3970700000000011E-3</v>
      </c>
      <c r="V4" s="15">
        <f t="shared" ref="V4:V34" si="6">(H4-I4)/2</f>
        <v>-2.052979999999982E-3</v>
      </c>
      <c r="W4" s="15"/>
      <c r="X4" s="15"/>
      <c r="Y4" s="16">
        <f t="shared" si="0"/>
        <v>-1.8060949999999999E-2</v>
      </c>
      <c r="Z4" s="16">
        <f t="shared" si="1"/>
        <v>-0.16896412</v>
      </c>
      <c r="AA4" s="16">
        <f t="shared" si="2"/>
        <v>0.11123835999999999</v>
      </c>
      <c r="AB4" s="16">
        <f t="shared" si="3"/>
        <v>0.16134778</v>
      </c>
      <c r="AC4" s="17">
        <f t="shared" ref="AC4:AC18" si="7">IF(Y4="","",DEGREES(ASIN(SQRT(Y4^2+Z4^2))))</f>
        <v>9.7835552823787371</v>
      </c>
      <c r="AD4" s="17">
        <f t="shared" ref="AD4:AD18" si="8">IF(AA4="","",DEGREES(ASIN(SQRT(AA4^2+AB4^2))))</f>
        <v>11.301816919220254</v>
      </c>
      <c r="AE4" s="17">
        <f t="shared" ref="AE4:AE18" si="9">IF(Y4="","",MOD(DEGREES(ATAN2(Y4,Z4)),360))</f>
        <v>263.89869424185116</v>
      </c>
      <c r="AF4" s="17">
        <f t="shared" si="4"/>
        <v>263.52211188185117</v>
      </c>
    </row>
    <row r="5" spans="1:32" x14ac:dyDescent="0.25">
      <c r="A5" s="14">
        <v>3</v>
      </c>
      <c r="B5" s="14" t="s">
        <v>66</v>
      </c>
      <c r="C5" s="14">
        <v>45</v>
      </c>
      <c r="D5" s="14">
        <v>18</v>
      </c>
      <c r="E5" s="15">
        <v>-0.38773609999999997</v>
      </c>
      <c r="F5" s="15">
        <v>-0.38268616</v>
      </c>
      <c r="G5" s="15">
        <v>-5.04997E-3</v>
      </c>
      <c r="H5" s="15">
        <v>0.59120839999999997</v>
      </c>
      <c r="I5" s="15">
        <v>0.59054724000000003</v>
      </c>
      <c r="J5" s="15">
        <v>6.6113000000000001E-4</v>
      </c>
      <c r="K5" s="18">
        <v>24.47</v>
      </c>
      <c r="L5" s="18">
        <v>24.48</v>
      </c>
      <c r="M5" s="18">
        <v>0</v>
      </c>
      <c r="N5" s="15">
        <v>-7.7432600000000004E-2</v>
      </c>
      <c r="O5" s="15">
        <v>0.17069551999999999</v>
      </c>
      <c r="P5" s="15">
        <v>-0.24812812000000001</v>
      </c>
      <c r="Q5" s="15">
        <v>-0.13065160000000001</v>
      </c>
      <c r="R5" s="15">
        <v>0.1237009</v>
      </c>
      <c r="S5" s="15">
        <v>-0.25435247999999999</v>
      </c>
      <c r="T5" s="14"/>
      <c r="U5" s="15">
        <f t="shared" si="5"/>
        <v>2.5249699999999875E-3</v>
      </c>
      <c r="V5" s="15">
        <f t="shared" si="6"/>
        <v>3.3057999999996923E-4</v>
      </c>
      <c r="W5" s="15"/>
      <c r="X5" s="15"/>
      <c r="Y5" s="16">
        <f t="shared" si="0"/>
        <v>-7.7432600000000004E-2</v>
      </c>
      <c r="Z5" s="16">
        <f t="shared" si="1"/>
        <v>-0.13065160000000001</v>
      </c>
      <c r="AA5" s="16">
        <f t="shared" si="2"/>
        <v>0.17069551999999999</v>
      </c>
      <c r="AB5" s="16">
        <f t="shared" si="3"/>
        <v>0.1237009</v>
      </c>
      <c r="AC5" s="17">
        <f t="shared" si="7"/>
        <v>8.7355310799841899</v>
      </c>
      <c r="AD5" s="17">
        <f t="shared" si="8"/>
        <v>12.16954886608036</v>
      </c>
      <c r="AE5" s="17">
        <f t="shared" si="9"/>
        <v>239.34627162961326</v>
      </c>
      <c r="AF5" s="17">
        <f t="shared" si="4"/>
        <v>238.96358546961326</v>
      </c>
    </row>
    <row r="6" spans="1:32" x14ac:dyDescent="0.25">
      <c r="A6" s="14">
        <v>4</v>
      </c>
      <c r="B6" s="14" t="s">
        <v>66</v>
      </c>
      <c r="C6" s="14">
        <v>67.5</v>
      </c>
      <c r="D6" s="14">
        <v>14</v>
      </c>
      <c r="E6" s="15">
        <v>-0.38794647999999998</v>
      </c>
      <c r="F6" s="15">
        <v>-0.38017499999999999</v>
      </c>
      <c r="G6" s="15">
        <v>-7.7714300000000002E-3</v>
      </c>
      <c r="H6" s="15">
        <v>0.59455360000000002</v>
      </c>
      <c r="I6" s="15">
        <v>0.59064280000000002</v>
      </c>
      <c r="J6" s="15">
        <v>3.91078E-3</v>
      </c>
      <c r="K6" s="18">
        <v>24.42</v>
      </c>
      <c r="L6" s="18">
        <v>24.41</v>
      </c>
      <c r="M6" s="18">
        <v>0.01</v>
      </c>
      <c r="N6" s="15">
        <v>-0.11601894</v>
      </c>
      <c r="O6" s="15">
        <v>0.21033188</v>
      </c>
      <c r="P6" s="15">
        <v>-0.3263508</v>
      </c>
      <c r="Q6" s="15">
        <v>-7.3200860000000006E-2</v>
      </c>
      <c r="R6" s="15">
        <v>6.5745499999999998E-2</v>
      </c>
      <c r="S6" s="15">
        <v>-0.13894635999999999</v>
      </c>
      <c r="T6" s="14"/>
      <c r="U6" s="15">
        <f t="shared" si="5"/>
        <v>3.8857399999999986E-3</v>
      </c>
      <c r="V6" s="15">
        <f t="shared" si="6"/>
        <v>1.955399999999996E-3</v>
      </c>
      <c r="W6" s="15"/>
      <c r="X6" s="15"/>
      <c r="Y6" s="16">
        <f t="shared" si="0"/>
        <v>-0.11601894</v>
      </c>
      <c r="Z6" s="16">
        <f t="shared" si="1"/>
        <v>-7.3200860000000006E-2</v>
      </c>
      <c r="AA6" s="16">
        <f t="shared" si="2"/>
        <v>0.21033188</v>
      </c>
      <c r="AB6" s="16">
        <f t="shared" si="3"/>
        <v>6.5745499999999998E-2</v>
      </c>
      <c r="AC6" s="17">
        <f t="shared" si="7"/>
        <v>7.8847836872708132</v>
      </c>
      <c r="AD6" s="17">
        <f t="shared" si="8"/>
        <v>12.730637000488388</v>
      </c>
      <c r="AE6" s="17">
        <f t="shared" si="9"/>
        <v>212.24942085425423</v>
      </c>
      <c r="AF6" s="17">
        <f t="shared" si="4"/>
        <v>211.86924585425422</v>
      </c>
    </row>
    <row r="7" spans="1:32" x14ac:dyDescent="0.25">
      <c r="A7" s="14">
        <v>5</v>
      </c>
      <c r="B7" s="14" t="s">
        <v>66</v>
      </c>
      <c r="C7" s="14">
        <v>90</v>
      </c>
      <c r="D7" s="14">
        <v>5</v>
      </c>
      <c r="E7" s="15">
        <v>-0.38673004</v>
      </c>
      <c r="F7" s="15">
        <v>-0.38286999999999999</v>
      </c>
      <c r="G7" s="15">
        <v>-3.86003E-3</v>
      </c>
      <c r="H7" s="15">
        <v>0.58617010000000003</v>
      </c>
      <c r="I7" s="15">
        <v>0.57948007999999995</v>
      </c>
      <c r="J7" s="15">
        <v>6.6900299999999996E-3</v>
      </c>
      <c r="K7" s="18">
        <v>24.57</v>
      </c>
      <c r="L7" s="18">
        <v>24.57</v>
      </c>
      <c r="M7" s="18">
        <v>0.01</v>
      </c>
      <c r="N7" s="15">
        <v>-0.12739598999999999</v>
      </c>
      <c r="O7" s="15">
        <v>0.22458397999999999</v>
      </c>
      <c r="P7" s="15">
        <v>-0.35197995999999998</v>
      </c>
      <c r="Q7" s="15">
        <v>-5.6284200000000003E-3</v>
      </c>
      <c r="R7" s="15">
        <v>-2.0400399999999999E-3</v>
      </c>
      <c r="S7" s="15">
        <v>-3.58838E-3</v>
      </c>
      <c r="T7" s="14"/>
      <c r="U7" s="15">
        <f t="shared" si="5"/>
        <v>1.9300200000000045E-3</v>
      </c>
      <c r="V7" s="15">
        <f t="shared" si="6"/>
        <v>3.3450100000000371E-3</v>
      </c>
      <c r="W7" s="15"/>
      <c r="X7" s="15"/>
      <c r="Y7" s="16">
        <f t="shared" si="0"/>
        <v>-0.12739598999999999</v>
      </c>
      <c r="Z7" s="16">
        <f t="shared" si="1"/>
        <v>-5.6284200000000003E-3</v>
      </c>
      <c r="AA7" s="16">
        <f t="shared" si="2"/>
        <v>0.22458397999999999</v>
      </c>
      <c r="AB7" s="16">
        <f t="shared" si="3"/>
        <v>-2.0400399999999999E-3</v>
      </c>
      <c r="AC7" s="17">
        <f t="shared" si="7"/>
        <v>7.3263211693160013</v>
      </c>
      <c r="AD7" s="17">
        <f t="shared" si="8"/>
        <v>12.978960684299242</v>
      </c>
      <c r="AE7" s="17">
        <f t="shared" si="9"/>
        <v>182.52971177132841</v>
      </c>
      <c r="AF7" s="17">
        <f t="shared" si="4"/>
        <v>182.14684177132841</v>
      </c>
    </row>
    <row r="8" spans="1:32" x14ac:dyDescent="0.25">
      <c r="A8" s="14">
        <v>6</v>
      </c>
      <c r="B8" s="14" t="s">
        <v>66</v>
      </c>
      <c r="C8" s="14">
        <v>112.5</v>
      </c>
      <c r="D8" s="14">
        <v>15</v>
      </c>
      <c r="E8" s="15">
        <v>-0.38484669999999999</v>
      </c>
      <c r="F8" s="15">
        <v>-0.38009330000000002</v>
      </c>
      <c r="G8" s="15">
        <v>-4.7533799999999998E-3</v>
      </c>
      <c r="H8" s="15">
        <v>0.59254669999999998</v>
      </c>
      <c r="I8" s="15">
        <v>0.58456330000000001</v>
      </c>
      <c r="J8" s="15">
        <v>7.9833899999999999E-3</v>
      </c>
      <c r="K8" s="18">
        <v>24.51</v>
      </c>
      <c r="L8" s="18">
        <v>24.51</v>
      </c>
      <c r="M8" s="18">
        <v>0</v>
      </c>
      <c r="N8" s="15">
        <v>-0.11765298</v>
      </c>
      <c r="O8" s="15">
        <v>0.21175308000000001</v>
      </c>
      <c r="P8" s="15">
        <v>-0.32940607999999999</v>
      </c>
      <c r="Q8" s="15">
        <v>6.1821620000000001E-2</v>
      </c>
      <c r="R8" s="15">
        <v>-6.9343589999999997E-2</v>
      </c>
      <c r="S8" s="15">
        <v>0.13116520000000001</v>
      </c>
      <c r="T8" s="14"/>
      <c r="U8" s="15">
        <f t="shared" si="5"/>
        <v>2.3766999999999816E-3</v>
      </c>
      <c r="V8" s="15">
        <f t="shared" si="6"/>
        <v>3.9916999999999869E-3</v>
      </c>
      <c r="W8" s="15"/>
      <c r="X8" s="15"/>
      <c r="Y8" s="16">
        <f t="shared" si="0"/>
        <v>-0.11765298</v>
      </c>
      <c r="Z8" s="16">
        <f t="shared" si="1"/>
        <v>6.1821620000000001E-2</v>
      </c>
      <c r="AA8" s="16">
        <f t="shared" si="2"/>
        <v>0.21175308000000001</v>
      </c>
      <c r="AB8" s="16">
        <f t="shared" si="3"/>
        <v>-6.9343589999999997E-2</v>
      </c>
      <c r="AC8" s="17">
        <f t="shared" si="7"/>
        <v>7.6375800083678342</v>
      </c>
      <c r="AD8" s="17">
        <f t="shared" si="8"/>
        <v>12.87460698747816</v>
      </c>
      <c r="AE8" s="17">
        <f t="shared" si="9"/>
        <v>152.27998997468944</v>
      </c>
      <c r="AF8" s="17">
        <f t="shared" si="4"/>
        <v>151.89989667468944</v>
      </c>
    </row>
    <row r="9" spans="1:32" x14ac:dyDescent="0.25">
      <c r="A9" s="14">
        <v>7</v>
      </c>
      <c r="B9" s="14" t="s">
        <v>66</v>
      </c>
      <c r="C9" s="14">
        <v>135</v>
      </c>
      <c r="D9" s="14">
        <v>16</v>
      </c>
      <c r="E9" s="15">
        <v>-0.39681252</v>
      </c>
      <c r="F9" s="15">
        <v>-0.39098749999999999</v>
      </c>
      <c r="G9" s="15">
        <v>-5.8250400000000001E-3</v>
      </c>
      <c r="H9" s="15">
        <v>0.61493129999999996</v>
      </c>
      <c r="I9" s="15">
        <v>0.61088129999999996</v>
      </c>
      <c r="J9" s="15">
        <v>4.04996E-3</v>
      </c>
      <c r="K9" s="18">
        <v>24.13</v>
      </c>
      <c r="L9" s="18">
        <v>24.13</v>
      </c>
      <c r="M9" s="18">
        <v>0</v>
      </c>
      <c r="N9" s="15">
        <v>-7.8891139999999998E-2</v>
      </c>
      <c r="O9" s="15">
        <v>0.17414934000000001</v>
      </c>
      <c r="P9" s="15">
        <v>-0.2530405</v>
      </c>
      <c r="Q9" s="15">
        <v>0.12142623</v>
      </c>
      <c r="R9" s="15">
        <v>-0.12819533999999999</v>
      </c>
      <c r="S9" s="15">
        <v>0.24962155999999999</v>
      </c>
      <c r="T9" s="14"/>
      <c r="U9" s="15">
        <f t="shared" si="5"/>
        <v>2.912510000000007E-3</v>
      </c>
      <c r="V9" s="15">
        <f t="shared" si="6"/>
        <v>2.024999999999999E-3</v>
      </c>
      <c r="W9" s="15"/>
      <c r="X9" s="15"/>
      <c r="Y9" s="16">
        <f t="shared" si="0"/>
        <v>-7.8891139999999998E-2</v>
      </c>
      <c r="Z9" s="16">
        <f t="shared" si="1"/>
        <v>0.12142623</v>
      </c>
      <c r="AA9" s="16">
        <f t="shared" si="2"/>
        <v>0.17414934000000001</v>
      </c>
      <c r="AB9" s="16">
        <f t="shared" si="3"/>
        <v>-0.12819533999999999</v>
      </c>
      <c r="AC9" s="17">
        <f t="shared" si="7"/>
        <v>8.3259180112439815</v>
      </c>
      <c r="AD9" s="17">
        <f t="shared" si="8"/>
        <v>12.488597662203194</v>
      </c>
      <c r="AE9" s="17">
        <f t="shared" si="9"/>
        <v>123.01195442558216</v>
      </c>
      <c r="AF9" s="17">
        <f t="shared" si="4"/>
        <v>122.62096692558217</v>
      </c>
    </row>
    <row r="10" spans="1:32" x14ac:dyDescent="0.25">
      <c r="A10" s="14">
        <v>8</v>
      </c>
      <c r="B10" s="14" t="s">
        <v>66</v>
      </c>
      <c r="C10" s="14">
        <v>157.5</v>
      </c>
      <c r="D10" s="14">
        <v>17</v>
      </c>
      <c r="E10" s="15">
        <v>-0.38098823999999998</v>
      </c>
      <c r="F10" s="15">
        <v>-0.38494119999999998</v>
      </c>
      <c r="G10" s="15">
        <v>3.9529500000000002E-3</v>
      </c>
      <c r="H10" s="15">
        <v>0.59494407999999999</v>
      </c>
      <c r="I10" s="15">
        <v>0.58883529999999995</v>
      </c>
      <c r="J10" s="15">
        <v>6.1087600000000004E-3</v>
      </c>
      <c r="K10" s="18">
        <v>24.45</v>
      </c>
      <c r="L10" s="18">
        <v>24.45</v>
      </c>
      <c r="M10" s="18">
        <v>0</v>
      </c>
      <c r="N10" s="15">
        <v>-2.2311439999999998E-2</v>
      </c>
      <c r="O10" s="15">
        <v>0.11655202000000001</v>
      </c>
      <c r="P10" s="15">
        <v>-0.13886345999999999</v>
      </c>
      <c r="Q10" s="15">
        <v>0.15949777000000001</v>
      </c>
      <c r="R10" s="15">
        <v>-0.16689898</v>
      </c>
      <c r="S10" s="15">
        <v>0.32639676000000001</v>
      </c>
      <c r="T10" s="14"/>
      <c r="U10" s="15">
        <f t="shared" si="5"/>
        <v>-1.9764800000000027E-3</v>
      </c>
      <c r="V10" s="15">
        <f t="shared" si="6"/>
        <v>3.0543900000000179E-3</v>
      </c>
      <c r="W10" s="15"/>
      <c r="X10" s="15"/>
      <c r="Y10" s="16">
        <f t="shared" si="0"/>
        <v>-2.2311439999999998E-2</v>
      </c>
      <c r="Z10" s="16">
        <f t="shared" si="1"/>
        <v>0.15949777000000001</v>
      </c>
      <c r="AA10" s="16">
        <f t="shared" si="2"/>
        <v>0.11655202000000001</v>
      </c>
      <c r="AB10" s="16">
        <f t="shared" si="3"/>
        <v>-0.16689898</v>
      </c>
      <c r="AC10" s="17">
        <f t="shared" si="7"/>
        <v>9.26788984274698</v>
      </c>
      <c r="AD10" s="17">
        <f t="shared" si="8"/>
        <v>11.745642605134231</v>
      </c>
      <c r="AE10" s="17">
        <f t="shared" si="9"/>
        <v>97.963181215236688</v>
      </c>
      <c r="AF10" s="17">
        <f t="shared" si="4"/>
        <v>97.578240015236688</v>
      </c>
    </row>
    <row r="11" spans="1:32" x14ac:dyDescent="0.25">
      <c r="A11" s="14">
        <v>9</v>
      </c>
      <c r="B11" s="14" t="s">
        <v>66</v>
      </c>
      <c r="C11" s="14">
        <v>180</v>
      </c>
      <c r="D11" s="14">
        <v>12</v>
      </c>
      <c r="E11" s="15">
        <v>-0.38891671999999999</v>
      </c>
      <c r="F11" s="15">
        <v>-0.38947915999999999</v>
      </c>
      <c r="G11" s="15">
        <v>5.6243000000000005E-4</v>
      </c>
      <c r="H11" s="15">
        <v>0.61455831999999999</v>
      </c>
      <c r="I11" s="15">
        <v>0.60822076000000003</v>
      </c>
      <c r="J11" s="15">
        <v>6.3375799999999998E-3</v>
      </c>
      <c r="K11" s="18">
        <v>24.11</v>
      </c>
      <c r="L11" s="18">
        <v>24.12</v>
      </c>
      <c r="M11" s="18">
        <v>-0.01</v>
      </c>
      <c r="N11" s="15">
        <v>4.718485E-2</v>
      </c>
      <c r="O11" s="15">
        <v>4.866007E-2</v>
      </c>
      <c r="P11" s="15">
        <v>-1.47522E-3</v>
      </c>
      <c r="Q11" s="15">
        <v>0.17377484000000001</v>
      </c>
      <c r="R11" s="15">
        <v>-0.18086772000000001</v>
      </c>
      <c r="S11" s="15">
        <v>0.35464256</v>
      </c>
      <c r="T11" s="14"/>
      <c r="U11" s="15">
        <f t="shared" si="5"/>
        <v>-2.8121999999999869E-4</v>
      </c>
      <c r="V11" s="15">
        <f t="shared" si="6"/>
        <v>3.1687799999999822E-3</v>
      </c>
      <c r="W11" s="15"/>
      <c r="X11" s="15"/>
      <c r="Y11" s="16">
        <f t="shared" si="0"/>
        <v>4.718485E-2</v>
      </c>
      <c r="Z11" s="16">
        <f t="shared" si="1"/>
        <v>0.17377484000000001</v>
      </c>
      <c r="AA11" s="16">
        <f t="shared" si="2"/>
        <v>4.866007E-2</v>
      </c>
      <c r="AB11" s="16">
        <f t="shared" si="3"/>
        <v>-0.18086772000000001</v>
      </c>
      <c r="AC11" s="17">
        <f t="shared" si="7"/>
        <v>10.373659250907437</v>
      </c>
      <c r="AD11" s="17">
        <f t="shared" si="8"/>
        <v>10.795201697105355</v>
      </c>
      <c r="AE11" s="17">
        <f t="shared" si="9"/>
        <v>74.808821551564193</v>
      </c>
      <c r="AF11" s="17">
        <f t="shared" si="4"/>
        <v>74.4193423915642</v>
      </c>
    </row>
    <row r="12" spans="1:32" x14ac:dyDescent="0.25">
      <c r="A12" s="14">
        <v>10</v>
      </c>
      <c r="B12" s="14" t="s">
        <v>66</v>
      </c>
      <c r="C12" s="14">
        <v>202.5</v>
      </c>
      <c r="D12" s="14">
        <v>13</v>
      </c>
      <c r="E12" s="15">
        <v>-0.3740192</v>
      </c>
      <c r="F12" s="15">
        <v>-0.37951151999999999</v>
      </c>
      <c r="G12" s="15">
        <v>5.4923300000000001E-3</v>
      </c>
      <c r="H12" s="15">
        <v>0.57959229999999995</v>
      </c>
      <c r="I12" s="15">
        <v>0.57657692000000005</v>
      </c>
      <c r="J12" s="15">
        <v>3.01534E-3</v>
      </c>
      <c r="K12" s="18">
        <v>24.69</v>
      </c>
      <c r="L12" s="18">
        <v>24.69</v>
      </c>
      <c r="M12" s="18">
        <v>-0.01</v>
      </c>
      <c r="N12" s="15">
        <v>0.11110916999999999</v>
      </c>
      <c r="O12" s="15">
        <v>-1.7431080000000002E-2</v>
      </c>
      <c r="P12" s="15">
        <v>0.12854024999999999</v>
      </c>
      <c r="Q12" s="15">
        <v>0.16139893999999999</v>
      </c>
      <c r="R12" s="15">
        <v>-0.16913912</v>
      </c>
      <c r="S12" s="15">
        <v>0.33053806000000002</v>
      </c>
      <c r="T12" s="14"/>
      <c r="U12" s="15">
        <f t="shared" si="5"/>
        <v>-2.7461599999999975E-3</v>
      </c>
      <c r="V12" s="15">
        <f t="shared" si="6"/>
        <v>1.5076899999999505E-3</v>
      </c>
      <c r="W12" s="15"/>
      <c r="X12" s="15"/>
      <c r="Y12" s="16">
        <f t="shared" si="0"/>
        <v>0.11110916999999999</v>
      </c>
      <c r="Z12" s="16">
        <f t="shared" si="1"/>
        <v>0.16139893999999999</v>
      </c>
      <c r="AA12" s="16">
        <f t="shared" si="2"/>
        <v>-1.7431080000000002E-2</v>
      </c>
      <c r="AB12" s="16">
        <f t="shared" si="3"/>
        <v>-0.16913912</v>
      </c>
      <c r="AC12" s="17">
        <f t="shared" si="7"/>
        <v>11.299996130691053</v>
      </c>
      <c r="AD12" s="17">
        <f t="shared" si="8"/>
        <v>9.7898511705711915</v>
      </c>
      <c r="AE12" s="17">
        <f t="shared" si="9"/>
        <v>55.455960591514689</v>
      </c>
      <c r="AF12" s="17">
        <f t="shared" si="4"/>
        <v>55.076449071514688</v>
      </c>
    </row>
    <row r="13" spans="1:32" x14ac:dyDescent="0.25">
      <c r="A13" s="14">
        <v>11</v>
      </c>
      <c r="B13" s="14" t="s">
        <v>66</v>
      </c>
      <c r="C13" s="14">
        <v>225</v>
      </c>
      <c r="D13" s="14">
        <v>13</v>
      </c>
      <c r="E13" s="15">
        <v>-0.38701535999999997</v>
      </c>
      <c r="F13" s="15">
        <v>-0.3981962</v>
      </c>
      <c r="G13" s="15">
        <v>1.1180819999999999E-2</v>
      </c>
      <c r="H13" s="15">
        <v>0.60924239999999996</v>
      </c>
      <c r="I13" s="15">
        <v>0.61308850000000004</v>
      </c>
      <c r="J13" s="15">
        <v>-3.8461099999999998E-3</v>
      </c>
      <c r="K13" s="18">
        <v>24.18</v>
      </c>
      <c r="L13" s="18">
        <v>24.17</v>
      </c>
      <c r="M13" s="18">
        <v>0</v>
      </c>
      <c r="N13" s="15">
        <v>0.17273250000000001</v>
      </c>
      <c r="O13" s="15">
        <v>-7.4051420000000007E-2</v>
      </c>
      <c r="P13" s="15">
        <v>0.2467839</v>
      </c>
      <c r="Q13" s="15">
        <v>0.12302865</v>
      </c>
      <c r="R13" s="15">
        <v>-0.12976598</v>
      </c>
      <c r="S13" s="15">
        <v>0.25279462000000003</v>
      </c>
      <c r="T13" s="14"/>
      <c r="U13" s="15">
        <f t="shared" si="5"/>
        <v>-5.5904200000000126E-3</v>
      </c>
      <c r="V13" s="15">
        <f t="shared" si="6"/>
        <v>-1.9230500000000372E-3</v>
      </c>
      <c r="W13" s="15"/>
      <c r="X13" s="15"/>
      <c r="Y13" s="16">
        <f t="shared" si="0"/>
        <v>0.17273250000000001</v>
      </c>
      <c r="Z13" s="16">
        <f t="shared" si="1"/>
        <v>0.12302865</v>
      </c>
      <c r="AA13" s="16">
        <f t="shared" si="2"/>
        <v>-7.4051420000000007E-2</v>
      </c>
      <c r="AB13" s="16">
        <f t="shared" si="3"/>
        <v>-0.12976598</v>
      </c>
      <c r="AC13" s="17">
        <f t="shared" si="7"/>
        <v>12.24353241004675</v>
      </c>
      <c r="AD13" s="17">
        <f t="shared" si="8"/>
        <v>8.5926348047642733</v>
      </c>
      <c r="AE13" s="17">
        <f t="shared" si="9"/>
        <v>35.460354149781729</v>
      </c>
      <c r="AF13" s="17">
        <f t="shared" si="4"/>
        <v>35.062157949781728</v>
      </c>
    </row>
    <row r="14" spans="1:32" x14ac:dyDescent="0.25">
      <c r="A14" s="14">
        <v>12</v>
      </c>
      <c r="B14" s="14" t="s">
        <v>66</v>
      </c>
      <c r="C14" s="14">
        <v>247.5</v>
      </c>
      <c r="D14" s="14">
        <v>15</v>
      </c>
      <c r="E14" s="15">
        <v>-0.37819007999999998</v>
      </c>
      <c r="F14" s="15">
        <v>-0.38998672000000001</v>
      </c>
      <c r="G14" s="15">
        <v>1.1796650000000001E-2</v>
      </c>
      <c r="H14" s="15">
        <v>0.59190668000000002</v>
      </c>
      <c r="I14" s="15">
        <v>0.5948734</v>
      </c>
      <c r="J14" s="15">
        <v>-2.9667600000000001E-3</v>
      </c>
      <c r="K14" s="18">
        <v>24.46</v>
      </c>
      <c r="L14" s="18">
        <v>24.45</v>
      </c>
      <c r="M14" s="18">
        <v>0</v>
      </c>
      <c r="N14" s="15">
        <v>0.20898896</v>
      </c>
      <c r="O14" s="15">
        <v>-0.11468863999999999</v>
      </c>
      <c r="P14" s="15">
        <v>0.32367760000000001</v>
      </c>
      <c r="Q14" s="15">
        <v>6.7269860000000001E-2</v>
      </c>
      <c r="R14" s="15">
        <v>-7.4848780000000004E-2</v>
      </c>
      <c r="S14" s="15">
        <v>0.14211863999999999</v>
      </c>
      <c r="T14" s="14"/>
      <c r="U14" s="15">
        <f t="shared" si="5"/>
        <v>-5.8983200000000124E-3</v>
      </c>
      <c r="V14" s="15">
        <f t="shared" si="6"/>
        <v>-1.4833599999999891E-3</v>
      </c>
      <c r="W14" s="15"/>
      <c r="X14" s="15"/>
      <c r="Y14" s="16">
        <f t="shared" si="0"/>
        <v>0.20898896</v>
      </c>
      <c r="Z14" s="16">
        <f t="shared" si="1"/>
        <v>6.7269860000000001E-2</v>
      </c>
      <c r="AA14" s="16">
        <f t="shared" si="2"/>
        <v>-0.11468863999999999</v>
      </c>
      <c r="AB14" s="16">
        <f t="shared" si="3"/>
        <v>-7.4848780000000004E-2</v>
      </c>
      <c r="AC14" s="17">
        <f t="shared" si="7"/>
        <v>12.682525733220929</v>
      </c>
      <c r="AD14" s="17">
        <f t="shared" si="8"/>
        <v>7.8715042237260633</v>
      </c>
      <c r="AE14" s="17">
        <f t="shared" si="9"/>
        <v>17.842451354918342</v>
      </c>
      <c r="AF14" s="17">
        <f t="shared" si="4"/>
        <v>17.452464634918343</v>
      </c>
    </row>
    <row r="15" spans="1:32" x14ac:dyDescent="0.25">
      <c r="A15" s="14">
        <v>13</v>
      </c>
      <c r="B15" s="14" t="s">
        <v>66</v>
      </c>
      <c r="C15" s="14">
        <v>270</v>
      </c>
      <c r="D15" s="14">
        <v>26</v>
      </c>
      <c r="E15" s="15">
        <v>-0.37622116</v>
      </c>
      <c r="F15" s="15">
        <v>-0.38534230000000003</v>
      </c>
      <c r="G15" s="15">
        <v>9.1211499999999997E-3</v>
      </c>
      <c r="H15" s="15">
        <v>0.58620775999999997</v>
      </c>
      <c r="I15" s="15">
        <v>0.59368476000000003</v>
      </c>
      <c r="J15" s="15">
        <v>-7.4769900000000002E-3</v>
      </c>
      <c r="K15" s="18">
        <v>24.5</v>
      </c>
      <c r="L15" s="18">
        <v>24.49</v>
      </c>
      <c r="M15" s="18">
        <v>0</v>
      </c>
      <c r="N15" s="15">
        <v>0.22260601999999999</v>
      </c>
      <c r="O15" s="15">
        <v>-0.12900410000000001</v>
      </c>
      <c r="P15" s="15">
        <v>0.35161012000000003</v>
      </c>
      <c r="Q15" s="15">
        <v>-1.2402299999999999E-3</v>
      </c>
      <c r="R15" s="15">
        <v>-6.47761E-3</v>
      </c>
      <c r="S15" s="15">
        <v>5.2373799999999998E-3</v>
      </c>
      <c r="T15" s="14"/>
      <c r="U15" s="15">
        <f t="shared" si="5"/>
        <v>-4.5605700000000138E-3</v>
      </c>
      <c r="V15" s="15">
        <f t="shared" si="6"/>
        <v>-3.7385000000000335E-3</v>
      </c>
      <c r="W15" s="15"/>
      <c r="X15" s="15"/>
      <c r="Y15" s="16">
        <f t="shared" si="0"/>
        <v>0.22260601999999999</v>
      </c>
      <c r="Z15" s="16">
        <f t="shared" si="1"/>
        <v>-1.2402299999999999E-3</v>
      </c>
      <c r="AA15" s="16">
        <f t="shared" si="2"/>
        <v>-0.12900410000000001</v>
      </c>
      <c r="AB15" s="16">
        <f t="shared" si="3"/>
        <v>-6.47761E-3</v>
      </c>
      <c r="AC15" s="17">
        <f t="shared" si="7"/>
        <v>12.862346395090018</v>
      </c>
      <c r="AD15" s="17">
        <f t="shared" si="8"/>
        <v>7.42143748095953</v>
      </c>
      <c r="AE15" s="17">
        <f t="shared" si="9"/>
        <v>359.6807848709999</v>
      </c>
      <c r="AF15" s="17">
        <f t="shared" si="4"/>
        <v>359.29544257099991</v>
      </c>
    </row>
    <row r="16" spans="1:32" x14ac:dyDescent="0.25">
      <c r="A16" s="14">
        <v>14</v>
      </c>
      <c r="B16" s="14" t="s">
        <v>66</v>
      </c>
      <c r="C16" s="14">
        <v>292.5</v>
      </c>
      <c r="D16" s="14">
        <v>12</v>
      </c>
      <c r="E16" s="15">
        <v>-0.38672087999999999</v>
      </c>
      <c r="F16" s="15">
        <v>-0.39199171999999999</v>
      </c>
      <c r="G16" s="15">
        <v>5.2708700000000004E-3</v>
      </c>
      <c r="H16" s="15">
        <v>0.60312504</v>
      </c>
      <c r="I16" s="15">
        <v>0.60787504000000003</v>
      </c>
      <c r="J16" s="15">
        <v>-4.7500099999999998E-3</v>
      </c>
      <c r="K16" s="18">
        <v>24.28</v>
      </c>
      <c r="L16" s="18">
        <v>24.27</v>
      </c>
      <c r="M16" s="18">
        <v>0.01</v>
      </c>
      <c r="N16" s="15">
        <v>0.21061969999999999</v>
      </c>
      <c r="O16" s="15">
        <v>-0.11696371999999999</v>
      </c>
      <c r="P16" s="15">
        <v>0.32758344</v>
      </c>
      <c r="Q16" s="15">
        <v>-7.0606890000000005E-2</v>
      </c>
      <c r="R16" s="15">
        <v>6.3142290000000004E-2</v>
      </c>
      <c r="S16" s="15">
        <v>-0.13374918</v>
      </c>
      <c r="T16" s="14"/>
      <c r="U16" s="15">
        <f t="shared" si="5"/>
        <v>-2.6354199999999994E-3</v>
      </c>
      <c r="V16" s="15">
        <f t="shared" si="6"/>
        <v>-2.375000000000016E-3</v>
      </c>
      <c r="W16" s="15"/>
      <c r="X16" s="15"/>
      <c r="Y16" s="16">
        <f t="shared" si="0"/>
        <v>0.21061969999999999</v>
      </c>
      <c r="Z16" s="16">
        <f t="shared" si="1"/>
        <v>-7.0606890000000005E-2</v>
      </c>
      <c r="AA16" s="16">
        <f t="shared" si="2"/>
        <v>-0.11696371999999999</v>
      </c>
      <c r="AB16" s="16">
        <f t="shared" si="3"/>
        <v>6.3142290000000004E-2</v>
      </c>
      <c r="AC16" s="17">
        <f t="shared" si="7"/>
        <v>12.834731699661472</v>
      </c>
      <c r="AD16" s="17">
        <f t="shared" si="8"/>
        <v>7.6383029129044235</v>
      </c>
      <c r="AE16" s="17">
        <f t="shared" si="9"/>
        <v>341.46709562298787</v>
      </c>
      <c r="AF16" s="17">
        <f t="shared" si="4"/>
        <v>341.07510390298785</v>
      </c>
    </row>
    <row r="17" spans="1:32" x14ac:dyDescent="0.25">
      <c r="A17" s="14">
        <v>15</v>
      </c>
      <c r="B17" s="14" t="s">
        <v>66</v>
      </c>
      <c r="C17" s="14">
        <v>315</v>
      </c>
      <c r="D17" s="14">
        <v>16</v>
      </c>
      <c r="E17" s="15">
        <v>-0.38455936000000002</v>
      </c>
      <c r="F17" s="15">
        <v>-0.39095629999999998</v>
      </c>
      <c r="G17" s="15">
        <v>6.3969500000000002E-3</v>
      </c>
      <c r="H17" s="15">
        <v>0.58880310000000002</v>
      </c>
      <c r="I17" s="15">
        <v>0.59510324000000003</v>
      </c>
      <c r="J17" s="15">
        <v>-6.30015E-3</v>
      </c>
      <c r="K17" s="18">
        <v>24.53</v>
      </c>
      <c r="L17" s="18">
        <v>24.55</v>
      </c>
      <c r="M17" s="18">
        <v>-0.02</v>
      </c>
      <c r="N17" s="15">
        <v>0.17407607999999999</v>
      </c>
      <c r="O17" s="15">
        <v>-7.9854590000000003E-2</v>
      </c>
      <c r="P17" s="15">
        <v>0.25393070000000001</v>
      </c>
      <c r="Q17" s="15">
        <v>-0.12665636</v>
      </c>
      <c r="R17" s="15">
        <v>0.11963744</v>
      </c>
      <c r="S17" s="15">
        <v>-0.24629377999999999</v>
      </c>
      <c r="T17" s="14"/>
      <c r="U17" s="15">
        <f t="shared" si="5"/>
        <v>-3.1984699999999811E-3</v>
      </c>
      <c r="V17" s="15">
        <f t="shared" si="6"/>
        <v>-3.1500700000000048E-3</v>
      </c>
      <c r="W17" s="15"/>
      <c r="X17" s="15"/>
      <c r="Y17" s="16">
        <f t="shared" si="0"/>
        <v>0.17407607999999999</v>
      </c>
      <c r="Z17" s="16">
        <f t="shared" si="1"/>
        <v>-0.12665636</v>
      </c>
      <c r="AA17" s="16">
        <f t="shared" si="2"/>
        <v>-7.9854590000000003E-2</v>
      </c>
      <c r="AB17" s="16">
        <f t="shared" si="3"/>
        <v>0.11963744</v>
      </c>
      <c r="AC17" s="17">
        <f t="shared" si="7"/>
        <v>12.431796288747085</v>
      </c>
      <c r="AD17" s="17">
        <f t="shared" si="8"/>
        <v>8.2700972382330988</v>
      </c>
      <c r="AE17" s="17">
        <f t="shared" si="9"/>
        <v>323.96066452280968</v>
      </c>
      <c r="AF17" s="17">
        <f t="shared" si="4"/>
        <v>323.56970822280965</v>
      </c>
    </row>
    <row r="18" spans="1:32" x14ac:dyDescent="0.25">
      <c r="A18" s="14">
        <v>16</v>
      </c>
      <c r="B18" s="14" t="s">
        <v>66</v>
      </c>
      <c r="C18" s="14">
        <v>337.5</v>
      </c>
      <c r="D18" s="14">
        <v>16</v>
      </c>
      <c r="E18" s="15">
        <v>-0.37983748000000001</v>
      </c>
      <c r="F18" s="15">
        <v>-0.37974683999999997</v>
      </c>
      <c r="G18" s="15">
        <v>-9.0630000000000005E-5</v>
      </c>
      <c r="H18" s="15">
        <v>0.57740000000000002</v>
      </c>
      <c r="I18" s="15">
        <v>0.58355630000000003</v>
      </c>
      <c r="J18" s="15">
        <v>-6.1562700000000001E-3</v>
      </c>
      <c r="K18" s="18">
        <v>24.58</v>
      </c>
      <c r="L18" s="18">
        <v>24.58</v>
      </c>
      <c r="M18" s="18">
        <v>-0.01</v>
      </c>
      <c r="N18" s="15">
        <v>0.11616836</v>
      </c>
      <c r="O18" s="15">
        <v>-2.3411709999999999E-2</v>
      </c>
      <c r="P18" s="15">
        <v>0.13958007</v>
      </c>
      <c r="Q18" s="15">
        <v>-0.16680252000000001</v>
      </c>
      <c r="R18" s="15">
        <v>0.15921277</v>
      </c>
      <c r="S18" s="15">
        <v>-0.32601530000000001</v>
      </c>
      <c r="T18" s="14"/>
      <c r="U18" s="15">
        <f t="shared" si="5"/>
        <v>4.5320000000015348E-5</v>
      </c>
      <c r="V18" s="15">
        <f t="shared" si="6"/>
        <v>-3.0781500000000017E-3</v>
      </c>
      <c r="W18" s="15"/>
      <c r="X18" s="15"/>
      <c r="Y18" s="16">
        <f t="shared" si="0"/>
        <v>0.11616836</v>
      </c>
      <c r="Z18" s="16">
        <f t="shared" si="1"/>
        <v>-0.16680252000000001</v>
      </c>
      <c r="AA18" s="16">
        <f t="shared" si="2"/>
        <v>-2.3411709999999999E-2</v>
      </c>
      <c r="AB18" s="16">
        <f t="shared" si="3"/>
        <v>0.15921277</v>
      </c>
      <c r="AC18" s="17">
        <f t="shared" si="7"/>
        <v>11.728169731551498</v>
      </c>
      <c r="AD18" s="17">
        <f t="shared" si="8"/>
        <v>9.2605831400210228</v>
      </c>
      <c r="AE18" s="17">
        <f t="shared" si="9"/>
        <v>304.85499203094179</v>
      </c>
      <c r="AF18" s="17">
        <f t="shared" si="4"/>
        <v>304.47524519094179</v>
      </c>
    </row>
    <row r="19" spans="1:32" x14ac:dyDescent="0.25">
      <c r="A19" s="19">
        <v>17</v>
      </c>
      <c r="B19" s="19" t="s">
        <v>67</v>
      </c>
      <c r="C19" s="19">
        <v>0</v>
      </c>
      <c r="D19" s="19">
        <v>14</v>
      </c>
      <c r="E19" s="20">
        <v>-0.38667143999999998</v>
      </c>
      <c r="F19" s="20">
        <v>-0.38150000000000001</v>
      </c>
      <c r="G19" s="20">
        <v>-5.17148E-3</v>
      </c>
      <c r="H19" s="20">
        <v>0.5895357</v>
      </c>
      <c r="I19" s="20">
        <v>0.59178580000000003</v>
      </c>
      <c r="J19" s="20">
        <v>-2.2500799999999998E-3</v>
      </c>
      <c r="K19" s="21">
        <v>24.49</v>
      </c>
      <c r="L19" s="21">
        <v>24.49</v>
      </c>
      <c r="M19" s="21">
        <v>0</v>
      </c>
      <c r="N19" s="20">
        <v>5.128539E-2</v>
      </c>
      <c r="O19" s="20">
        <v>4.6590060000000003E-2</v>
      </c>
      <c r="P19" s="20">
        <v>4.6953400000000001E-3</v>
      </c>
      <c r="Q19" s="20">
        <v>-0.18120517999999999</v>
      </c>
      <c r="R19" s="20">
        <v>0.17349696000000001</v>
      </c>
      <c r="S19" s="20">
        <v>-0.35470215999999999</v>
      </c>
      <c r="T19" s="19"/>
      <c r="U19" s="20">
        <f t="shared" si="5"/>
        <v>2.5857199999999858E-3</v>
      </c>
      <c r="V19" s="20">
        <f t="shared" si="6"/>
        <v>-1.1250500000000163E-3</v>
      </c>
      <c r="W19" s="20"/>
      <c r="X19" s="20"/>
      <c r="Y19" s="22">
        <f t="shared" si="0"/>
        <v>5.128539E-2</v>
      </c>
      <c r="Z19" s="22">
        <f t="shared" si="1"/>
        <v>-0.18120517999999999</v>
      </c>
      <c r="AA19" s="22">
        <f t="shared" si="2"/>
        <v>4.6590060000000003E-2</v>
      </c>
      <c r="AB19" s="22">
        <f t="shared" si="3"/>
        <v>0.17349696000000001</v>
      </c>
      <c r="AC19" s="23">
        <f t="shared" ref="AC19:AC34" si="10">IF(Y19="","",DEGREES(ASIN(SQRT(Y19^2+Z19^2))))</f>
        <v>10.854925758076746</v>
      </c>
      <c r="AD19" s="23">
        <f t="shared" ref="AD19:AD34" si="11">IF(AA19="","",DEGREES(ASIN(SQRT(AA19^2+AB19^2))))</f>
        <v>10.349002147909019</v>
      </c>
      <c r="AE19" s="23">
        <f t="shared" ref="AE19:AE34" si="12">IF(Y19="","",MOD(DEGREES(ATAN2(Y19,Z19)),360))</f>
        <v>285.8027789146384</v>
      </c>
      <c r="AF19" s="23">
        <f t="shared" si="4"/>
        <v>285.42127891463838</v>
      </c>
    </row>
    <row r="20" spans="1:32" x14ac:dyDescent="0.25">
      <c r="A20" s="14">
        <v>18</v>
      </c>
      <c r="B20" s="14" t="s">
        <v>67</v>
      </c>
      <c r="C20" s="14">
        <v>22.5</v>
      </c>
      <c r="D20" s="14">
        <v>7</v>
      </c>
      <c r="E20" s="15">
        <v>-0.37342856000000002</v>
      </c>
      <c r="F20" s="15">
        <v>-0.37107859999999998</v>
      </c>
      <c r="G20" s="15">
        <v>-2.3499699999999998E-3</v>
      </c>
      <c r="H20" s="15">
        <v>0.56268560000000001</v>
      </c>
      <c r="I20" s="15">
        <v>0.56353569999999997</v>
      </c>
      <c r="J20" s="15">
        <v>-8.5008000000000002E-4</v>
      </c>
      <c r="K20" s="18">
        <v>24.86</v>
      </c>
      <c r="L20" s="18">
        <v>24.84</v>
      </c>
      <c r="M20" s="18">
        <v>0.02</v>
      </c>
      <c r="N20" s="15">
        <v>-1.7038919999999999E-2</v>
      </c>
      <c r="O20" s="15">
        <v>0.11090052</v>
      </c>
      <c r="P20" s="15">
        <v>-0.12793945000000001</v>
      </c>
      <c r="Q20" s="15">
        <v>-0.16934118000000001</v>
      </c>
      <c r="R20" s="15">
        <v>0.16165805999999999</v>
      </c>
      <c r="S20" s="15">
        <v>-0.33099926000000002</v>
      </c>
      <c r="T20" s="14"/>
      <c r="U20" s="15">
        <f t="shared" si="5"/>
        <v>1.1749800000000199E-3</v>
      </c>
      <c r="V20" s="15">
        <f t="shared" si="6"/>
        <v>-4.2504999999998239E-4</v>
      </c>
      <c r="W20" s="15"/>
      <c r="X20" s="15"/>
      <c r="Y20" s="16">
        <f t="shared" si="0"/>
        <v>-1.7038919999999999E-2</v>
      </c>
      <c r="Z20" s="16">
        <f t="shared" si="1"/>
        <v>-0.16934118000000001</v>
      </c>
      <c r="AA20" s="16">
        <f t="shared" si="2"/>
        <v>0.11090052</v>
      </c>
      <c r="AB20" s="16">
        <f t="shared" si="3"/>
        <v>0.16165805999999999</v>
      </c>
      <c r="AC20" s="17">
        <f t="shared" si="10"/>
        <v>9.7992290447233064</v>
      </c>
      <c r="AD20" s="17">
        <f t="shared" si="11"/>
        <v>11.305569153979301</v>
      </c>
      <c r="AE20" s="17">
        <f t="shared" si="12"/>
        <v>264.25430084358447</v>
      </c>
      <c r="AF20" s="17">
        <f t="shared" si="4"/>
        <v>263.8832222435845</v>
      </c>
    </row>
    <row r="21" spans="1:32" x14ac:dyDescent="0.25">
      <c r="A21" s="14">
        <v>19</v>
      </c>
      <c r="B21" s="14" t="s">
        <v>67</v>
      </c>
      <c r="C21" s="14">
        <v>45</v>
      </c>
      <c r="D21" s="14">
        <v>20</v>
      </c>
      <c r="E21" s="15">
        <v>-0.38846750000000002</v>
      </c>
      <c r="F21" s="15">
        <v>-0.38340000000000002</v>
      </c>
      <c r="G21" s="15">
        <v>-5.0674700000000001E-3</v>
      </c>
      <c r="H21" s="15">
        <v>0.58693751999999999</v>
      </c>
      <c r="I21" s="15">
        <v>0.587835</v>
      </c>
      <c r="J21" s="15">
        <v>-8.9747000000000004E-4</v>
      </c>
      <c r="K21" s="18">
        <v>24.51</v>
      </c>
      <c r="L21" s="18">
        <v>24.52</v>
      </c>
      <c r="M21" s="18">
        <v>-0.01</v>
      </c>
      <c r="N21" s="15">
        <v>-7.5776609999999994E-2</v>
      </c>
      <c r="O21" s="15">
        <v>0.1708113</v>
      </c>
      <c r="P21" s="15">
        <v>-0.2465879</v>
      </c>
      <c r="Q21" s="15">
        <v>-0.13108072000000001</v>
      </c>
      <c r="R21" s="15">
        <v>0.12381433</v>
      </c>
      <c r="S21" s="15">
        <v>-0.25489504000000002</v>
      </c>
      <c r="T21" s="14"/>
      <c r="U21" s="15">
        <f t="shared" si="5"/>
        <v>2.5337500000000013E-3</v>
      </c>
      <c r="V21" s="15">
        <f t="shared" si="6"/>
        <v>-4.4874000000000303E-4</v>
      </c>
      <c r="W21" s="15"/>
      <c r="X21" s="15"/>
      <c r="Y21" s="16">
        <f t="shared" si="0"/>
        <v>-7.5776609999999994E-2</v>
      </c>
      <c r="Z21" s="16">
        <f t="shared" si="1"/>
        <v>-0.13108072000000001</v>
      </c>
      <c r="AA21" s="16">
        <f t="shared" si="2"/>
        <v>0.1708113</v>
      </c>
      <c r="AB21" s="16">
        <f t="shared" si="3"/>
        <v>0.12381433</v>
      </c>
      <c r="AC21" s="17">
        <f t="shared" si="10"/>
        <v>8.7085056356122745</v>
      </c>
      <c r="AD21" s="17">
        <f t="shared" si="11"/>
        <v>12.178945439585913</v>
      </c>
      <c r="AE21" s="17">
        <f t="shared" si="12"/>
        <v>239.96817129520258</v>
      </c>
      <c r="AF21" s="17">
        <f t="shared" si="4"/>
        <v>239.58477129520259</v>
      </c>
    </row>
    <row r="22" spans="1:32" x14ac:dyDescent="0.25">
      <c r="A22" s="14">
        <v>20</v>
      </c>
      <c r="B22" s="14" t="s">
        <v>67</v>
      </c>
      <c r="C22" s="14">
        <v>67.5</v>
      </c>
      <c r="D22" s="14">
        <v>21</v>
      </c>
      <c r="E22" s="15">
        <v>-0.39371908</v>
      </c>
      <c r="F22" s="15">
        <v>-0.38770480000000002</v>
      </c>
      <c r="G22" s="15">
        <v>-6.0142900000000003E-3</v>
      </c>
      <c r="H22" s="15">
        <v>0.60110710000000001</v>
      </c>
      <c r="I22" s="15">
        <v>0.60061189999999998</v>
      </c>
      <c r="J22" s="15">
        <v>4.952E-4</v>
      </c>
      <c r="K22" s="18">
        <v>24.28</v>
      </c>
      <c r="L22" s="18">
        <v>24.28</v>
      </c>
      <c r="M22" s="18">
        <v>0</v>
      </c>
      <c r="N22" s="15">
        <v>-0.11546434</v>
      </c>
      <c r="O22" s="15">
        <v>0.20963344</v>
      </c>
      <c r="P22" s="15">
        <v>-0.32509776000000001</v>
      </c>
      <c r="Q22" s="15">
        <v>-7.2813900000000001E-2</v>
      </c>
      <c r="R22" s="15">
        <v>6.5636280000000005E-2</v>
      </c>
      <c r="S22" s="15">
        <v>-0.13845018000000001</v>
      </c>
      <c r="T22" s="14"/>
      <c r="U22" s="15">
        <f t="shared" si="5"/>
        <v>3.0071399999999915E-3</v>
      </c>
      <c r="V22" s="15">
        <f t="shared" si="6"/>
        <v>2.4760000000001448E-4</v>
      </c>
      <c r="W22" s="15"/>
      <c r="X22" s="15"/>
      <c r="Y22" s="16">
        <f t="shared" si="0"/>
        <v>-0.11546434</v>
      </c>
      <c r="Z22" s="16">
        <f t="shared" si="1"/>
        <v>-7.2813900000000001E-2</v>
      </c>
      <c r="AA22" s="16">
        <f t="shared" si="2"/>
        <v>0.20963344</v>
      </c>
      <c r="AB22" s="16">
        <f t="shared" si="3"/>
        <v>6.5636280000000005E-2</v>
      </c>
      <c r="AC22" s="17">
        <f t="shared" si="10"/>
        <v>7.8457114337594591</v>
      </c>
      <c r="AD22" s="17">
        <f t="shared" si="11"/>
        <v>12.689569911702423</v>
      </c>
      <c r="AE22" s="17">
        <f t="shared" si="12"/>
        <v>212.23627191884597</v>
      </c>
      <c r="AF22" s="17">
        <f t="shared" si="4"/>
        <v>211.84856711884598</v>
      </c>
    </row>
    <row r="23" spans="1:32" x14ac:dyDescent="0.25">
      <c r="A23" s="14">
        <v>21</v>
      </c>
      <c r="B23" s="14" t="s">
        <v>67</v>
      </c>
      <c r="C23" s="14">
        <v>90</v>
      </c>
      <c r="D23" s="14">
        <v>22</v>
      </c>
      <c r="E23" s="15">
        <v>-0.38648640000000001</v>
      </c>
      <c r="F23" s="15">
        <v>-0.38218639999999998</v>
      </c>
      <c r="G23" s="15">
        <v>-4.3000299999999998E-3</v>
      </c>
      <c r="H23" s="15">
        <v>0.59451810000000005</v>
      </c>
      <c r="I23" s="15">
        <v>0.58908870000000002</v>
      </c>
      <c r="J23" s="15">
        <v>5.4294499999999997E-3</v>
      </c>
      <c r="K23" s="18">
        <v>24.45</v>
      </c>
      <c r="L23" s="18">
        <v>24.45</v>
      </c>
      <c r="M23" s="18">
        <v>0</v>
      </c>
      <c r="N23" s="15">
        <v>-0.12928289000000001</v>
      </c>
      <c r="O23" s="15">
        <v>0.2241049</v>
      </c>
      <c r="P23" s="15">
        <v>-0.35338776</v>
      </c>
      <c r="Q23" s="15">
        <v>-5.8520500000000001E-3</v>
      </c>
      <c r="R23" s="15">
        <v>-1.4662900000000001E-3</v>
      </c>
      <c r="S23" s="15">
        <v>-4.3857599999999998E-3</v>
      </c>
      <c r="T23" s="14"/>
      <c r="U23" s="15">
        <f t="shared" si="5"/>
        <v>2.150000000000013E-3</v>
      </c>
      <c r="V23" s="15">
        <f t="shared" si="6"/>
        <v>2.7147000000000143E-3</v>
      </c>
      <c r="W23" s="15"/>
      <c r="X23" s="15"/>
      <c r="Y23" s="16">
        <f t="shared" si="0"/>
        <v>-0.12928289000000001</v>
      </c>
      <c r="Z23" s="16">
        <f t="shared" si="1"/>
        <v>-5.8520500000000001E-3</v>
      </c>
      <c r="AA23" s="16">
        <f t="shared" si="2"/>
        <v>0.2241049</v>
      </c>
      <c r="AB23" s="16">
        <f t="shared" si="3"/>
        <v>-1.4662900000000001E-3</v>
      </c>
      <c r="AC23" s="17">
        <f t="shared" si="10"/>
        <v>7.4358043293186284</v>
      </c>
      <c r="AD23" s="17">
        <f t="shared" si="11"/>
        <v>12.950530667296826</v>
      </c>
      <c r="AE23" s="17">
        <f t="shared" si="12"/>
        <v>182.59175087645139</v>
      </c>
      <c r="AF23" s="17">
        <f t="shared" si="4"/>
        <v>182.20956447645139</v>
      </c>
    </row>
    <row r="24" spans="1:32" x14ac:dyDescent="0.25">
      <c r="A24" s="14">
        <v>22</v>
      </c>
      <c r="B24" s="14" t="s">
        <v>67</v>
      </c>
      <c r="C24" s="14">
        <v>112.5</v>
      </c>
      <c r="D24" s="14">
        <v>14</v>
      </c>
      <c r="E24" s="15">
        <v>-0.38638583999999998</v>
      </c>
      <c r="F24" s="15">
        <v>-0.38473575999999998</v>
      </c>
      <c r="G24" s="15">
        <v>-1.6501E-3</v>
      </c>
      <c r="H24" s="15">
        <v>0.59229284000000004</v>
      </c>
      <c r="I24" s="15">
        <v>0.58257515999999998</v>
      </c>
      <c r="J24" s="15">
        <v>9.7176999999999993E-3</v>
      </c>
      <c r="K24" s="18">
        <v>24.51</v>
      </c>
      <c r="L24" s="18">
        <v>24.51</v>
      </c>
      <c r="M24" s="18">
        <v>0</v>
      </c>
      <c r="N24" s="15">
        <v>-0.11704101</v>
      </c>
      <c r="O24" s="15">
        <v>0.21275652</v>
      </c>
      <c r="P24" s="15">
        <v>-0.32979754</v>
      </c>
      <c r="Q24" s="15">
        <v>6.0826419999999999E-2</v>
      </c>
      <c r="R24" s="15">
        <v>-6.8269739999999995E-2</v>
      </c>
      <c r="S24" s="15">
        <v>0.12909615999999999</v>
      </c>
      <c r="T24" s="14"/>
      <c r="U24" s="15">
        <f t="shared" si="5"/>
        <v>8.2503999999999911E-4</v>
      </c>
      <c r="V24" s="15">
        <f t="shared" si="6"/>
        <v>4.8588400000000309E-3</v>
      </c>
      <c r="W24" s="15"/>
      <c r="X24" s="15"/>
      <c r="Y24" s="16">
        <f t="shared" si="0"/>
        <v>-0.11704101</v>
      </c>
      <c r="Z24" s="16">
        <f t="shared" si="1"/>
        <v>6.0826419999999999E-2</v>
      </c>
      <c r="AA24" s="16">
        <f t="shared" si="2"/>
        <v>0.21275652</v>
      </c>
      <c r="AB24" s="16">
        <f t="shared" si="3"/>
        <v>-6.8269739999999995E-2</v>
      </c>
      <c r="AC24" s="17">
        <f t="shared" si="10"/>
        <v>7.5795842245339022</v>
      </c>
      <c r="AD24" s="17">
        <f t="shared" si="11"/>
        <v>12.911248391140342</v>
      </c>
      <c r="AE24" s="17">
        <f t="shared" si="12"/>
        <v>152.53902038514968</v>
      </c>
      <c r="AF24" s="17">
        <f t="shared" si="4"/>
        <v>152.15428462514967</v>
      </c>
    </row>
    <row r="25" spans="1:32" x14ac:dyDescent="0.25">
      <c r="A25" s="14">
        <v>23</v>
      </c>
      <c r="B25" s="14" t="s">
        <v>67</v>
      </c>
      <c r="C25" s="14">
        <v>135</v>
      </c>
      <c r="D25" s="14">
        <v>11</v>
      </c>
      <c r="E25" s="15">
        <v>-0.38353643999999998</v>
      </c>
      <c r="F25" s="15">
        <v>-0.38460909999999998</v>
      </c>
      <c r="G25" s="15">
        <v>1.0726799999999999E-3</v>
      </c>
      <c r="H25" s="15">
        <v>0.59265920000000005</v>
      </c>
      <c r="I25" s="15">
        <v>0.58780916000000005</v>
      </c>
      <c r="J25" s="15">
        <v>4.85003E-3</v>
      </c>
      <c r="K25" s="18">
        <v>24.5</v>
      </c>
      <c r="L25" s="18">
        <v>24.5</v>
      </c>
      <c r="M25" s="18">
        <v>0</v>
      </c>
      <c r="N25" s="15">
        <v>-8.0154699999999995E-2</v>
      </c>
      <c r="O25" s="15">
        <v>0.1732757</v>
      </c>
      <c r="P25" s="15">
        <v>-0.2534304</v>
      </c>
      <c r="Q25" s="15">
        <v>0.1198282</v>
      </c>
      <c r="R25" s="15">
        <v>-0.12671143000000001</v>
      </c>
      <c r="S25" s="15">
        <v>0.24653961999999999</v>
      </c>
      <c r="T25" s="14"/>
      <c r="U25" s="15">
        <f t="shared" si="5"/>
        <v>-5.3633000000000153E-4</v>
      </c>
      <c r="V25" s="15">
        <f t="shared" si="6"/>
        <v>2.42502E-3</v>
      </c>
      <c r="W25" s="15"/>
      <c r="X25" s="15"/>
      <c r="Y25" s="16">
        <f t="shared" si="0"/>
        <v>-8.0154699999999995E-2</v>
      </c>
      <c r="Z25" s="16">
        <f t="shared" si="1"/>
        <v>0.1198282</v>
      </c>
      <c r="AA25" s="16">
        <f t="shared" si="2"/>
        <v>0.1732757</v>
      </c>
      <c r="AB25" s="16">
        <f t="shared" si="3"/>
        <v>-0.12671143000000001</v>
      </c>
      <c r="AC25" s="17">
        <f t="shared" si="10"/>
        <v>8.2889344516961891</v>
      </c>
      <c r="AD25" s="17">
        <f t="shared" si="11"/>
        <v>12.395764000090946</v>
      </c>
      <c r="AE25" s="17">
        <f t="shared" si="12"/>
        <v>123.77909849568309</v>
      </c>
      <c r="AF25" s="17">
        <f t="shared" si="4"/>
        <v>123.39448939568308</v>
      </c>
    </row>
    <row r="26" spans="1:32" x14ac:dyDescent="0.25">
      <c r="A26" s="14">
        <v>24</v>
      </c>
      <c r="B26" s="14" t="s">
        <v>67</v>
      </c>
      <c r="C26" s="14">
        <v>157.5</v>
      </c>
      <c r="D26" s="14">
        <v>18</v>
      </c>
      <c r="E26" s="15">
        <v>-0.3860306</v>
      </c>
      <c r="F26" s="15">
        <v>-0.38761390000000001</v>
      </c>
      <c r="G26" s="15">
        <v>1.5833100000000001E-3</v>
      </c>
      <c r="H26" s="15">
        <v>0.60041931999999998</v>
      </c>
      <c r="I26" s="15">
        <v>0.59125000000000005</v>
      </c>
      <c r="J26" s="15">
        <v>9.1693399999999998E-3</v>
      </c>
      <c r="K26" s="18">
        <v>24.39</v>
      </c>
      <c r="L26" s="18">
        <v>24.39</v>
      </c>
      <c r="M26" s="18">
        <v>0</v>
      </c>
      <c r="N26" s="15">
        <v>-2.16394E-2</v>
      </c>
      <c r="O26" s="15">
        <v>0.11680459999999999</v>
      </c>
      <c r="P26" s="15">
        <v>-0.13844400000000001</v>
      </c>
      <c r="Q26" s="15">
        <v>0.15958346000000001</v>
      </c>
      <c r="R26" s="15">
        <v>-0.16682739999999999</v>
      </c>
      <c r="S26" s="15">
        <v>0.32641086000000002</v>
      </c>
      <c r="T26" s="14"/>
      <c r="U26" s="15">
        <f t="shared" si="5"/>
        <v>-7.9165000000000485E-4</v>
      </c>
      <c r="V26" s="15">
        <f t="shared" si="6"/>
        <v>4.5846599999999627E-3</v>
      </c>
      <c r="W26" s="15"/>
      <c r="X26" s="15"/>
      <c r="Y26" s="16">
        <f t="shared" si="0"/>
        <v>-2.16394E-2</v>
      </c>
      <c r="Z26" s="16">
        <f t="shared" si="1"/>
        <v>0.15958346000000001</v>
      </c>
      <c r="AA26" s="16">
        <f t="shared" si="2"/>
        <v>0.11680459999999999</v>
      </c>
      <c r="AB26" s="16">
        <f t="shared" si="3"/>
        <v>-0.16682739999999999</v>
      </c>
      <c r="AC26" s="17">
        <f t="shared" si="10"/>
        <v>9.2674942839288743</v>
      </c>
      <c r="AD26" s="17">
        <f t="shared" si="11"/>
        <v>11.750680084210456</v>
      </c>
      <c r="AE26" s="17">
        <f t="shared" si="12"/>
        <v>97.722165922401345</v>
      </c>
      <c r="AF26" s="17">
        <f t="shared" si="4"/>
        <v>97.33455202240134</v>
      </c>
    </row>
    <row r="27" spans="1:32" x14ac:dyDescent="0.25">
      <c r="A27" s="14">
        <v>25</v>
      </c>
      <c r="B27" s="14" t="s">
        <v>67</v>
      </c>
      <c r="C27" s="14">
        <v>180</v>
      </c>
      <c r="D27" s="14">
        <v>12</v>
      </c>
      <c r="E27" s="15">
        <v>-0.39098751999999998</v>
      </c>
      <c r="F27" s="15">
        <v>-0.40289580000000003</v>
      </c>
      <c r="G27" s="15">
        <v>1.190829E-2</v>
      </c>
      <c r="H27" s="15">
        <v>0.62651663999999996</v>
      </c>
      <c r="I27" s="15">
        <v>0.62184996000000003</v>
      </c>
      <c r="J27" s="15">
        <v>4.6666900000000002E-3</v>
      </c>
      <c r="K27" s="18">
        <v>23.97</v>
      </c>
      <c r="L27" s="18">
        <v>23.98</v>
      </c>
      <c r="M27" s="18">
        <v>0</v>
      </c>
      <c r="N27" s="15">
        <v>4.9230139999999999E-2</v>
      </c>
      <c r="O27" s="15">
        <v>5.1478679999999999E-2</v>
      </c>
      <c r="P27" s="15">
        <v>-2.2485399999999998E-3</v>
      </c>
      <c r="Q27" s="15">
        <v>0.17400108</v>
      </c>
      <c r="R27" s="15">
        <v>-0.18059671999999999</v>
      </c>
      <c r="S27" s="15">
        <v>0.35459780000000002</v>
      </c>
      <c r="T27" s="14"/>
      <c r="U27" s="15">
        <f t="shared" si="5"/>
        <v>-5.9541400000000244E-3</v>
      </c>
      <c r="V27" s="15">
        <f t="shared" si="6"/>
        <v>2.3333399999999616E-3</v>
      </c>
      <c r="W27" s="15"/>
      <c r="X27" s="15"/>
      <c r="Y27" s="16">
        <f t="shared" si="0"/>
        <v>4.9230139999999999E-2</v>
      </c>
      <c r="Z27" s="16">
        <f t="shared" si="1"/>
        <v>0.17400108</v>
      </c>
      <c r="AA27" s="16">
        <f t="shared" si="2"/>
        <v>5.1478679999999999E-2</v>
      </c>
      <c r="AB27" s="16">
        <f t="shared" si="3"/>
        <v>-0.18059671999999999</v>
      </c>
      <c r="AC27" s="17">
        <f t="shared" si="10"/>
        <v>10.418188193951794</v>
      </c>
      <c r="AD27" s="17">
        <f t="shared" si="11"/>
        <v>10.823861760747764</v>
      </c>
      <c r="AE27" s="17">
        <f t="shared" si="12"/>
        <v>74.202195909450239</v>
      </c>
      <c r="AF27" s="17">
        <f t="shared" si="4"/>
        <v>73.799300109450243</v>
      </c>
    </row>
    <row r="28" spans="1:32" x14ac:dyDescent="0.25">
      <c r="A28" s="14">
        <v>26</v>
      </c>
      <c r="B28" s="14" t="s">
        <v>67</v>
      </c>
      <c r="C28" s="14">
        <v>202.5</v>
      </c>
      <c r="D28" s="14">
        <v>11</v>
      </c>
      <c r="E28" s="15">
        <v>-0.3894454</v>
      </c>
      <c r="F28" s="15">
        <v>-0.39187729999999998</v>
      </c>
      <c r="G28" s="15">
        <v>2.43187E-3</v>
      </c>
      <c r="H28" s="15">
        <v>0.60894999999999999</v>
      </c>
      <c r="I28" s="15">
        <v>0.60699999999999998</v>
      </c>
      <c r="J28" s="15">
        <v>1.9500299999999999E-3</v>
      </c>
      <c r="K28" s="18">
        <v>24.16</v>
      </c>
      <c r="L28" s="18">
        <v>24.17</v>
      </c>
      <c r="M28" s="18">
        <v>-0.01</v>
      </c>
      <c r="N28" s="15">
        <v>0.11493075</v>
      </c>
      <c r="O28" s="15">
        <v>-2.0277659999999999E-2</v>
      </c>
      <c r="P28" s="15">
        <v>0.13520840000000001</v>
      </c>
      <c r="Q28" s="15">
        <v>0.16027099</v>
      </c>
      <c r="R28" s="15">
        <v>-0.16734597000000001</v>
      </c>
      <c r="S28" s="15">
        <v>0.32761696000000001</v>
      </c>
      <c r="T28" s="14"/>
      <c r="U28" s="15">
        <f t="shared" si="5"/>
        <v>-1.2159499999999934E-3</v>
      </c>
      <c r="V28" s="15">
        <f t="shared" si="6"/>
        <v>9.7500000000000364E-4</v>
      </c>
      <c r="W28" s="15"/>
      <c r="X28" s="15"/>
      <c r="Y28" s="16">
        <f t="shared" si="0"/>
        <v>0.11493075</v>
      </c>
      <c r="Z28" s="16">
        <f t="shared" si="1"/>
        <v>0.16027099</v>
      </c>
      <c r="AA28" s="16">
        <f t="shared" si="2"/>
        <v>-2.0277659999999999E-2</v>
      </c>
      <c r="AB28" s="16">
        <f t="shared" si="3"/>
        <v>-0.16734597000000001</v>
      </c>
      <c r="AC28" s="17">
        <f t="shared" si="10"/>
        <v>11.374459696165948</v>
      </c>
      <c r="AD28" s="17">
        <f t="shared" si="11"/>
        <v>9.704688355509429</v>
      </c>
      <c r="AE28" s="17">
        <f t="shared" si="12"/>
        <v>54.355592922131841</v>
      </c>
      <c r="AF28" s="17">
        <f t="shared" si="4"/>
        <v>53.963715622131843</v>
      </c>
    </row>
    <row r="29" spans="1:32" x14ac:dyDescent="0.25">
      <c r="A29" s="14">
        <v>27</v>
      </c>
      <c r="B29" s="14" t="s">
        <v>67</v>
      </c>
      <c r="C29" s="14">
        <v>225</v>
      </c>
      <c r="D29" s="14">
        <v>15</v>
      </c>
      <c r="E29" s="15">
        <v>-0.38209332000000001</v>
      </c>
      <c r="F29" s="15">
        <v>-0.38958340000000002</v>
      </c>
      <c r="G29" s="15">
        <v>7.4900399999999999E-3</v>
      </c>
      <c r="H29" s="15">
        <v>0.59211340000000001</v>
      </c>
      <c r="I29" s="15">
        <v>0.59546659999999996</v>
      </c>
      <c r="J29" s="15">
        <v>-3.35324E-3</v>
      </c>
      <c r="K29" s="18">
        <v>24.39</v>
      </c>
      <c r="L29" s="18">
        <v>24.4</v>
      </c>
      <c r="M29" s="18">
        <v>0</v>
      </c>
      <c r="N29" s="15">
        <v>0.17239586000000001</v>
      </c>
      <c r="O29" s="15">
        <v>-7.3570629999999998E-2</v>
      </c>
      <c r="P29" s="15">
        <v>0.2459665</v>
      </c>
      <c r="Q29" s="15">
        <v>0.12271599</v>
      </c>
      <c r="R29" s="15">
        <v>-0.12949641000000001</v>
      </c>
      <c r="S29" s="15">
        <v>0.2522124</v>
      </c>
      <c r="T29" s="14"/>
      <c r="U29" s="15">
        <f t="shared" si="5"/>
        <v>-3.745040000000005E-3</v>
      </c>
      <c r="V29" s="15">
        <f t="shared" si="6"/>
        <v>-1.6765999999999726E-3</v>
      </c>
      <c r="W29" s="15"/>
      <c r="X29" s="15"/>
      <c r="Y29" s="16">
        <f t="shared" si="0"/>
        <v>0.17239586000000001</v>
      </c>
      <c r="Z29" s="16">
        <f t="shared" si="1"/>
        <v>0.12271599</v>
      </c>
      <c r="AA29" s="16">
        <f t="shared" si="2"/>
        <v>-7.3570629999999998E-2</v>
      </c>
      <c r="AB29" s="16">
        <f t="shared" si="3"/>
        <v>-0.12949641000000001</v>
      </c>
      <c r="AC29" s="17">
        <f t="shared" si="10"/>
        <v>12.216823591483207</v>
      </c>
      <c r="AD29" s="17">
        <f t="shared" si="11"/>
        <v>8.5652762453054105</v>
      </c>
      <c r="AE29" s="17">
        <f t="shared" si="12"/>
        <v>35.44427952457297</v>
      </c>
      <c r="AF29" s="17">
        <f t="shared" si="4"/>
        <v>35.05469612457297</v>
      </c>
    </row>
    <row r="30" spans="1:32" x14ac:dyDescent="0.25">
      <c r="A30" s="14">
        <v>28</v>
      </c>
      <c r="B30" s="14" t="s">
        <v>67</v>
      </c>
      <c r="C30" s="14">
        <v>247.5</v>
      </c>
      <c r="D30" s="14">
        <v>16</v>
      </c>
      <c r="E30" s="15">
        <v>-0.38042816000000002</v>
      </c>
      <c r="F30" s="15">
        <v>-0.38591876000000003</v>
      </c>
      <c r="G30" s="15">
        <v>5.4906299999999998E-3</v>
      </c>
      <c r="H30" s="15">
        <v>0.57971556000000002</v>
      </c>
      <c r="I30" s="15">
        <v>0.58378432000000002</v>
      </c>
      <c r="J30" s="15">
        <v>-4.0687900000000001E-3</v>
      </c>
      <c r="K30" s="18">
        <v>24.59</v>
      </c>
      <c r="L30" s="18">
        <v>24.59</v>
      </c>
      <c r="M30" s="18">
        <v>0</v>
      </c>
      <c r="N30" s="15">
        <v>0.20938931999999999</v>
      </c>
      <c r="O30" s="15">
        <v>-0.11433105</v>
      </c>
      <c r="P30" s="15">
        <v>0.32372035999999998</v>
      </c>
      <c r="Q30" s="15">
        <v>6.6368099999999999E-2</v>
      </c>
      <c r="R30" s="15">
        <v>-7.4003910000000006E-2</v>
      </c>
      <c r="S30" s="15">
        <v>0.14037200999999999</v>
      </c>
      <c r="T30" s="14"/>
      <c r="U30" s="15">
        <f t="shared" si="5"/>
        <v>-2.7453000000000061E-3</v>
      </c>
      <c r="V30" s="15">
        <f t="shared" si="6"/>
        <v>-2.0343800000000023E-3</v>
      </c>
      <c r="W30" s="15"/>
      <c r="X30" s="15"/>
      <c r="Y30" s="16">
        <f t="shared" si="0"/>
        <v>0.20938931999999999</v>
      </c>
      <c r="Z30" s="16">
        <f t="shared" si="1"/>
        <v>6.6368099999999999E-2</v>
      </c>
      <c r="AA30" s="16">
        <f t="shared" si="2"/>
        <v>-0.11433105</v>
      </c>
      <c r="AB30" s="16">
        <f t="shared" si="3"/>
        <v>-7.4003910000000006E-2</v>
      </c>
      <c r="AC30" s="17">
        <f t="shared" si="10"/>
        <v>12.688809470325863</v>
      </c>
      <c r="AD30" s="17">
        <f t="shared" si="11"/>
        <v>7.8275333311742115</v>
      </c>
      <c r="AE30" s="17">
        <f t="shared" si="12"/>
        <v>17.586547706521515</v>
      </c>
      <c r="AF30" s="17">
        <f t="shared" si="4"/>
        <v>17.200628946521515</v>
      </c>
    </row>
    <row r="31" spans="1:32" x14ac:dyDescent="0.25">
      <c r="A31" s="14">
        <v>29</v>
      </c>
      <c r="B31" s="14" t="s">
        <v>67</v>
      </c>
      <c r="C31" s="14">
        <v>270</v>
      </c>
      <c r="D31" s="14">
        <v>18</v>
      </c>
      <c r="E31" s="15">
        <v>-0.38888055999999999</v>
      </c>
      <c r="F31" s="15">
        <v>-0.39498889999999998</v>
      </c>
      <c r="G31" s="15">
        <v>6.1083400000000003E-3</v>
      </c>
      <c r="H31" s="15">
        <v>0.61171936000000005</v>
      </c>
      <c r="I31" s="15">
        <v>0.62568610000000002</v>
      </c>
      <c r="J31" s="15">
        <v>-1.396674E-2</v>
      </c>
      <c r="K31" s="18">
        <v>24.06</v>
      </c>
      <c r="L31" s="18">
        <v>24.05</v>
      </c>
      <c r="M31" s="18">
        <v>0.01</v>
      </c>
      <c r="N31" s="15">
        <v>0.22652926000000001</v>
      </c>
      <c r="O31" s="15">
        <v>-0.12496106999999999</v>
      </c>
      <c r="P31" s="15">
        <v>0.35149032000000002</v>
      </c>
      <c r="Q31" s="15">
        <v>-3.0915000000000001E-3</v>
      </c>
      <c r="R31" s="15">
        <v>-3.9655200000000002E-3</v>
      </c>
      <c r="S31" s="15">
        <v>8.7401999999999998E-4</v>
      </c>
      <c r="T31" s="14"/>
      <c r="U31" s="15">
        <f t="shared" si="5"/>
        <v>-3.0541699999999949E-3</v>
      </c>
      <c r="V31" s="15">
        <f t="shared" si="6"/>
        <v>-6.9833699999999888E-3</v>
      </c>
      <c r="W31" s="15"/>
      <c r="X31" s="15"/>
      <c r="Y31" s="16">
        <f t="shared" si="0"/>
        <v>0.22652926000000001</v>
      </c>
      <c r="Z31" s="16">
        <f t="shared" si="1"/>
        <v>-3.0915000000000001E-3</v>
      </c>
      <c r="AA31" s="16">
        <f t="shared" si="2"/>
        <v>-0.12496106999999999</v>
      </c>
      <c r="AB31" s="16">
        <f t="shared" si="3"/>
        <v>-3.9655200000000002E-3</v>
      </c>
      <c r="AC31" s="17">
        <f t="shared" si="10"/>
        <v>13.094061329758308</v>
      </c>
      <c r="AD31" s="17">
        <f t="shared" si="11"/>
        <v>7.1821403182200934</v>
      </c>
      <c r="AE31" s="17">
        <f t="shared" si="12"/>
        <v>359.21811907680058</v>
      </c>
      <c r="AF31" s="17">
        <f t="shared" si="4"/>
        <v>358.82313017680059</v>
      </c>
    </row>
    <row r="32" spans="1:32" x14ac:dyDescent="0.25">
      <c r="A32" s="14">
        <v>30</v>
      </c>
      <c r="B32" s="14" t="s">
        <v>67</v>
      </c>
      <c r="C32" s="14">
        <v>292.5</v>
      </c>
      <c r="D32" s="14">
        <v>11</v>
      </c>
      <c r="E32" s="15">
        <v>-0.38608179999999998</v>
      </c>
      <c r="F32" s="15">
        <v>-0.38834550000000001</v>
      </c>
      <c r="G32" s="15">
        <v>2.2637199999999999E-3</v>
      </c>
      <c r="H32" s="15">
        <v>0.59300459999999999</v>
      </c>
      <c r="I32" s="15">
        <v>0.60142280000000004</v>
      </c>
      <c r="J32" s="15">
        <v>-8.4182000000000007E-3</v>
      </c>
      <c r="K32" s="18">
        <v>24.37</v>
      </c>
      <c r="L32" s="18">
        <v>24.38</v>
      </c>
      <c r="M32" s="18">
        <v>-0.01</v>
      </c>
      <c r="N32" s="15">
        <v>0.21200858</v>
      </c>
      <c r="O32" s="15">
        <v>-0.11535355999999999</v>
      </c>
      <c r="P32" s="15">
        <v>0.32736211999999998</v>
      </c>
      <c r="Q32" s="15">
        <v>-6.9503490000000001E-2</v>
      </c>
      <c r="R32" s="15">
        <v>6.2134229999999999E-2</v>
      </c>
      <c r="S32" s="15">
        <v>-0.13163772000000001</v>
      </c>
      <c r="T32" s="14"/>
      <c r="U32" s="15">
        <f t="shared" si="5"/>
        <v>-1.1318500000000176E-3</v>
      </c>
      <c r="V32" s="15">
        <f t="shared" si="6"/>
        <v>-4.2091000000000212E-3</v>
      </c>
      <c r="W32" s="15"/>
      <c r="X32" s="15"/>
      <c r="Y32" s="16">
        <f t="shared" si="0"/>
        <v>0.21200858</v>
      </c>
      <c r="Z32" s="16">
        <f t="shared" si="1"/>
        <v>-6.9503490000000001E-2</v>
      </c>
      <c r="AA32" s="16">
        <f t="shared" si="2"/>
        <v>-0.11535355999999999</v>
      </c>
      <c r="AB32" s="16">
        <f t="shared" si="3"/>
        <v>6.2134229999999999E-2</v>
      </c>
      <c r="AC32" s="17">
        <f t="shared" si="10"/>
        <v>12.891803865258213</v>
      </c>
      <c r="AD32" s="17">
        <f t="shared" si="11"/>
        <v>7.5287291633214863</v>
      </c>
      <c r="AE32" s="17">
        <f t="shared" si="12"/>
        <v>341.84912912651168</v>
      </c>
      <c r="AF32" s="17">
        <f t="shared" si="4"/>
        <v>341.46078362651167</v>
      </c>
    </row>
    <row r="33" spans="1:32" x14ac:dyDescent="0.25">
      <c r="A33" s="14">
        <v>31</v>
      </c>
      <c r="B33" s="14" t="s">
        <v>67</v>
      </c>
      <c r="C33" s="14">
        <v>315</v>
      </c>
      <c r="D33" s="14">
        <v>20</v>
      </c>
      <c r="E33" s="15">
        <v>-0.38226749999999998</v>
      </c>
      <c r="F33" s="15">
        <v>-0.38798495999999999</v>
      </c>
      <c r="G33" s="15">
        <v>5.7174599999999997E-3</v>
      </c>
      <c r="H33" s="15">
        <v>0.59848508</v>
      </c>
      <c r="I33" s="15">
        <v>0.60670007999999997</v>
      </c>
      <c r="J33" s="15">
        <v>-8.21501E-3</v>
      </c>
      <c r="K33" s="18">
        <v>24.28</v>
      </c>
      <c r="L33" s="18">
        <v>24.29</v>
      </c>
      <c r="M33" s="18">
        <v>-0.01</v>
      </c>
      <c r="N33" s="15">
        <v>0.17405235999999999</v>
      </c>
      <c r="O33" s="15">
        <v>-7.6817380000000005E-2</v>
      </c>
      <c r="P33" s="15">
        <v>0.25086976</v>
      </c>
      <c r="Q33" s="15">
        <v>-0.12744788000000001</v>
      </c>
      <c r="R33" s="15">
        <v>0.12060889</v>
      </c>
      <c r="S33" s="15">
        <v>-0.24805675999999999</v>
      </c>
      <c r="T33" s="14"/>
      <c r="U33" s="15">
        <f t="shared" si="5"/>
        <v>-2.8587300000000038E-3</v>
      </c>
      <c r="V33" s="15">
        <f t="shared" si="6"/>
        <v>-4.1074999999999862E-3</v>
      </c>
      <c r="W33" s="15"/>
      <c r="X33" s="15"/>
      <c r="Y33" s="16">
        <f t="shared" si="0"/>
        <v>0.17405235999999999</v>
      </c>
      <c r="Z33" s="16">
        <f t="shared" si="1"/>
        <v>-0.12744788000000001</v>
      </c>
      <c r="AA33" s="16">
        <f t="shared" si="2"/>
        <v>-7.6817380000000005E-2</v>
      </c>
      <c r="AB33" s="16">
        <f t="shared" si="3"/>
        <v>0.12060889</v>
      </c>
      <c r="AC33" s="17">
        <f t="shared" si="10"/>
        <v>12.458052756295881</v>
      </c>
      <c r="AD33" s="17">
        <f t="shared" si="11"/>
        <v>8.2211597287243752</v>
      </c>
      <c r="AE33" s="17">
        <f t="shared" si="12"/>
        <v>323.78696697416035</v>
      </c>
      <c r="AF33" s="17">
        <f t="shared" si="4"/>
        <v>323.39898201416037</v>
      </c>
    </row>
    <row r="34" spans="1:32" x14ac:dyDescent="0.25">
      <c r="A34" s="14">
        <v>32</v>
      </c>
      <c r="B34" s="14" t="s">
        <v>67</v>
      </c>
      <c r="C34" s="14">
        <v>337.5</v>
      </c>
      <c r="D34" s="14">
        <v>14</v>
      </c>
      <c r="E34" s="15">
        <v>-0.38199287999999998</v>
      </c>
      <c r="F34" s="15">
        <v>-0.38021072</v>
      </c>
      <c r="G34" s="15">
        <v>-1.7821499999999999E-3</v>
      </c>
      <c r="H34" s="15">
        <v>0.57558209999999999</v>
      </c>
      <c r="I34" s="15">
        <v>0.58097140000000003</v>
      </c>
      <c r="J34" s="15">
        <v>-5.3893300000000003E-3</v>
      </c>
      <c r="K34" s="18">
        <v>24.66</v>
      </c>
      <c r="L34" s="18">
        <v>24.66</v>
      </c>
      <c r="M34" s="18">
        <v>0</v>
      </c>
      <c r="N34" s="15">
        <v>0.1175973</v>
      </c>
      <c r="O34" s="15">
        <v>-2.2104140000000001E-2</v>
      </c>
      <c r="P34" s="15">
        <v>0.13970146</v>
      </c>
      <c r="Q34" s="15">
        <v>-0.16674839</v>
      </c>
      <c r="R34" s="15">
        <v>0.15909266</v>
      </c>
      <c r="S34" s="15">
        <v>-0.32584108000000001</v>
      </c>
      <c r="T34" s="14"/>
      <c r="U34" s="15">
        <f t="shared" si="5"/>
        <v>8.9107999999998855E-4</v>
      </c>
      <c r="V34" s="15">
        <f t="shared" si="6"/>
        <v>-2.6946500000000206E-3</v>
      </c>
      <c r="W34" s="15"/>
      <c r="X34" s="15"/>
      <c r="Y34" s="16">
        <f t="shared" si="0"/>
        <v>0.1175973</v>
      </c>
      <c r="Z34" s="16">
        <f t="shared" si="1"/>
        <v>-0.16674839</v>
      </c>
      <c r="AA34" s="16">
        <f t="shared" si="2"/>
        <v>-2.2104140000000001E-2</v>
      </c>
      <c r="AB34" s="16">
        <f t="shared" si="3"/>
        <v>0.15909266</v>
      </c>
      <c r="AC34" s="17">
        <f t="shared" si="10"/>
        <v>11.773569643161515</v>
      </c>
      <c r="AD34" s="17">
        <f t="shared" si="11"/>
        <v>9.2429362111319708</v>
      </c>
      <c r="AE34" s="17">
        <f t="shared" si="12"/>
        <v>305.19294435204449</v>
      </c>
      <c r="AF34" s="17">
        <f t="shared" si="4"/>
        <v>304.81273363204451</v>
      </c>
    </row>
    <row r="37" spans="1:32" x14ac:dyDescent="0.25">
      <c r="A37">
        <v>1</v>
      </c>
      <c r="C37">
        <v>0</v>
      </c>
      <c r="K37">
        <f>(K3+K19)/2</f>
        <v>24.414999999999999</v>
      </c>
      <c r="L37">
        <f>(L3+L19)/2</f>
        <v>24.414999999999999</v>
      </c>
      <c r="M37">
        <f>K37-L37</f>
        <v>0</v>
      </c>
      <c r="U37">
        <f>(U3+U19)/2</f>
        <v>6.2468999999999719E-4</v>
      </c>
      <c r="V37">
        <f>(V3+V19)/2</f>
        <v>-3.5716249999999949E-3</v>
      </c>
      <c r="AC37">
        <f>(AC3+AC19)/2</f>
        <v>10.815968950478437</v>
      </c>
      <c r="AD37">
        <f>(AD3+AD19)/2</f>
        <v>10.346194401816712</v>
      </c>
    </row>
    <row r="38" spans="1:32" x14ac:dyDescent="0.25">
      <c r="A38">
        <v>2</v>
      </c>
      <c r="C38">
        <v>22.5</v>
      </c>
      <c r="K38">
        <f t="shared" ref="K38:L52" si="13">(K4+K20)/2</f>
        <v>24.740000000000002</v>
      </c>
      <c r="L38">
        <f t="shared" si="13"/>
        <v>24.734999999999999</v>
      </c>
      <c r="M38">
        <f t="shared" ref="M38:M52" si="14">K38-L38</f>
        <v>5.000000000002558E-3</v>
      </c>
      <c r="U38">
        <f t="shared" ref="U38:V52" si="15">(U4+U20)/2</f>
        <v>1.7860250000000105E-3</v>
      </c>
      <c r="V38">
        <f t="shared" si="15"/>
        <v>-1.2390149999999822E-3</v>
      </c>
      <c r="AC38">
        <f t="shared" ref="AC38:AD52" si="16">(AC4+AC20)/2</f>
        <v>9.7913921635510217</v>
      </c>
      <c r="AD38">
        <f t="shared" si="16"/>
        <v>11.303693036599778</v>
      </c>
    </row>
    <row r="39" spans="1:32" x14ac:dyDescent="0.25">
      <c r="A39">
        <v>3</v>
      </c>
      <c r="C39">
        <v>45</v>
      </c>
      <c r="K39">
        <f t="shared" si="13"/>
        <v>24.490000000000002</v>
      </c>
      <c r="L39">
        <f t="shared" si="13"/>
        <v>24.5</v>
      </c>
      <c r="M39">
        <f t="shared" si="14"/>
        <v>-9.9999999999980105E-3</v>
      </c>
      <c r="U39">
        <f t="shared" si="15"/>
        <v>2.5293599999999944E-3</v>
      </c>
      <c r="V39">
        <f t="shared" si="15"/>
        <v>-5.9080000000016897E-5</v>
      </c>
      <c r="AC39">
        <f t="shared" si="16"/>
        <v>8.7220183577982322</v>
      </c>
      <c r="AD39">
        <f t="shared" si="16"/>
        <v>12.174247152833136</v>
      </c>
    </row>
    <row r="40" spans="1:32" x14ac:dyDescent="0.25">
      <c r="A40">
        <v>4</v>
      </c>
      <c r="C40">
        <v>67.5</v>
      </c>
      <c r="K40">
        <f t="shared" si="13"/>
        <v>24.35</v>
      </c>
      <c r="L40">
        <f t="shared" si="13"/>
        <v>24.344999999999999</v>
      </c>
      <c r="M40">
        <f t="shared" si="14"/>
        <v>5.000000000002558E-3</v>
      </c>
      <c r="U40">
        <f t="shared" si="15"/>
        <v>3.4464399999999951E-3</v>
      </c>
      <c r="V40">
        <f t="shared" si="15"/>
        <v>1.1015000000000053E-3</v>
      </c>
      <c r="AC40">
        <f t="shared" si="16"/>
        <v>7.8652475605151366</v>
      </c>
      <c r="AD40">
        <f t="shared" si="16"/>
        <v>12.710103456095405</v>
      </c>
    </row>
    <row r="41" spans="1:32" x14ac:dyDescent="0.25">
      <c r="A41">
        <v>5</v>
      </c>
      <c r="C41">
        <v>90</v>
      </c>
      <c r="K41">
        <f t="shared" si="13"/>
        <v>24.509999999999998</v>
      </c>
      <c r="L41">
        <f t="shared" si="13"/>
        <v>24.509999999999998</v>
      </c>
      <c r="M41">
        <f t="shared" si="14"/>
        <v>0</v>
      </c>
      <c r="U41">
        <f t="shared" si="15"/>
        <v>2.0400100000000088E-3</v>
      </c>
      <c r="V41">
        <f t="shared" si="15"/>
        <v>3.0298550000000257E-3</v>
      </c>
      <c r="AC41">
        <f t="shared" si="16"/>
        <v>7.3810627493173149</v>
      </c>
      <c r="AD41">
        <f t="shared" si="16"/>
        <v>12.964745675798035</v>
      </c>
    </row>
    <row r="42" spans="1:32" x14ac:dyDescent="0.25">
      <c r="A42">
        <v>6</v>
      </c>
      <c r="C42">
        <v>112.5</v>
      </c>
      <c r="K42">
        <f t="shared" si="13"/>
        <v>24.51</v>
      </c>
      <c r="L42">
        <f t="shared" si="13"/>
        <v>24.51</v>
      </c>
      <c r="M42">
        <f t="shared" si="14"/>
        <v>0</v>
      </c>
      <c r="U42">
        <f t="shared" si="15"/>
        <v>1.6008699999999904E-3</v>
      </c>
      <c r="V42">
        <f t="shared" si="15"/>
        <v>4.4252700000000089E-3</v>
      </c>
      <c r="AC42">
        <f t="shared" si="16"/>
        <v>7.6085821164508687</v>
      </c>
      <c r="AD42">
        <f t="shared" si="16"/>
        <v>12.89292768930925</v>
      </c>
    </row>
    <row r="43" spans="1:32" x14ac:dyDescent="0.25">
      <c r="A43">
        <v>7</v>
      </c>
      <c r="C43">
        <v>135</v>
      </c>
      <c r="K43">
        <f t="shared" si="13"/>
        <v>24.314999999999998</v>
      </c>
      <c r="L43">
        <f t="shared" si="13"/>
        <v>24.314999999999998</v>
      </c>
      <c r="M43">
        <f t="shared" si="14"/>
        <v>0</v>
      </c>
      <c r="U43">
        <f t="shared" si="15"/>
        <v>1.1880900000000028E-3</v>
      </c>
      <c r="V43">
        <f t="shared" si="15"/>
        <v>2.2250099999999995E-3</v>
      </c>
      <c r="AC43">
        <f t="shared" si="16"/>
        <v>8.3074262314700853</v>
      </c>
      <c r="AD43">
        <f t="shared" si="16"/>
        <v>12.44218083114707</v>
      </c>
    </row>
    <row r="44" spans="1:32" x14ac:dyDescent="0.25">
      <c r="A44">
        <v>8</v>
      </c>
      <c r="C44">
        <v>157.5</v>
      </c>
      <c r="K44">
        <f t="shared" si="13"/>
        <v>24.42</v>
      </c>
      <c r="L44">
        <f t="shared" si="13"/>
        <v>24.42</v>
      </c>
      <c r="M44">
        <f t="shared" si="14"/>
        <v>0</v>
      </c>
      <c r="U44">
        <f t="shared" si="15"/>
        <v>-1.3840650000000038E-3</v>
      </c>
      <c r="V44">
        <f t="shared" si="15"/>
        <v>3.8195249999999903E-3</v>
      </c>
      <c r="AC44">
        <f t="shared" si="16"/>
        <v>9.2676920633379272</v>
      </c>
      <c r="AD44">
        <f t="shared" si="16"/>
        <v>11.748161344672344</v>
      </c>
    </row>
    <row r="45" spans="1:32" x14ac:dyDescent="0.25">
      <c r="A45">
        <v>9</v>
      </c>
      <c r="C45">
        <v>180</v>
      </c>
      <c r="K45">
        <f t="shared" si="13"/>
        <v>24.04</v>
      </c>
      <c r="L45">
        <f t="shared" si="13"/>
        <v>24.05</v>
      </c>
      <c r="M45">
        <f t="shared" si="14"/>
        <v>-1.0000000000001563E-2</v>
      </c>
      <c r="U45">
        <f t="shared" si="15"/>
        <v>-3.1176800000000116E-3</v>
      </c>
      <c r="V45">
        <f t="shared" si="15"/>
        <v>2.7510599999999719E-3</v>
      </c>
      <c r="AC45">
        <f t="shared" si="16"/>
        <v>10.395923722429615</v>
      </c>
      <c r="AD45">
        <f t="shared" si="16"/>
        <v>10.80953172892656</v>
      </c>
    </row>
    <row r="46" spans="1:32" x14ac:dyDescent="0.25">
      <c r="A46">
        <v>10</v>
      </c>
      <c r="C46">
        <v>202.5</v>
      </c>
      <c r="K46">
        <f t="shared" si="13"/>
        <v>24.425000000000001</v>
      </c>
      <c r="L46">
        <f t="shared" si="13"/>
        <v>24.43</v>
      </c>
      <c r="M46">
        <f t="shared" si="14"/>
        <v>-4.9999999999990052E-3</v>
      </c>
      <c r="U46">
        <f t="shared" si="15"/>
        <v>-1.9810549999999955E-3</v>
      </c>
      <c r="V46">
        <f t="shared" si="15"/>
        <v>1.2413449999999771E-3</v>
      </c>
      <c r="AC46">
        <f t="shared" si="16"/>
        <v>11.337227913428499</v>
      </c>
      <c r="AD46">
        <f t="shared" si="16"/>
        <v>9.7472697630403111</v>
      </c>
    </row>
    <row r="47" spans="1:32" x14ac:dyDescent="0.25">
      <c r="A47">
        <v>11</v>
      </c>
      <c r="C47">
        <v>225</v>
      </c>
      <c r="K47">
        <f t="shared" si="13"/>
        <v>24.285</v>
      </c>
      <c r="L47">
        <f t="shared" si="13"/>
        <v>24.285</v>
      </c>
      <c r="M47">
        <f t="shared" si="14"/>
        <v>0</v>
      </c>
      <c r="U47">
        <f t="shared" si="15"/>
        <v>-4.6677300000000088E-3</v>
      </c>
      <c r="V47">
        <f t="shared" si="15"/>
        <v>-1.7998250000000049E-3</v>
      </c>
      <c r="AC47">
        <f t="shared" si="16"/>
        <v>12.23017800076498</v>
      </c>
      <c r="AD47">
        <f t="shared" si="16"/>
        <v>8.5789555250348428</v>
      </c>
    </row>
    <row r="48" spans="1:32" x14ac:dyDescent="0.25">
      <c r="A48">
        <v>12</v>
      </c>
      <c r="C48">
        <v>247.5</v>
      </c>
      <c r="K48">
        <f t="shared" si="13"/>
        <v>24.524999999999999</v>
      </c>
      <c r="L48">
        <f t="shared" si="13"/>
        <v>24.52</v>
      </c>
      <c r="M48">
        <f t="shared" si="14"/>
        <v>4.9999999999990052E-3</v>
      </c>
      <c r="U48">
        <f t="shared" si="15"/>
        <v>-4.3218100000000093E-3</v>
      </c>
      <c r="V48">
        <f t="shared" si="15"/>
        <v>-1.7588699999999957E-3</v>
      </c>
      <c r="AC48">
        <f t="shared" si="16"/>
        <v>12.685667601773396</v>
      </c>
      <c r="AD48">
        <f t="shared" si="16"/>
        <v>7.8495187774501378</v>
      </c>
    </row>
    <row r="49" spans="1:30" x14ac:dyDescent="0.25">
      <c r="A49">
        <v>13</v>
      </c>
      <c r="C49">
        <v>270</v>
      </c>
      <c r="K49">
        <f t="shared" si="13"/>
        <v>24.28</v>
      </c>
      <c r="L49">
        <f t="shared" si="13"/>
        <v>24.27</v>
      </c>
      <c r="M49">
        <f t="shared" si="14"/>
        <v>1.0000000000001563E-2</v>
      </c>
      <c r="U49">
        <f t="shared" si="15"/>
        <v>-3.8073700000000044E-3</v>
      </c>
      <c r="V49">
        <f t="shared" si="15"/>
        <v>-5.3609350000000111E-3</v>
      </c>
      <c r="AC49">
        <f t="shared" si="16"/>
        <v>12.978203862424163</v>
      </c>
      <c r="AD49">
        <f t="shared" si="16"/>
        <v>7.3017888995898117</v>
      </c>
    </row>
    <row r="50" spans="1:30" x14ac:dyDescent="0.25">
      <c r="A50">
        <v>14</v>
      </c>
      <c r="C50">
        <v>292.5</v>
      </c>
      <c r="K50">
        <f t="shared" si="13"/>
        <v>24.325000000000003</v>
      </c>
      <c r="L50">
        <f t="shared" si="13"/>
        <v>24.324999999999999</v>
      </c>
      <c r="M50">
        <f t="shared" si="14"/>
        <v>0</v>
      </c>
      <c r="U50">
        <f t="shared" si="15"/>
        <v>-1.8836350000000085E-3</v>
      </c>
      <c r="V50">
        <f t="shared" si="15"/>
        <v>-3.2920500000000186E-3</v>
      </c>
      <c r="AC50">
        <f t="shared" si="16"/>
        <v>12.863267782459843</v>
      </c>
      <c r="AD50">
        <f t="shared" si="16"/>
        <v>7.5835160381129549</v>
      </c>
    </row>
    <row r="51" spans="1:30" x14ac:dyDescent="0.25">
      <c r="A51">
        <v>15</v>
      </c>
      <c r="C51">
        <v>315</v>
      </c>
      <c r="K51">
        <f t="shared" si="13"/>
        <v>24.405000000000001</v>
      </c>
      <c r="L51">
        <f t="shared" si="13"/>
        <v>24.42</v>
      </c>
      <c r="M51">
        <f t="shared" si="14"/>
        <v>-1.5000000000000568E-2</v>
      </c>
      <c r="U51">
        <f t="shared" si="15"/>
        <v>-3.0285999999999924E-3</v>
      </c>
      <c r="V51">
        <f t="shared" si="15"/>
        <v>-3.6287849999999955E-3</v>
      </c>
      <c r="AC51">
        <f t="shared" si="16"/>
        <v>12.444924522521482</v>
      </c>
      <c r="AD51">
        <f t="shared" si="16"/>
        <v>8.2456284834787361</v>
      </c>
    </row>
    <row r="52" spans="1:30" x14ac:dyDescent="0.25">
      <c r="A52">
        <v>16</v>
      </c>
      <c r="C52">
        <v>337.5</v>
      </c>
      <c r="K52">
        <f t="shared" si="13"/>
        <v>24.619999999999997</v>
      </c>
      <c r="L52">
        <f t="shared" si="13"/>
        <v>24.619999999999997</v>
      </c>
      <c r="M52">
        <f t="shared" si="14"/>
        <v>0</v>
      </c>
      <c r="U52">
        <f t="shared" si="15"/>
        <v>4.6820000000000195E-4</v>
      </c>
      <c r="V52">
        <f t="shared" si="15"/>
        <v>-2.8864000000000112E-3</v>
      </c>
      <c r="AC52">
        <f t="shared" si="16"/>
        <v>11.750869687356506</v>
      </c>
      <c r="AD52">
        <f t="shared" si="16"/>
        <v>9.2517596755764977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2026-08-02T16:48:27Z</dcterms:modified>
</cp:coreProperties>
</file>