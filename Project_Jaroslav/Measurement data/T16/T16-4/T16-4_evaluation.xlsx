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4\"/>
    </mc:Choice>
  </mc:AlternateContent>
  <xr:revisionPtr revIDLastSave="0" documentId="13_ncr:1_{1B0ACE9F-DBB6-4C4C-9C86-554E71D2962E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V52" i="1"/>
  <c r="U52" i="1"/>
  <c r="L52" i="1"/>
  <c r="K52" i="1"/>
  <c r="M52" i="1" s="1"/>
  <c r="V51" i="1"/>
  <c r="U51" i="1"/>
  <c r="L51" i="1"/>
  <c r="K51" i="1"/>
  <c r="M51" i="1" s="1"/>
  <c r="V50" i="1"/>
  <c r="U50" i="1"/>
  <c r="M50" i="1"/>
  <c r="L50" i="1"/>
  <c r="K50" i="1"/>
  <c r="V49" i="1"/>
  <c r="U49" i="1"/>
  <c r="L49" i="1"/>
  <c r="K49" i="1"/>
  <c r="M49" i="1" s="1"/>
  <c r="V48" i="1"/>
  <c r="U48" i="1"/>
  <c r="M48" i="1"/>
  <c r="L48" i="1"/>
  <c r="K48" i="1"/>
  <c r="V47" i="1"/>
  <c r="U47" i="1"/>
  <c r="L47" i="1"/>
  <c r="K47" i="1"/>
  <c r="M47" i="1" s="1"/>
  <c r="V46" i="1"/>
  <c r="U46" i="1"/>
  <c r="L46" i="1"/>
  <c r="K46" i="1"/>
  <c r="M46" i="1" s="1"/>
  <c r="V45" i="1"/>
  <c r="U45" i="1"/>
  <c r="L45" i="1"/>
  <c r="K45" i="1"/>
  <c r="M45" i="1" s="1"/>
  <c r="V44" i="1"/>
  <c r="U44" i="1"/>
  <c r="L44" i="1"/>
  <c r="K44" i="1"/>
  <c r="M44" i="1" s="1"/>
  <c r="V43" i="1"/>
  <c r="U43" i="1"/>
  <c r="L43" i="1"/>
  <c r="M43" i="1" s="1"/>
  <c r="K43" i="1"/>
  <c r="V42" i="1"/>
  <c r="U42" i="1"/>
  <c r="L42" i="1"/>
  <c r="K42" i="1"/>
  <c r="M42" i="1" s="1"/>
  <c r="V41" i="1"/>
  <c r="U41" i="1"/>
  <c r="M41" i="1"/>
  <c r="L41" i="1"/>
  <c r="K41" i="1"/>
  <c r="V40" i="1"/>
  <c r="U40" i="1"/>
  <c r="L40" i="1"/>
  <c r="K40" i="1"/>
  <c r="M40" i="1" s="1"/>
  <c r="V39" i="1"/>
  <c r="U39" i="1"/>
  <c r="L39" i="1"/>
  <c r="K39" i="1"/>
  <c r="M39" i="1" s="1"/>
  <c r="V38" i="1"/>
  <c r="U38" i="1"/>
  <c r="M38" i="1"/>
  <c r="L38" i="1"/>
  <c r="K38" i="1"/>
  <c r="V37" i="1"/>
  <c r="U37" i="1"/>
  <c r="L37" i="1"/>
  <c r="K37" i="1"/>
  <c r="M37" i="1" s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G18" i="2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D8" i="1" l="1"/>
  <c r="AD34" i="1"/>
  <c r="AD33" i="1"/>
  <c r="AE28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<sst xmlns="http://schemas.openxmlformats.org/spreadsheetml/2006/main" count="117" uniqueCount="71">
  <si>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</si>
  <si>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</si>
  <si>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</si>
  <si>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</si>
  <si>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</si>
  <si>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</si>
  <si>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</si>
  <si>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</si>
  <si>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</si>
  <si>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</si>
  <si>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</si>
  <si>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</si>
  <si>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</si>
  <si>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</si>
  <si>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</si>
  <si>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</si>
  <si>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</si>
  <si>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</si>
  <si>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</si>
  <si>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</si>
  <si>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</si>
  <si>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</si>
  <si>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</si>
  <si>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</si>
  <si>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</si>
  <si>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</si>
  <si>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</si>
  <si>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</si>
  <si>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</si>
  <si>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</si>
  <si>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</si>
  <si>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</si>
  <si>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</si>
  <si>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</si>
  <si>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</si>
  <si>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</si>
  <si>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</si>
  <si>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</si>
  <si>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</si>
  <si>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</si>
  <si>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</si>
  <si>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</si>
  <si>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</si>
  <si>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</si>
  <si>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</si>
  <si>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</si>
  <si>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</si>
  <si>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</si>
  <si>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</si>
  <si>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</si>
  <si>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</si>
  <si>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</si>
  <si>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</si>
  <si>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</si>
  <si>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</si>
  <si>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</si>
  <si>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</si>
  <si>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</si>
  <si>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</si>
  <si>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</si>
  <si>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Azimuth-Dependence Test (Randomized 360° Step Scan)</t>
  </si>
  <si>
    <t>living room</t>
  </si>
  <si>
    <t>T16-4</t>
  </si>
  <si>
    <t>←</t>
  </si>
  <si>
    <t>20/90</t>
  </si>
  <si>
    <t>20°/90°</t>
  </si>
  <si>
    <t>CCW</t>
  </si>
  <si>
    <t>CW</t>
  </si>
  <si>
    <t>- Test v různých místnostech
- Rotace ramene CW/CCW
- Náhodné azimuty pro celých 360°
- Různý azimut měřicí sestavy
- Různý azimut ramene při startu
- Různý náklon měřicí sestavy
- Oprava xA-xC na správný směr xC-xA</t>
  </si>
  <si>
    <t>(xC-xA)/2</t>
  </si>
  <si>
    <t>Deviation/
slope azimuth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</si>
</sst>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30"/>
      <color rgb="FF0070C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'T16-4'!$U$2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'T16-4'!$U$3:$U$18</c:f>
              <c:numCache>
                <c:formatCode>0.000000</c:formatCode>
                <c:ptCount val="16"/>
                <c:pt idx="0">
                  <c:v>7.2019100000000058E-3</c:v>
                </c:pt>
                <c:pt idx="1">
                  <c:v>4.6089299999999833E-3</c:v>
                </c:pt>
                <c:pt idx="2">
                  <c:v>6.2911800000000073E-3</c:v>
                </c:pt>
                <c:pt idx="3">
                  <c:v>3.7194499999999853E-3</c:v>
                </c:pt>
                <c:pt idx="4">
                  <c:v>2.1325000000002592E-4</c:v>
                </c:pt>
                <c:pt idx="5">
                  <c:v>-2.0866500000000232E-3</c:v>
                </c:pt>
                <c:pt idx="6">
                  <c:v>-4.2390300000000047E-3</c:v>
                </c:pt>
                <c:pt idx="7">
                  <c:v>-3.4617599999999804E-3</c:v>
                </c:pt>
                <c:pt idx="8">
                  <c:v>-3.4826999999999775E-3</c:v>
                </c:pt>
                <c:pt idx="9">
                  <c:v>-7.0187100000000113E-3</c:v>
                </c:pt>
                <c:pt idx="10">
                  <c:v>-6.3999600000000101E-3</c:v>
                </c:pt>
                <c:pt idx="11">
                  <c:v>-2.013640000000011E-3</c:v>
                </c:pt>
                <c:pt idx="12">
                  <c:v>-1.4788899999999827E-3</c:v>
                </c:pt>
                <c:pt idx="13">
                  <c:v>1.8046800000000029E-3</c:v>
                </c:pt>
                <c:pt idx="14">
                  <c:v>5.5714500000000056E-3</c:v>
                </c:pt>
                <c:pt idx="15">
                  <c:v>6.246859999999993E-3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'T16-4'!$V$3:$V$18</c:f>
              <c:numCache>
                <c:formatCode>0.000000</c:formatCode>
                <c:ptCount val="16"/>
                <c:pt idx="0">
                  <c:v>-1.5230799999999822E-3</c:v>
                </c:pt>
                <c:pt idx="1">
                  <c:v>1.7321499999999879E-3</c:v>
                </c:pt>
                <c:pt idx="2">
                  <c:v>3.5823599999999789E-3</c:v>
                </c:pt>
                <c:pt idx="3">
                  <c:v>8.8000199999999917E-3</c:v>
                </c:pt>
                <c:pt idx="4">
                  <c:v>8.526449999999991E-3</c:v>
                </c:pt>
                <c:pt idx="5">
                  <c:v>7.6566999999999885E-3</c:v>
                </c:pt>
                <c:pt idx="6">
                  <c:v>5.3843999999999836E-3</c:v>
                </c:pt>
                <c:pt idx="7">
                  <c:v>4.0764899999999882E-3</c:v>
                </c:pt>
                <c:pt idx="8">
                  <c:v>1.6711500000000101E-3</c:v>
                </c:pt>
                <c:pt idx="9">
                  <c:v>-2.4354199999999937E-3</c:v>
                </c:pt>
                <c:pt idx="10">
                  <c:v>-5.0566699999999853E-3</c:v>
                </c:pt>
                <c:pt idx="11">
                  <c:v>-7.081930000000014E-3</c:v>
                </c:pt>
                <c:pt idx="12">
                  <c:v>-7.7039199999999752E-3</c:v>
                </c:pt>
                <c:pt idx="13">
                  <c:v>-7.7953699999999959E-3</c:v>
                </c:pt>
                <c:pt idx="14">
                  <c:v>-8.3738699999999777E-3</c:v>
                </c:pt>
                <c:pt idx="15">
                  <c:v>-4.7234399999999954E-3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'T16-4'!$U$2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'T16-4'!$U$19:$U$34</c:f>
              <c:numCache>
                <c:formatCode>0.000000</c:formatCode>
                <c:ptCount val="16"/>
                <c:pt idx="0">
                  <c:v>5.6937499999999974E-3</c:v>
                </c:pt>
                <c:pt idx="1">
                  <c:v>8.8020900000000124E-3</c:v>
                </c:pt>
                <c:pt idx="2">
                  <c:v>4.0384599999999937E-3</c:v>
                </c:pt>
                <c:pt idx="3">
                  <c:v>4.5229200000000136E-3</c:v>
                </c:pt>
                <c:pt idx="4">
                  <c:v>-1.0300099999999979E-3</c:v>
                </c:pt>
                <c:pt idx="5">
                  <c:v>-3.2032399999999961E-3</c:v>
                </c:pt>
                <c:pt idx="6">
                  <c:v>-3.612489999999996E-3</c:v>
                </c:pt>
                <c:pt idx="7">
                  <c:v>-5.4013399999999767E-3</c:v>
                </c:pt>
                <c:pt idx="8">
                  <c:v>-6.078840000000002E-3</c:v>
                </c:pt>
                <c:pt idx="9">
                  <c:v>-5.5349999999999844E-3</c:v>
                </c:pt>
                <c:pt idx="10">
                  <c:v>-7.5149800000000044E-3</c:v>
                </c:pt>
                <c:pt idx="11">
                  <c:v>-3.8882000000000083E-3</c:v>
                </c:pt>
                <c:pt idx="12">
                  <c:v>3.7728000000000761E-4</c:v>
                </c:pt>
                <c:pt idx="13">
                  <c:v>1.0266700000000073E-3</c:v>
                </c:pt>
                <c:pt idx="14">
                  <c:v>5.7567699999999944E-3</c:v>
                </c:pt>
                <c:pt idx="15">
                  <c:v>5.3863700000000014E-3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F-43D6-AD70-35C503724356}"/>
            </c:ext>
          </c:extLst>
        </c:ser>
        <c:ser>
          <c:idx val="3"/>
          <c:order val="3"/>
          <c:tx>
            <c:strRef>
              <c:f>'T16-4'!$V$2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'T16-4'!$V$19:$V$34</c:f>
              <c:numCache>
                <c:formatCode>0.000000</c:formatCode>
                <c:ptCount val="16"/>
                <c:pt idx="0">
                  <c:v>-1.6334000000000071E-3</c:v>
                </c:pt>
                <c:pt idx="1">
                  <c:v>-1.6833299999999829E-3</c:v>
                </c:pt>
                <c:pt idx="2">
                  <c:v>5.1192600000000144E-3</c:v>
                </c:pt>
                <c:pt idx="3">
                  <c:v>8.485439999999983E-3</c:v>
                </c:pt>
                <c:pt idx="4">
                  <c:v>7.5263399999999925E-3</c:v>
                </c:pt>
                <c:pt idx="5">
                  <c:v>6.4902400000000082E-3</c:v>
                </c:pt>
                <c:pt idx="6">
                  <c:v>6.8625200000000108E-3</c:v>
                </c:pt>
                <c:pt idx="7">
                  <c:v>4.3722600000000167E-3</c:v>
                </c:pt>
                <c:pt idx="8">
                  <c:v>1.2673200000000162E-3</c:v>
                </c:pt>
                <c:pt idx="9">
                  <c:v>-7.9376000000000446E-4</c:v>
                </c:pt>
                <c:pt idx="10">
                  <c:v>-3.1400500000000053E-3</c:v>
                </c:pt>
                <c:pt idx="11">
                  <c:v>-6.9264699999999901E-3</c:v>
                </c:pt>
                <c:pt idx="12">
                  <c:v>-8.5114300000000143E-3</c:v>
                </c:pt>
                <c:pt idx="13">
                  <c:v>-7.2300600000000104E-3</c:v>
                </c:pt>
                <c:pt idx="14">
                  <c:v>-4.8023199999999988E-3</c:v>
                </c:pt>
                <c:pt idx="15">
                  <c:v>-4.3716200000000205E-3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F-43D6-AD70-35C50372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9.0000000000000028E-3"/>
          <c:min val="-9.0000000000000028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'T16-4'!$AC$2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'T16-4'!$AC$37:$AC$52</c:f>
              <c:numCache>
                <c:formatCode>General</c:formatCode>
                <c:ptCount val="16"/>
                <c:pt idx="0">
                  <c:v>11.800308596214784</c:v>
                </c:pt>
                <c:pt idx="1">
                  <c:v>11.916165806735158</c:v>
                </c:pt>
                <c:pt idx="2">
                  <c:v>12.520171441811263</c:v>
                </c:pt>
                <c:pt idx="3">
                  <c:v>13.368209805835079</c:v>
                </c:pt>
                <c:pt idx="4">
                  <c:v>14.351414447733802</c:v>
                </c:pt>
                <c:pt idx="5">
                  <c:v>15.325975458427054</c:v>
                </c:pt>
                <c:pt idx="6">
                  <c:v>16.079069601736261</c:v>
                </c:pt>
                <c:pt idx="7">
                  <c:v>16.615241290877897</c:v>
                </c:pt>
                <c:pt idx="8">
                  <c:v>16.876343497539999</c:v>
                </c:pt>
                <c:pt idx="9">
                  <c:v>16.786870331689862</c:v>
                </c:pt>
                <c:pt idx="10">
                  <c:v>16.354965810067725</c:v>
                </c:pt>
                <c:pt idx="11">
                  <c:v>15.71803998271983</c:v>
                </c:pt>
                <c:pt idx="12">
                  <c:v>14.809744986858275</c:v>
                </c:pt>
                <c:pt idx="13">
                  <c:v>13.800715608606414</c:v>
                </c:pt>
                <c:pt idx="14">
                  <c:v>12.880184504270325</c:v>
                </c:pt>
                <c:pt idx="15">
                  <c:v>12.132535179655097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'T16-4'!$AD$2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'T16-4'!$AD$37:$AD$52</c:f>
              <c:numCache>
                <c:formatCode>General</c:formatCode>
                <c:ptCount val="16"/>
                <c:pt idx="0">
                  <c:v>16.903407268304829</c:v>
                </c:pt>
                <c:pt idx="1">
                  <c:v>16.870572042236923</c:v>
                </c:pt>
                <c:pt idx="2">
                  <c:v>16.400029110297091</c:v>
                </c:pt>
                <c:pt idx="3">
                  <c:v>15.7192248360265</c:v>
                </c:pt>
                <c:pt idx="4">
                  <c:v>14.806113124279335</c:v>
                </c:pt>
                <c:pt idx="5">
                  <c:v>13.806729550202085</c:v>
                </c:pt>
                <c:pt idx="6">
                  <c:v>12.87371853408164</c:v>
                </c:pt>
                <c:pt idx="7">
                  <c:v>12.13222454870775</c:v>
                </c:pt>
                <c:pt idx="8">
                  <c:v>11.801952199008785</c:v>
                </c:pt>
                <c:pt idx="9">
                  <c:v>11.97164546457666</c:v>
                </c:pt>
                <c:pt idx="10">
                  <c:v>12.504624205165523</c:v>
                </c:pt>
                <c:pt idx="11">
                  <c:v>13.376328460743995</c:v>
                </c:pt>
                <c:pt idx="12">
                  <c:v>14.363480828136145</c:v>
                </c:pt>
                <c:pt idx="13">
                  <c:v>15.342702711418905</c:v>
                </c:pt>
                <c:pt idx="14">
                  <c:v>16.115933625158611</c:v>
                </c:pt>
                <c:pt idx="15">
                  <c:v>16.665785209985273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'T16-4'!$K$2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'T16-4'!$K$37:$K$52</c:f>
              <c:numCache>
                <c:formatCode>General</c:formatCode>
                <c:ptCount val="16"/>
                <c:pt idx="0">
                  <c:v>27.439999999999998</c:v>
                </c:pt>
                <c:pt idx="1">
                  <c:v>27.439999999999998</c:v>
                </c:pt>
                <c:pt idx="2">
                  <c:v>27.414999999999999</c:v>
                </c:pt>
                <c:pt idx="3">
                  <c:v>27.4</c:v>
                </c:pt>
                <c:pt idx="4">
                  <c:v>27.46</c:v>
                </c:pt>
                <c:pt idx="5">
                  <c:v>27.465</c:v>
                </c:pt>
                <c:pt idx="6">
                  <c:v>27.454999999999998</c:v>
                </c:pt>
                <c:pt idx="7">
                  <c:v>27.414999999999999</c:v>
                </c:pt>
                <c:pt idx="8">
                  <c:v>27.45</c:v>
                </c:pt>
                <c:pt idx="9">
                  <c:v>27.44</c:v>
                </c:pt>
                <c:pt idx="10">
                  <c:v>27.44</c:v>
                </c:pt>
                <c:pt idx="11">
                  <c:v>27.414999999999999</c:v>
                </c:pt>
                <c:pt idx="12">
                  <c:v>27.46</c:v>
                </c:pt>
                <c:pt idx="13">
                  <c:v>27.454999999999998</c:v>
                </c:pt>
                <c:pt idx="14">
                  <c:v>27.4</c:v>
                </c:pt>
                <c:pt idx="15">
                  <c:v>27.405000000000001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'T16-4'!$L$2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'T16-4'!$L$37:$L$52</c:f>
              <c:numCache>
                <c:formatCode>General</c:formatCode>
                <c:ptCount val="16"/>
                <c:pt idx="0">
                  <c:v>27.435000000000002</c:v>
                </c:pt>
                <c:pt idx="1">
                  <c:v>27.424999999999997</c:v>
                </c:pt>
                <c:pt idx="2">
                  <c:v>27.42</c:v>
                </c:pt>
                <c:pt idx="3">
                  <c:v>27.41</c:v>
                </c:pt>
                <c:pt idx="4">
                  <c:v>27.46</c:v>
                </c:pt>
                <c:pt idx="5">
                  <c:v>27.465</c:v>
                </c:pt>
                <c:pt idx="6">
                  <c:v>27.45</c:v>
                </c:pt>
                <c:pt idx="7">
                  <c:v>27.414999999999999</c:v>
                </c:pt>
                <c:pt idx="8">
                  <c:v>27.445</c:v>
                </c:pt>
                <c:pt idx="9">
                  <c:v>27.435000000000002</c:v>
                </c:pt>
                <c:pt idx="10">
                  <c:v>27.445</c:v>
                </c:pt>
                <c:pt idx="11">
                  <c:v>27.405000000000001</c:v>
                </c:pt>
                <c:pt idx="12">
                  <c:v>27.465</c:v>
                </c:pt>
                <c:pt idx="13">
                  <c:v>27.450000000000003</c:v>
                </c:pt>
                <c:pt idx="14">
                  <c:v>27.4</c:v>
                </c:pt>
                <c:pt idx="15">
                  <c:v>27.41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'T16-4'!$D$3:$D$18</c:f>
              <c:numCache>
                <c:formatCode>General</c:formatCode>
                <c:ptCount val="16"/>
                <c:pt idx="0">
                  <c:v>13</c:v>
                </c:pt>
                <c:pt idx="1">
                  <c:v>14</c:v>
                </c:pt>
                <c:pt idx="2">
                  <c:v>17</c:v>
                </c:pt>
                <c:pt idx="3">
                  <c:v>9</c:v>
                </c:pt>
                <c:pt idx="4">
                  <c:v>17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12</c:v>
                </c:pt>
                <c:pt idx="10">
                  <c:v>15</c:v>
                </c:pt>
                <c:pt idx="11">
                  <c:v>11</c:v>
                </c:pt>
                <c:pt idx="12">
                  <c:v>13</c:v>
                </c:pt>
                <c:pt idx="13">
                  <c:v>16</c:v>
                </c:pt>
                <c:pt idx="14">
                  <c:v>21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'T16-4'!$D$19:$D$34</c:f>
              <c:numCache>
                <c:formatCode>General</c:formatCode>
                <c:ptCount val="16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20</c:v>
                </c:pt>
                <c:pt idx="5">
                  <c:v>23</c:v>
                </c:pt>
                <c:pt idx="6">
                  <c:v>16</c:v>
                </c:pt>
                <c:pt idx="7">
                  <c:v>18</c:v>
                </c:pt>
                <c:pt idx="8">
                  <c:v>13</c:v>
                </c:pt>
                <c:pt idx="9">
                  <c:v>20</c:v>
                </c:pt>
                <c:pt idx="10">
                  <c:v>10</c:v>
                </c:pt>
                <c:pt idx="11">
                  <c:v>17</c:v>
                </c:pt>
                <c:pt idx="12">
                  <c:v>11</c:v>
                </c:pt>
                <c:pt idx="13">
                  <c:v>15</c:v>
                </c:pt>
                <c:pt idx="14">
                  <c:v>11</c:v>
                </c:pt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F-4F7C-AD20-37C6CCA8B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'T16-4'!$M$2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'T16-4'!$M$37:$M$52</c:f>
              <c:numCache>
                <c:formatCode>General</c:formatCode>
                <c:ptCount val="16"/>
                <c:pt idx="0">
                  <c:v>4.9999999999954525E-3</c:v>
                </c:pt>
                <c:pt idx="1">
                  <c:v>1.5000000000000568E-2</c:v>
                </c:pt>
                <c:pt idx="2">
                  <c:v>-5.000000000002558E-3</c:v>
                </c:pt>
                <c:pt idx="3">
                  <c:v>-1.0000000000001563E-2</c:v>
                </c:pt>
                <c:pt idx="4">
                  <c:v>0</c:v>
                </c:pt>
                <c:pt idx="5">
                  <c:v>0</c:v>
                </c:pt>
                <c:pt idx="6">
                  <c:v>4.9999999999990052E-3</c:v>
                </c:pt>
                <c:pt idx="7">
                  <c:v>0</c:v>
                </c:pt>
                <c:pt idx="8">
                  <c:v>4.9999999999990052E-3</c:v>
                </c:pt>
                <c:pt idx="9">
                  <c:v>4.9999999999990052E-3</c:v>
                </c:pt>
                <c:pt idx="10">
                  <c:v>-4.9999999999990052E-3</c:v>
                </c:pt>
                <c:pt idx="11">
                  <c:v>9.9999999999980105E-3</c:v>
                </c:pt>
                <c:pt idx="12">
                  <c:v>-4.9999999999990052E-3</c:v>
                </c:pt>
                <c:pt idx="13">
                  <c:v>4.9999999999954525E-3</c:v>
                </c:pt>
                <c:pt idx="14">
                  <c:v>0</c:v>
                </c:pt>
                <c:pt idx="15">
                  <c:v>-4.9999999999990052E-3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'T16-4'!$U$2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'T16-4'!$U$37:$U$52</c:f>
              <c:numCache>
                <c:formatCode>General</c:formatCode>
                <c:ptCount val="16"/>
                <c:pt idx="0">
                  <c:v>6.4478300000000016E-3</c:v>
                </c:pt>
                <c:pt idx="1">
                  <c:v>6.7055099999999979E-3</c:v>
                </c:pt>
                <c:pt idx="2">
                  <c:v>5.1648200000000005E-3</c:v>
                </c:pt>
                <c:pt idx="3">
                  <c:v>4.1211849999999994E-3</c:v>
                </c:pt>
                <c:pt idx="4">
                  <c:v>-4.0837999999998598E-4</c:v>
                </c:pt>
                <c:pt idx="5">
                  <c:v>-2.6449450000000096E-3</c:v>
                </c:pt>
                <c:pt idx="6">
                  <c:v>-3.9257600000000004E-3</c:v>
                </c:pt>
                <c:pt idx="7">
                  <c:v>-4.4315499999999786E-3</c:v>
                </c:pt>
                <c:pt idx="8">
                  <c:v>-4.7807699999999897E-3</c:v>
                </c:pt>
                <c:pt idx="9">
                  <c:v>-6.2768549999999979E-3</c:v>
                </c:pt>
                <c:pt idx="10">
                  <c:v>-6.9574700000000073E-3</c:v>
                </c:pt>
                <c:pt idx="11">
                  <c:v>-2.9509200000000096E-3</c:v>
                </c:pt>
                <c:pt idx="12">
                  <c:v>-5.5080499999998755E-4</c:v>
                </c:pt>
                <c:pt idx="13">
                  <c:v>1.4156750000000051E-3</c:v>
                </c:pt>
                <c:pt idx="14">
                  <c:v>5.66411E-3</c:v>
                </c:pt>
                <c:pt idx="15">
                  <c:v>5.8166149999999972E-3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61C-4564-ADB1-8ABDAC0A0055}"/>
            </c:ext>
          </c:extLst>
        </c:ser>
        <c:ser>
          <c:idx val="1"/>
          <c:order val="1"/>
          <c:tx>
            <c:strRef>
              <c:f>'T16-4'!$V$2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'T16-4'!$C$37:$C$52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'T16-4'!$V$37:$V$52</c:f>
              <c:numCache>
                <c:formatCode>General</c:formatCode>
                <c:ptCount val="16"/>
                <c:pt idx="0">
                  <c:v>-1.5782399999999946E-3</c:v>
                </c:pt>
                <c:pt idx="1">
                  <c:v>2.4410000000002485E-5</c:v>
                </c:pt>
                <c:pt idx="2">
                  <c:v>4.3508099999999966E-3</c:v>
                </c:pt>
                <c:pt idx="3">
                  <c:v>8.6427299999999874E-3</c:v>
                </c:pt>
                <c:pt idx="4">
                  <c:v>8.0263949999999917E-3</c:v>
                </c:pt>
                <c:pt idx="5">
                  <c:v>7.0734699999999984E-3</c:v>
                </c:pt>
                <c:pt idx="6">
                  <c:v>6.1234599999999972E-3</c:v>
                </c:pt>
                <c:pt idx="7">
                  <c:v>4.2243750000000024E-3</c:v>
                </c:pt>
                <c:pt idx="8">
                  <c:v>1.4692350000000132E-3</c:v>
                </c:pt>
                <c:pt idx="9">
                  <c:v>-1.6145899999999991E-3</c:v>
                </c:pt>
                <c:pt idx="10">
                  <c:v>-4.0983599999999953E-3</c:v>
                </c:pt>
                <c:pt idx="11">
                  <c:v>-7.0042000000000021E-3</c:v>
                </c:pt>
                <c:pt idx="12">
                  <c:v>-8.1076749999999947E-3</c:v>
                </c:pt>
                <c:pt idx="13">
                  <c:v>-7.5127150000000031E-3</c:v>
                </c:pt>
                <c:pt idx="14">
                  <c:v>-6.5880949999999883E-3</c:v>
                </c:pt>
                <c:pt idx="15">
                  <c:v>-4.547530000000008E-3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61C-4564-ADB1-8ABDAC0A0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9.0000000000000028E-3"/>
          <c:min val="-9.0000000000000028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605117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593913</xdr:colOff>
      <xdr:row>55</xdr:row>
      <xdr:rowOff>11206</xdr:rowOff>
    </xdr:from>
    <xdr:to>
      <xdr:col>24</xdr:col>
      <xdr:colOff>593913</xdr:colOff>
      <xdr:row>84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57156E-CA00-42C2-B0A3-7DF2BF922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K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7" ht="15.75" customHeight="1" x14ac:dyDescent="0.25">
      <c r="A1" s="77" t="s">
        <v>29</v>
      </c>
      <c r="B1" s="77"/>
      <c r="C1" s="77" t="s">
        <v>62</v>
      </c>
      <c r="D1" s="77"/>
      <c r="E1" s="77" t="s">
        <v>60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AC1" s="26" t="s">
        <v>53</v>
      </c>
      <c r="AD1" s="27"/>
      <c r="AE1" s="27"/>
      <c r="AF1" s="27"/>
      <c r="AG1" s="28"/>
    </row>
    <row r="2" spans="1:37" ht="15.7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AC2" s="29"/>
      <c r="AD2" s="30"/>
      <c r="AE2" s="30"/>
      <c r="AF2" s="30"/>
      <c r="AG2" s="31"/>
    </row>
    <row r="4" spans="1:37" x14ac:dyDescent="0.25">
      <c r="A4" s="76" t="s">
        <v>30</v>
      </c>
      <c r="B4" s="76"/>
      <c r="C4" s="76"/>
      <c r="D4" s="76"/>
      <c r="E4" s="76"/>
      <c r="F4" s="76"/>
      <c r="G4" s="40">
        <v>0</v>
      </c>
      <c r="H4" s="41"/>
      <c r="I4" s="2" t="s">
        <v>18</v>
      </c>
      <c r="K4" s="78" t="s">
        <v>45</v>
      </c>
      <c r="L4" s="78"/>
      <c r="M4" s="78"/>
      <c r="N4" s="78"/>
      <c r="O4" s="78"/>
      <c r="P4" s="78"/>
      <c r="R4" s="78" t="s">
        <v>46</v>
      </c>
      <c r="S4" s="78"/>
      <c r="T4" s="78"/>
      <c r="U4" s="78"/>
      <c r="V4" s="78"/>
      <c r="W4" s="78"/>
      <c r="X4" s="78"/>
      <c r="Y4" s="78"/>
      <c r="AC4" s="69"/>
      <c r="AD4" s="34"/>
      <c r="AE4" s="72" t="s">
        <v>59</v>
      </c>
      <c r="AF4" s="34"/>
      <c r="AG4" s="69"/>
    </row>
    <row r="5" spans="1:37" ht="15.75" customHeight="1" x14ac:dyDescent="0.25">
      <c r="A5" s="37" t="s">
        <v>31</v>
      </c>
      <c r="B5" s="38"/>
      <c r="C5" s="38"/>
      <c r="D5" s="38"/>
      <c r="E5" s="38"/>
      <c r="F5" s="39"/>
      <c r="G5" s="40">
        <v>0</v>
      </c>
      <c r="H5" s="41"/>
      <c r="I5" s="2" t="s">
        <v>18</v>
      </c>
      <c r="K5" s="49" t="s">
        <v>68</v>
      </c>
      <c r="L5" s="50"/>
      <c r="M5" s="50"/>
      <c r="N5" s="50"/>
      <c r="O5" s="50"/>
      <c r="P5" s="51"/>
      <c r="R5" s="79" t="s">
        <v>48</v>
      </c>
      <c r="S5" s="79"/>
      <c r="T5" s="79"/>
      <c r="U5" s="79"/>
      <c r="V5" s="79"/>
      <c r="W5" s="79"/>
      <c r="X5" s="79"/>
      <c r="Y5" s="79"/>
      <c r="AC5" s="69"/>
      <c r="AD5" s="34"/>
      <c r="AE5" s="72"/>
      <c r="AF5" s="34"/>
      <c r="AG5" s="69"/>
    </row>
    <row r="6" spans="1:37" x14ac:dyDescent="0.25">
      <c r="A6" s="76" t="s">
        <v>32</v>
      </c>
      <c r="B6" s="76"/>
      <c r="C6" s="76"/>
      <c r="D6" s="76"/>
      <c r="E6" s="76"/>
      <c r="F6" s="76"/>
      <c r="G6" s="66" t="s">
        <v>64</v>
      </c>
      <c r="H6" s="66"/>
      <c r="I6" s="2" t="s">
        <v>24</v>
      </c>
      <c r="K6" s="52"/>
      <c r="L6" s="53"/>
      <c r="M6" s="53"/>
      <c r="N6" s="53"/>
      <c r="O6" s="53"/>
      <c r="P6" s="54"/>
      <c r="R6" s="79"/>
      <c r="S6" s="79"/>
      <c r="T6" s="79"/>
      <c r="U6" s="79"/>
      <c r="V6" s="79"/>
      <c r="W6" s="79"/>
      <c r="X6" s="79"/>
      <c r="Y6" s="79"/>
      <c r="AC6" s="69"/>
      <c r="AD6" s="34"/>
      <c r="AE6" s="72"/>
      <c r="AF6" s="34"/>
      <c r="AG6" s="69"/>
    </row>
    <row r="7" spans="1:37" ht="15.75" customHeight="1" x14ac:dyDescent="0.25">
      <c r="A7" s="37" t="s">
        <v>52</v>
      </c>
      <c r="B7" s="38"/>
      <c r="C7" s="38"/>
      <c r="D7" s="38"/>
      <c r="E7" s="38"/>
      <c r="F7" s="39"/>
      <c r="G7" s="40" t="s">
        <v>61</v>
      </c>
      <c r="H7" s="41"/>
      <c r="I7" s="2"/>
      <c r="K7" s="52"/>
      <c r="L7" s="53"/>
      <c r="M7" s="53"/>
      <c r="N7" s="53"/>
      <c r="O7" s="53"/>
      <c r="P7" s="54"/>
      <c r="R7" s="79"/>
      <c r="S7" s="79"/>
      <c r="T7" s="79"/>
      <c r="U7" s="79"/>
      <c r="V7" s="79"/>
      <c r="W7" s="79"/>
      <c r="X7" s="79"/>
      <c r="Y7" s="79"/>
      <c r="AC7" s="34"/>
      <c r="AD7" s="34"/>
      <c r="AE7" s="34"/>
      <c r="AF7" s="34"/>
      <c r="AG7" s="34"/>
    </row>
    <row r="8" spans="1:37" x14ac:dyDescent="0.25">
      <c r="A8" s="76" t="s">
        <v>15</v>
      </c>
      <c r="B8" s="76"/>
      <c r="C8" s="76"/>
      <c r="D8" s="76"/>
      <c r="E8" s="76"/>
      <c r="F8" s="76"/>
      <c r="G8" s="80">
        <f>360/((23*60*60)+(56*60)+4.09)</f>
        <v>4.1780746480349299E-3</v>
      </c>
      <c r="H8" s="80"/>
      <c r="I8" s="2" t="s">
        <v>16</v>
      </c>
      <c r="K8" s="52"/>
      <c r="L8" s="53"/>
      <c r="M8" s="53"/>
      <c r="N8" s="53"/>
      <c r="O8" s="53"/>
      <c r="P8" s="54"/>
      <c r="R8" s="79"/>
      <c r="S8" s="79"/>
      <c r="T8" s="79"/>
      <c r="U8" s="79"/>
      <c r="V8" s="79"/>
      <c r="W8" s="79"/>
      <c r="X8" s="79"/>
      <c r="Y8" s="79"/>
      <c r="AC8" s="34"/>
      <c r="AD8" s="34"/>
      <c r="AE8" s="34"/>
      <c r="AF8" s="34"/>
      <c r="AG8" s="34"/>
    </row>
    <row r="9" spans="1:37" x14ac:dyDescent="0.25">
      <c r="A9" s="76" t="s">
        <v>17</v>
      </c>
      <c r="B9" s="76"/>
      <c r="C9" s="76"/>
      <c r="D9" s="76"/>
      <c r="E9" s="76"/>
      <c r="F9" s="76"/>
      <c r="G9" s="66">
        <v>49</v>
      </c>
      <c r="H9" s="66"/>
      <c r="I9" s="2" t="s">
        <v>18</v>
      </c>
      <c r="K9" s="52"/>
      <c r="L9" s="53"/>
      <c r="M9" s="53"/>
      <c r="N9" s="53"/>
      <c r="O9" s="53"/>
      <c r="P9" s="54"/>
      <c r="R9" s="79"/>
      <c r="S9" s="79"/>
      <c r="T9" s="79"/>
      <c r="U9" s="79"/>
      <c r="V9" s="79"/>
      <c r="W9" s="79"/>
      <c r="X9" s="79"/>
      <c r="Y9" s="79"/>
      <c r="AC9" s="34"/>
      <c r="AD9" s="35"/>
      <c r="AE9" s="35"/>
      <c r="AF9" s="35"/>
      <c r="AG9" s="34"/>
    </row>
    <row r="10" spans="1:37" ht="15.75" customHeight="1" x14ac:dyDescent="0.25">
      <c r="A10" s="61" t="s">
        <v>19</v>
      </c>
      <c r="B10" s="62"/>
      <c r="C10" s="62"/>
      <c r="D10" s="62"/>
      <c r="E10" s="62"/>
      <c r="F10" s="63"/>
      <c r="G10" s="64">
        <f>(COS(RADIANS(G9))*G8)</f>
        <v>2.7410635966396515E-3</v>
      </c>
      <c r="H10" s="65"/>
      <c r="I10" s="3" t="s">
        <v>16</v>
      </c>
      <c r="K10" s="52"/>
      <c r="L10" s="53"/>
      <c r="M10" s="53"/>
      <c r="N10" s="53"/>
      <c r="O10" s="53"/>
      <c r="P10" s="54"/>
      <c r="R10" s="13"/>
      <c r="S10" s="13"/>
      <c r="T10" s="13"/>
      <c r="U10" s="13"/>
      <c r="V10" s="13"/>
      <c r="W10" s="13"/>
      <c r="X10" s="13"/>
      <c r="Y10" s="13"/>
      <c r="AC10" s="73" t="s">
        <v>49</v>
      </c>
      <c r="AD10" s="74"/>
      <c r="AE10" s="75" t="s">
        <v>51</v>
      </c>
      <c r="AF10" s="74"/>
      <c r="AG10" s="32" t="s">
        <v>49</v>
      </c>
      <c r="AI10" s="36" t="s">
        <v>70</v>
      </c>
      <c r="AJ10" s="36"/>
      <c r="AK10" s="36"/>
    </row>
    <row r="11" spans="1:37" ht="15.75" customHeight="1" x14ac:dyDescent="0.25">
      <c r="A11" s="76" t="s">
        <v>33</v>
      </c>
      <c r="B11" s="76"/>
      <c r="C11" s="76"/>
      <c r="D11" s="76"/>
      <c r="E11" s="76"/>
      <c r="F11" s="76"/>
      <c r="G11" s="66">
        <v>22.5</v>
      </c>
      <c r="H11" s="66"/>
      <c r="I11" s="2" t="s">
        <v>18</v>
      </c>
      <c r="K11" s="52"/>
      <c r="L11" s="53"/>
      <c r="M11" s="53"/>
      <c r="N11" s="53"/>
      <c r="O11" s="53"/>
      <c r="P11" s="54"/>
      <c r="R11" s="13"/>
      <c r="S11" s="13"/>
      <c r="T11" s="13"/>
      <c r="U11" s="13"/>
      <c r="V11" s="13"/>
      <c r="W11" s="13"/>
      <c r="X11" s="13"/>
      <c r="Y11" s="13"/>
      <c r="AC11" s="73"/>
      <c r="AD11" s="74"/>
      <c r="AE11" s="75"/>
      <c r="AF11" s="74"/>
      <c r="AG11" s="32"/>
      <c r="AI11" s="36"/>
      <c r="AJ11" s="36"/>
      <c r="AK11" s="36"/>
    </row>
    <row r="12" spans="1:37" ht="15.75" customHeight="1" x14ac:dyDescent="0.25">
      <c r="A12" s="37" t="s">
        <v>34</v>
      </c>
      <c r="B12" s="38"/>
      <c r="C12" s="38"/>
      <c r="D12" s="38"/>
      <c r="E12" s="38"/>
      <c r="F12" s="39"/>
      <c r="G12" s="40">
        <f>360/G11</f>
        <v>16</v>
      </c>
      <c r="H12" s="41"/>
      <c r="I12" s="2"/>
      <c r="K12" s="52"/>
      <c r="L12" s="53"/>
      <c r="M12" s="53"/>
      <c r="N12" s="53"/>
      <c r="O12" s="53"/>
      <c r="P12" s="54"/>
      <c r="R12" s="8"/>
      <c r="S12" s="8"/>
      <c r="T12" s="8"/>
      <c r="U12" s="8"/>
      <c r="V12" s="8"/>
      <c r="W12" s="8"/>
      <c r="X12" s="8"/>
      <c r="Y12" s="8"/>
      <c r="AC12" s="73"/>
      <c r="AD12" s="74"/>
      <c r="AE12" s="75"/>
      <c r="AF12" s="74"/>
      <c r="AG12" s="32"/>
      <c r="AI12" s="36"/>
      <c r="AJ12" s="36"/>
      <c r="AK12" s="36"/>
    </row>
    <row r="13" spans="1:37" ht="15.75" customHeight="1" x14ac:dyDescent="0.25">
      <c r="A13" s="76" t="s">
        <v>20</v>
      </c>
      <c r="B13" s="76"/>
      <c r="C13" s="76"/>
      <c r="D13" s="76"/>
      <c r="E13" s="76"/>
      <c r="F13" s="76"/>
      <c r="G13" s="66" t="s">
        <v>47</v>
      </c>
      <c r="H13" s="66"/>
      <c r="I13" s="2"/>
      <c r="K13" s="52"/>
      <c r="L13" s="53"/>
      <c r="M13" s="53"/>
      <c r="N13" s="53"/>
      <c r="O13" s="53"/>
      <c r="P13" s="54"/>
      <c r="R13" s="81" t="s">
        <v>25</v>
      </c>
      <c r="S13" s="81"/>
      <c r="T13" s="81" t="s">
        <v>26</v>
      </c>
      <c r="U13" s="81"/>
      <c r="V13" s="81" t="s">
        <v>27</v>
      </c>
      <c r="W13" s="81"/>
      <c r="X13" s="81" t="s">
        <v>28</v>
      </c>
      <c r="Y13" s="81"/>
      <c r="AC13" s="48" t="s">
        <v>49</v>
      </c>
      <c r="AD13" s="42"/>
      <c r="AE13" s="42" t="s">
        <v>50</v>
      </c>
      <c r="AF13" s="42"/>
      <c r="AG13" s="33" t="s">
        <v>49</v>
      </c>
      <c r="AH13" s="24" t="s">
        <v>63</v>
      </c>
      <c r="AI13" s="25" t="s">
        <v>65</v>
      </c>
      <c r="AJ13" s="25"/>
    </row>
    <row r="14" spans="1:37" ht="15.75" customHeight="1" x14ac:dyDescent="0.25">
      <c r="A14" s="37" t="s">
        <v>21</v>
      </c>
      <c r="B14" s="38"/>
      <c r="C14" s="38"/>
      <c r="D14" s="38"/>
      <c r="E14" s="38"/>
      <c r="F14" s="39"/>
      <c r="G14" s="40">
        <v>480</v>
      </c>
      <c r="H14" s="41"/>
      <c r="I14" s="2"/>
      <c r="K14" s="52"/>
      <c r="L14" s="53"/>
      <c r="M14" s="53"/>
      <c r="N14" s="53"/>
      <c r="O14" s="53"/>
      <c r="P14" s="54"/>
      <c r="R14" s="81"/>
      <c r="S14" s="81"/>
      <c r="T14" s="81"/>
      <c r="U14" s="81"/>
      <c r="V14" s="81"/>
      <c r="W14" s="81"/>
      <c r="X14" s="81"/>
      <c r="Y14" s="81"/>
      <c r="AC14" s="48"/>
      <c r="AD14" s="43"/>
      <c r="AE14" s="43"/>
      <c r="AF14" s="43"/>
      <c r="AG14" s="33"/>
      <c r="AH14" s="24"/>
      <c r="AI14" s="25"/>
      <c r="AJ14" s="25"/>
    </row>
    <row r="15" spans="1:37" ht="15.75" customHeight="1" x14ac:dyDescent="0.25">
      <c r="A15" s="37" t="s">
        <v>22</v>
      </c>
      <c r="B15" s="38"/>
      <c r="C15" s="38"/>
      <c r="D15" s="38"/>
      <c r="E15" s="38"/>
      <c r="F15" s="39"/>
      <c r="G15" s="40">
        <v>200</v>
      </c>
      <c r="H15" s="41"/>
      <c r="I15" s="2"/>
      <c r="K15" s="52"/>
      <c r="L15" s="53"/>
      <c r="M15" s="53"/>
      <c r="N15" s="53"/>
      <c r="O15" s="53"/>
      <c r="P15" s="54"/>
      <c r="R15" s="81"/>
      <c r="S15" s="81"/>
      <c r="T15" s="81"/>
      <c r="U15" s="81"/>
      <c r="V15" s="81"/>
      <c r="W15" s="81"/>
      <c r="X15" s="81"/>
      <c r="Y15" s="81"/>
      <c r="AC15" s="48"/>
      <c r="AD15" s="44"/>
      <c r="AE15" s="44"/>
      <c r="AF15" s="44"/>
      <c r="AG15" s="33"/>
      <c r="AH15" s="24"/>
      <c r="AI15" s="25"/>
      <c r="AJ15" s="25"/>
    </row>
    <row r="16" spans="1:37" ht="15.75" customHeight="1" x14ac:dyDescent="0.25">
      <c r="A16" s="37" t="s">
        <v>23</v>
      </c>
      <c r="B16" s="38"/>
      <c r="C16" s="38"/>
      <c r="D16" s="38"/>
      <c r="E16" s="38"/>
      <c r="F16" s="39"/>
      <c r="G16" s="40">
        <v>50</v>
      </c>
      <c r="H16" s="41"/>
      <c r="I16" s="2"/>
      <c r="K16" s="52"/>
      <c r="L16" s="53"/>
      <c r="M16" s="53"/>
      <c r="N16" s="53"/>
      <c r="O16" s="53"/>
      <c r="P16" s="54"/>
      <c r="R16" s="81"/>
      <c r="S16" s="81"/>
      <c r="T16" s="81"/>
      <c r="U16" s="81"/>
      <c r="V16" s="81"/>
      <c r="W16" s="81"/>
      <c r="X16" s="81"/>
      <c r="Y16" s="81"/>
      <c r="AC16" s="48" t="s">
        <v>49</v>
      </c>
      <c r="AD16" s="45"/>
      <c r="AE16" s="42" t="s">
        <v>49</v>
      </c>
      <c r="AF16" s="42"/>
      <c r="AG16" s="33" t="s">
        <v>49</v>
      </c>
    </row>
    <row r="17" spans="1:33" ht="15.75" customHeight="1" x14ac:dyDescent="0.25">
      <c r="A17" s="58" t="s">
        <v>36</v>
      </c>
      <c r="B17" s="59"/>
      <c r="C17" s="59"/>
      <c r="D17" s="59"/>
      <c r="E17" s="59"/>
      <c r="F17" s="60"/>
      <c r="G17" s="83">
        <v>400</v>
      </c>
      <c r="H17" s="84"/>
      <c r="I17" s="4" t="s">
        <v>18</v>
      </c>
      <c r="K17" s="52"/>
      <c r="L17" s="53"/>
      <c r="M17" s="53"/>
      <c r="N17" s="53"/>
      <c r="O17" s="53"/>
      <c r="P17" s="54"/>
      <c r="R17" s="82">
        <f>MIN('T16-4'!U3:U18)</f>
        <v>-7.0187100000000113E-3</v>
      </c>
      <c r="S17" s="82"/>
      <c r="T17" s="82">
        <f>MIN('T16-4'!V3:V18)</f>
        <v>-8.3738699999999777E-3</v>
      </c>
      <c r="U17" s="82"/>
      <c r="V17" s="82">
        <f>MAX('T16-4'!U3:U18)</f>
        <v>7.2019100000000058E-3</v>
      </c>
      <c r="W17" s="82"/>
      <c r="X17" s="82">
        <f>MAX('T16-4'!V3:V18)</f>
        <v>8.8000199999999917E-3</v>
      </c>
      <c r="Y17" s="82"/>
      <c r="AC17" s="48"/>
      <c r="AD17" s="46"/>
      <c r="AE17" s="43"/>
      <c r="AF17" s="43"/>
      <c r="AG17" s="33"/>
    </row>
    <row r="18" spans="1:33" ht="15.75" customHeight="1" x14ac:dyDescent="0.25">
      <c r="A18" s="58" t="s">
        <v>35</v>
      </c>
      <c r="B18" s="59"/>
      <c r="C18" s="59"/>
      <c r="D18" s="59"/>
      <c r="E18" s="59"/>
      <c r="F18" s="60"/>
      <c r="G18" s="83">
        <f>G14*G15*2</f>
        <v>192000</v>
      </c>
      <c r="H18" s="84"/>
      <c r="I18" s="2"/>
      <c r="K18" s="55"/>
      <c r="L18" s="56"/>
      <c r="M18" s="56"/>
      <c r="N18" s="56"/>
      <c r="O18" s="56"/>
      <c r="P18" s="57"/>
      <c r="R18" s="82"/>
      <c r="S18" s="82"/>
      <c r="T18" s="82"/>
      <c r="U18" s="82"/>
      <c r="V18" s="82"/>
      <c r="W18" s="82"/>
      <c r="X18" s="82"/>
      <c r="Y18" s="82"/>
      <c r="AC18" s="48"/>
      <c r="AD18" s="47"/>
      <c r="AE18" s="44"/>
      <c r="AF18" s="44"/>
      <c r="AG18" s="33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67" t="s">
        <v>49</v>
      </c>
      <c r="AD19" s="70" t="s">
        <v>49</v>
      </c>
      <c r="AE19" s="70" t="s">
        <v>49</v>
      </c>
      <c r="AF19" s="70" t="s">
        <v>49</v>
      </c>
      <c r="AG19" s="68" t="s">
        <v>49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67"/>
      <c r="AD20" s="71"/>
      <c r="AE20" s="71"/>
      <c r="AF20" s="71"/>
      <c r="AG20" s="68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67"/>
      <c r="AD21" s="71"/>
      <c r="AE21" s="71"/>
      <c r="AF21" s="71"/>
      <c r="AG21" s="68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9"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A1:B2"/>
    <mergeCell ref="C1:D2"/>
    <mergeCell ref="E1:Y2"/>
    <mergeCell ref="K4:P4"/>
    <mergeCell ref="A4:F4"/>
    <mergeCell ref="R4:Y4"/>
    <mergeCell ref="G11:H11"/>
    <mergeCell ref="G13:H13"/>
    <mergeCell ref="A9:F9"/>
    <mergeCell ref="A11:F11"/>
    <mergeCell ref="G4:H4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10:F10"/>
    <mergeCell ref="G10:H10"/>
    <mergeCell ref="G9:H9"/>
    <mergeCell ref="AH13:AH15"/>
    <mergeCell ref="AI13:AJ15"/>
    <mergeCell ref="AC1:AG2"/>
    <mergeCell ref="AG10:AG12"/>
    <mergeCell ref="AG13:AG15"/>
    <mergeCell ref="AC7:AC9"/>
    <mergeCell ref="AD7:AD9"/>
    <mergeCell ref="AE7:AE9"/>
    <mergeCell ref="AF7:AF9"/>
    <mergeCell ref="AG7:AG9"/>
    <mergeCell ref="AI10:AK12"/>
  </mergeCells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workbookViewId="0">
      <selection activeCell="Z39" sqref="Z39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69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66</v>
      </c>
      <c r="C3" s="14">
        <v>0</v>
      </c>
      <c r="D3" s="14">
        <v>13</v>
      </c>
      <c r="E3" s="15">
        <v>-0.27384227999999999</v>
      </c>
      <c r="F3" s="15">
        <v>-0.25943845999999998</v>
      </c>
      <c r="G3" s="15">
        <v>-1.4403819999999999E-2</v>
      </c>
      <c r="H3" s="15">
        <v>0.39486544000000001</v>
      </c>
      <c r="I3" s="15">
        <v>0.39791159999999998</v>
      </c>
      <c r="J3" s="15">
        <v>-3.0461300000000002E-3</v>
      </c>
      <c r="K3" s="18">
        <v>27.45</v>
      </c>
      <c r="L3" s="18">
        <v>27.45</v>
      </c>
      <c r="M3" s="18">
        <v>0</v>
      </c>
      <c r="N3" s="15">
        <v>-0.2053249</v>
      </c>
      <c r="O3" s="15">
        <v>0.29011303999999999</v>
      </c>
      <c r="P3" s="15">
        <v>-0.49543791999999998</v>
      </c>
      <c r="Q3" s="15">
        <v>1.8933999999999999E-3</v>
      </c>
      <c r="R3" s="15">
        <v>-1.1893219999999999E-2</v>
      </c>
      <c r="S3" s="15">
        <v>1.3786619999999999E-2</v>
      </c>
      <c r="T3" s="14"/>
      <c r="U3" s="15">
        <f>(F3-E3)/2</f>
        <v>7.2019100000000058E-3</v>
      </c>
      <c r="V3" s="15">
        <f>(H3-I3)/2</f>
        <v>-1.5230799999999822E-3</v>
      </c>
      <c r="W3" s="15"/>
      <c r="X3" s="15"/>
      <c r="Y3" s="16">
        <f t="shared" ref="Y3:Y34" si="0">N3</f>
        <v>-0.2053249</v>
      </c>
      <c r="Z3" s="16">
        <f t="shared" ref="Z3:Z34" si="1">Q3</f>
        <v>1.8933999999999999E-3</v>
      </c>
      <c r="AA3" s="16">
        <f t="shared" ref="AA3:AA34" si="2">O3</f>
        <v>0.29011303999999999</v>
      </c>
      <c r="AB3" s="16">
        <f t="shared" ref="AB3:AB34" si="3">R3</f>
        <v>-1.1893219999999999E-2</v>
      </c>
      <c r="AC3" s="17">
        <f>IF(Y3="","",DEGREES(ASIN(SQRT(Y3^2+Z3^2))))</f>
        <v>11.849030111716694</v>
      </c>
      <c r="AD3" s="17">
        <f>IF(AA3="","",DEGREES(ASIN(SQRT(AA3^2+AB3^2))))</f>
        <v>16.879313512123275</v>
      </c>
      <c r="AE3" s="17">
        <f>IF(Y3="","",MOD(DEGREES(ATAN2(Y3,Z3)),360))</f>
        <v>179.47166293963377</v>
      </c>
      <c r="AF3" s="17">
        <f t="shared" ref="AF3:AF34" si="4">IF(Y3="","",MOD(F3+AE3,360))</f>
        <v>179.21222447963376</v>
      </c>
    </row>
    <row r="4" spans="1:32" x14ac:dyDescent="0.25">
      <c r="A4" s="14">
        <v>2</v>
      </c>
      <c r="B4" s="14" t="s">
        <v>66</v>
      </c>
      <c r="C4" s="14">
        <v>22.5</v>
      </c>
      <c r="D4" s="14">
        <v>14</v>
      </c>
      <c r="E4" s="15">
        <v>-0.26951429999999998</v>
      </c>
      <c r="F4" s="15">
        <v>-0.26029644000000002</v>
      </c>
      <c r="G4" s="15">
        <v>-9.2178599999999996E-3</v>
      </c>
      <c r="H4" s="15">
        <v>0.39801789999999998</v>
      </c>
      <c r="I4" s="15">
        <v>0.3945536</v>
      </c>
      <c r="J4" s="15">
        <v>3.46431E-3</v>
      </c>
      <c r="K4" s="18">
        <v>27.47</v>
      </c>
      <c r="L4" s="18">
        <v>27.45</v>
      </c>
      <c r="M4" s="18">
        <v>0.01</v>
      </c>
      <c r="N4" s="15">
        <v>-0.1827867</v>
      </c>
      <c r="O4" s="15">
        <v>0.26763063999999998</v>
      </c>
      <c r="P4" s="15">
        <v>-0.45041732000000001</v>
      </c>
      <c r="Q4" s="15">
        <v>9.740828E-2</v>
      </c>
      <c r="R4" s="15">
        <v>-0.10711688</v>
      </c>
      <c r="S4" s="15">
        <v>0.20452516000000001</v>
      </c>
      <c r="T4" s="14"/>
      <c r="U4" s="15">
        <f t="shared" ref="U4:U34" si="5">(F4-E4)/2</f>
        <v>4.6089299999999833E-3</v>
      </c>
      <c r="V4" s="15">
        <f t="shared" ref="V4:V34" si="6">(H4-I4)/2</f>
        <v>1.7321499999999879E-3</v>
      </c>
      <c r="W4" s="15"/>
      <c r="X4" s="15"/>
      <c r="Y4" s="16">
        <f t="shared" si="0"/>
        <v>-0.1827867</v>
      </c>
      <c r="Z4" s="16">
        <f t="shared" si="1"/>
        <v>9.740828E-2</v>
      </c>
      <c r="AA4" s="16">
        <f t="shared" si="2"/>
        <v>0.26763063999999998</v>
      </c>
      <c r="AB4" s="16">
        <f t="shared" si="3"/>
        <v>-0.10711688</v>
      </c>
      <c r="AC4" s="17">
        <f t="shared" ref="AC4:AC18" si="7">IF(Y4="","",DEGREES(ASIN(SQRT(Y4^2+Z4^2))))</f>
        <v>11.953722848737458</v>
      </c>
      <c r="AD4" s="17">
        <f t="shared" ref="AD4:AD18" si="8">IF(AA4="","",DEGREES(ASIN(SQRT(AA4^2+AB4^2))))</f>
        <v>16.754473255717325</v>
      </c>
      <c r="AE4" s="17">
        <f t="shared" ref="AE4:AE18" si="9">IF(Y4="","",MOD(DEGREES(ATAN2(Y4,Z4)),360))</f>
        <v>151.94654186622512</v>
      </c>
      <c r="AF4" s="17">
        <f t="shared" si="4"/>
        <v>151.68624542622513</v>
      </c>
    </row>
    <row r="5" spans="1:32" x14ac:dyDescent="0.25">
      <c r="A5" s="14">
        <v>3</v>
      </c>
      <c r="B5" s="14" t="s">
        <v>66</v>
      </c>
      <c r="C5" s="14">
        <v>45</v>
      </c>
      <c r="D5" s="14">
        <v>17</v>
      </c>
      <c r="E5" s="15">
        <v>-0.27099412</v>
      </c>
      <c r="F5" s="15">
        <v>-0.25841175999999999</v>
      </c>
      <c r="G5" s="15">
        <v>-1.2582360000000001E-2</v>
      </c>
      <c r="H5" s="15">
        <v>0.40239123999999998</v>
      </c>
      <c r="I5" s="15">
        <v>0.39522652000000003</v>
      </c>
      <c r="J5" s="15">
        <v>7.1647200000000003E-3</v>
      </c>
      <c r="K5" s="18">
        <v>27.41</v>
      </c>
      <c r="L5" s="18">
        <v>27.41</v>
      </c>
      <c r="M5" s="18">
        <v>0</v>
      </c>
      <c r="N5" s="15">
        <v>-0.12747542000000001</v>
      </c>
      <c r="O5" s="15">
        <v>0.21252599999999999</v>
      </c>
      <c r="P5" s="15">
        <v>-0.34000140000000001</v>
      </c>
      <c r="Q5" s="15">
        <v>0.17549545999999999</v>
      </c>
      <c r="R5" s="15">
        <v>-0.18583668</v>
      </c>
      <c r="S5" s="15">
        <v>0.36133211999999998</v>
      </c>
      <c r="T5" s="14"/>
      <c r="U5" s="15">
        <f t="shared" si="5"/>
        <v>6.2911800000000073E-3</v>
      </c>
      <c r="V5" s="15">
        <f t="shared" si="6"/>
        <v>3.5823599999999789E-3</v>
      </c>
      <c r="W5" s="15"/>
      <c r="X5" s="15"/>
      <c r="Y5" s="16">
        <f t="shared" si="0"/>
        <v>-0.12747542000000001</v>
      </c>
      <c r="Z5" s="16">
        <f t="shared" si="1"/>
        <v>0.17549545999999999</v>
      </c>
      <c r="AA5" s="16">
        <f t="shared" si="2"/>
        <v>0.21252599999999999</v>
      </c>
      <c r="AB5" s="16">
        <f t="shared" si="3"/>
        <v>-0.18583668</v>
      </c>
      <c r="AC5" s="17">
        <f t="shared" si="7"/>
        <v>12.527429882811594</v>
      </c>
      <c r="AD5" s="17">
        <f t="shared" si="8"/>
        <v>16.398505856774744</v>
      </c>
      <c r="AE5" s="17">
        <f t="shared" si="9"/>
        <v>125.99369685165478</v>
      </c>
      <c r="AF5" s="17">
        <f t="shared" si="4"/>
        <v>125.73528509165477</v>
      </c>
    </row>
    <row r="6" spans="1:32" x14ac:dyDescent="0.25">
      <c r="A6" s="14">
        <v>4</v>
      </c>
      <c r="B6" s="14" t="s">
        <v>66</v>
      </c>
      <c r="C6" s="14">
        <v>67.5</v>
      </c>
      <c r="D6" s="14">
        <v>9</v>
      </c>
      <c r="E6" s="15">
        <v>-0.27154445999999999</v>
      </c>
      <c r="F6" s="15">
        <v>-0.26410556000000002</v>
      </c>
      <c r="G6" s="15">
        <v>-7.4389E-3</v>
      </c>
      <c r="H6" s="15">
        <v>0.41095564000000001</v>
      </c>
      <c r="I6" s="15">
        <v>0.39335560000000003</v>
      </c>
      <c r="J6" s="15">
        <v>1.7600060000000001E-2</v>
      </c>
      <c r="K6" s="18">
        <v>27.41</v>
      </c>
      <c r="L6" s="18">
        <v>27.42</v>
      </c>
      <c r="M6" s="18">
        <v>-0.01</v>
      </c>
      <c r="N6" s="15">
        <v>-4.4941410000000001E-2</v>
      </c>
      <c r="O6" s="15">
        <v>0.13131374000000001</v>
      </c>
      <c r="P6" s="15">
        <v>-0.17625515999999999</v>
      </c>
      <c r="Q6" s="15">
        <v>0.22667860000000001</v>
      </c>
      <c r="R6" s="15">
        <v>-0.23672470000000001</v>
      </c>
      <c r="S6" s="15">
        <v>0.46340327999999997</v>
      </c>
      <c r="T6" s="14"/>
      <c r="U6" s="15">
        <f t="shared" si="5"/>
        <v>3.7194499999999853E-3</v>
      </c>
      <c r="V6" s="15">
        <f t="shared" si="6"/>
        <v>8.8000199999999917E-3</v>
      </c>
      <c r="W6" s="15"/>
      <c r="X6" s="15"/>
      <c r="Y6" s="16">
        <f t="shared" si="0"/>
        <v>-4.4941410000000001E-2</v>
      </c>
      <c r="Z6" s="16">
        <f t="shared" si="1"/>
        <v>0.22667860000000001</v>
      </c>
      <c r="AA6" s="16">
        <f t="shared" si="2"/>
        <v>0.13131374000000001</v>
      </c>
      <c r="AB6" s="16">
        <f t="shared" si="3"/>
        <v>-0.23672470000000001</v>
      </c>
      <c r="AC6" s="17">
        <f t="shared" si="7"/>
        <v>13.361295128080812</v>
      </c>
      <c r="AD6" s="17">
        <f t="shared" si="8"/>
        <v>15.706298045451089</v>
      </c>
      <c r="AE6" s="17">
        <f t="shared" si="9"/>
        <v>101.2140671681027</v>
      </c>
      <c r="AF6" s="17">
        <f t="shared" si="4"/>
        <v>100.9499616081027</v>
      </c>
    </row>
    <row r="7" spans="1:32" x14ac:dyDescent="0.25">
      <c r="A7" s="14">
        <v>5</v>
      </c>
      <c r="B7" s="14" t="s">
        <v>66</v>
      </c>
      <c r="C7" s="14">
        <v>90</v>
      </c>
      <c r="D7" s="14">
        <v>17</v>
      </c>
      <c r="E7" s="15">
        <v>-0.26535296000000003</v>
      </c>
      <c r="F7" s="15">
        <v>-0.26492645999999997</v>
      </c>
      <c r="G7" s="15">
        <v>-4.2650000000000001E-4</v>
      </c>
      <c r="H7" s="15">
        <v>0.40417059999999999</v>
      </c>
      <c r="I7" s="15">
        <v>0.38711770000000001</v>
      </c>
      <c r="J7" s="15">
        <v>1.7052890000000001E-2</v>
      </c>
      <c r="K7" s="18">
        <v>27.48</v>
      </c>
      <c r="L7" s="18">
        <v>27.48</v>
      </c>
      <c r="M7" s="18">
        <v>0.01</v>
      </c>
      <c r="N7" s="15">
        <v>5.0169180000000001E-2</v>
      </c>
      <c r="O7" s="15">
        <v>3.4597450000000002E-2</v>
      </c>
      <c r="P7" s="15">
        <v>1.5571720000000001E-2</v>
      </c>
      <c r="Q7" s="15">
        <v>0.2426719</v>
      </c>
      <c r="R7" s="15">
        <v>-0.25303224000000002</v>
      </c>
      <c r="S7" s="15">
        <v>0.49570416</v>
      </c>
      <c r="T7" s="14"/>
      <c r="U7" s="15">
        <f t="shared" si="5"/>
        <v>2.1325000000002592E-4</v>
      </c>
      <c r="V7" s="15">
        <f t="shared" si="6"/>
        <v>8.526449999999991E-3</v>
      </c>
      <c r="W7" s="15"/>
      <c r="X7" s="15"/>
      <c r="Y7" s="16">
        <f t="shared" si="0"/>
        <v>5.0169180000000001E-2</v>
      </c>
      <c r="Z7" s="16">
        <f t="shared" si="1"/>
        <v>0.2426719</v>
      </c>
      <c r="AA7" s="16">
        <f t="shared" si="2"/>
        <v>3.4597450000000002E-2</v>
      </c>
      <c r="AB7" s="16">
        <f t="shared" si="3"/>
        <v>-0.25303224000000002</v>
      </c>
      <c r="AC7" s="17">
        <f t="shared" si="7"/>
        <v>14.347575363337567</v>
      </c>
      <c r="AD7" s="17">
        <f t="shared" si="8"/>
        <v>14.796492194676022</v>
      </c>
      <c r="AE7" s="17">
        <f t="shared" si="9"/>
        <v>78.319415734706766</v>
      </c>
      <c r="AF7" s="17">
        <f t="shared" si="4"/>
        <v>78.054489274706768</v>
      </c>
    </row>
    <row r="8" spans="1:32" x14ac:dyDescent="0.25">
      <c r="A8" s="14">
        <v>6</v>
      </c>
      <c r="B8" s="14" t="s">
        <v>66</v>
      </c>
      <c r="C8" s="14">
        <v>112.5</v>
      </c>
      <c r="D8" s="14">
        <v>15</v>
      </c>
      <c r="E8" s="15">
        <v>-0.26072669999999998</v>
      </c>
      <c r="F8" s="15">
        <v>-0.26490000000000002</v>
      </c>
      <c r="G8" s="15">
        <v>4.1733100000000004E-3</v>
      </c>
      <c r="H8" s="15">
        <v>0.40722343999999999</v>
      </c>
      <c r="I8" s="15">
        <v>0.39191004000000002</v>
      </c>
      <c r="J8" s="15">
        <v>1.531339E-2</v>
      </c>
      <c r="K8" s="18">
        <v>27.46</v>
      </c>
      <c r="L8" s="18">
        <v>27.47</v>
      </c>
      <c r="M8" s="18">
        <v>-0.01</v>
      </c>
      <c r="N8" s="15">
        <v>0.14516602000000001</v>
      </c>
      <c r="O8" s="15">
        <v>-5.950635E-2</v>
      </c>
      <c r="P8" s="15">
        <v>0.20467236</v>
      </c>
      <c r="Q8" s="15">
        <v>0.22101335999999999</v>
      </c>
      <c r="R8" s="15">
        <v>-0.23108316000000001</v>
      </c>
      <c r="S8" s="15">
        <v>0.45209652</v>
      </c>
      <c r="T8" s="14"/>
      <c r="U8" s="15">
        <f t="shared" si="5"/>
        <v>-2.0866500000000232E-3</v>
      </c>
      <c r="V8" s="15">
        <f t="shared" si="6"/>
        <v>7.6566999999999885E-3</v>
      </c>
      <c r="W8" s="15"/>
      <c r="X8" s="15"/>
      <c r="Y8" s="16">
        <f t="shared" si="0"/>
        <v>0.14516602000000001</v>
      </c>
      <c r="Z8" s="16">
        <f t="shared" si="1"/>
        <v>0.22101335999999999</v>
      </c>
      <c r="AA8" s="16">
        <f t="shared" si="2"/>
        <v>-5.950635E-2</v>
      </c>
      <c r="AB8" s="16">
        <f t="shared" si="3"/>
        <v>-0.23108316000000001</v>
      </c>
      <c r="AC8" s="17">
        <f t="shared" si="7"/>
        <v>15.332732622000773</v>
      </c>
      <c r="AD8" s="17">
        <f t="shared" si="8"/>
        <v>13.805220698586698</v>
      </c>
      <c r="AE8" s="17">
        <f t="shared" si="9"/>
        <v>56.702285899282018</v>
      </c>
      <c r="AF8" s="17">
        <f t="shared" si="4"/>
        <v>56.43738589928202</v>
      </c>
    </row>
    <row r="9" spans="1:32" x14ac:dyDescent="0.25">
      <c r="A9" s="14">
        <v>7</v>
      </c>
      <c r="B9" s="14" t="s">
        <v>66</v>
      </c>
      <c r="C9" s="14">
        <v>135</v>
      </c>
      <c r="D9" s="14">
        <v>16</v>
      </c>
      <c r="E9" s="15">
        <v>-0.26026877999999998</v>
      </c>
      <c r="F9" s="15">
        <v>-0.26874683999999999</v>
      </c>
      <c r="G9" s="15">
        <v>8.4780800000000007E-3</v>
      </c>
      <c r="H9" s="15">
        <v>0.40159383999999998</v>
      </c>
      <c r="I9" s="15">
        <v>0.39082504000000001</v>
      </c>
      <c r="J9" s="15">
        <v>1.076883E-2</v>
      </c>
      <c r="K9" s="18">
        <v>27.48</v>
      </c>
      <c r="L9" s="18">
        <v>27.47</v>
      </c>
      <c r="M9" s="18">
        <v>0.01</v>
      </c>
      <c r="N9" s="15">
        <v>0.22285446</v>
      </c>
      <c r="O9" s="15">
        <v>-0.13761490000000001</v>
      </c>
      <c r="P9" s="15">
        <v>0.36046936000000002</v>
      </c>
      <c r="Q9" s="15">
        <v>0.16454543999999999</v>
      </c>
      <c r="R9" s="15">
        <v>-0.17495192000000001</v>
      </c>
      <c r="S9" s="15">
        <v>0.3394974</v>
      </c>
      <c r="T9" s="14"/>
      <c r="U9" s="15">
        <f t="shared" si="5"/>
        <v>-4.2390300000000047E-3</v>
      </c>
      <c r="V9" s="15">
        <f t="shared" si="6"/>
        <v>5.3843999999999836E-3</v>
      </c>
      <c r="W9" s="15"/>
      <c r="X9" s="15"/>
      <c r="Y9" s="16">
        <f t="shared" si="0"/>
        <v>0.22285446</v>
      </c>
      <c r="Z9" s="16">
        <f t="shared" si="1"/>
        <v>0.16454543999999999</v>
      </c>
      <c r="AA9" s="16">
        <f t="shared" si="2"/>
        <v>-0.13761490000000001</v>
      </c>
      <c r="AB9" s="16">
        <f t="shared" si="3"/>
        <v>-0.17495192000000001</v>
      </c>
      <c r="AC9" s="17">
        <f t="shared" si="7"/>
        <v>16.082346532677683</v>
      </c>
      <c r="AD9" s="17">
        <f t="shared" si="8"/>
        <v>12.86116579797109</v>
      </c>
      <c r="AE9" s="17">
        <f t="shared" si="9"/>
        <v>36.440447384168436</v>
      </c>
      <c r="AF9" s="17">
        <f t="shared" si="4"/>
        <v>36.171700544168438</v>
      </c>
    </row>
    <row r="10" spans="1:32" x14ac:dyDescent="0.25">
      <c r="A10" s="14">
        <v>8</v>
      </c>
      <c r="B10" s="14" t="s">
        <v>66</v>
      </c>
      <c r="C10" s="14">
        <v>157.5</v>
      </c>
      <c r="D10" s="14">
        <v>17</v>
      </c>
      <c r="E10" s="15">
        <v>-0.26064414000000002</v>
      </c>
      <c r="F10" s="15">
        <v>-0.26756765999999998</v>
      </c>
      <c r="G10" s="15">
        <v>6.9235299999999998E-3</v>
      </c>
      <c r="H10" s="15">
        <v>0.40254128</v>
      </c>
      <c r="I10" s="15">
        <v>0.39438830000000002</v>
      </c>
      <c r="J10" s="15">
        <v>8.1529900000000006E-3</v>
      </c>
      <c r="K10" s="18">
        <v>27.42</v>
      </c>
      <c r="L10" s="18">
        <v>27.4</v>
      </c>
      <c r="M10" s="18">
        <v>0.02</v>
      </c>
      <c r="N10" s="15">
        <v>0.27415338</v>
      </c>
      <c r="O10" s="15">
        <v>-0.18858886</v>
      </c>
      <c r="P10" s="15">
        <v>0.46274224000000003</v>
      </c>
      <c r="Q10" s="15">
        <v>8.337833E-2</v>
      </c>
      <c r="R10" s="15">
        <v>-9.3691280000000002E-2</v>
      </c>
      <c r="S10" s="15">
        <v>0.17706959999999999</v>
      </c>
      <c r="T10" s="14"/>
      <c r="U10" s="15">
        <f t="shared" si="5"/>
        <v>-3.4617599999999804E-3</v>
      </c>
      <c r="V10" s="15">
        <f t="shared" si="6"/>
        <v>4.0764899999999882E-3</v>
      </c>
      <c r="W10" s="15"/>
      <c r="X10" s="15"/>
      <c r="Y10" s="16">
        <f t="shared" si="0"/>
        <v>0.27415338</v>
      </c>
      <c r="Z10" s="16">
        <f t="shared" si="1"/>
        <v>8.337833E-2</v>
      </c>
      <c r="AA10" s="16">
        <f t="shared" si="2"/>
        <v>-0.18858886</v>
      </c>
      <c r="AB10" s="16">
        <f t="shared" si="3"/>
        <v>-9.3691280000000002E-2</v>
      </c>
      <c r="AC10" s="17">
        <f t="shared" si="7"/>
        <v>16.65163862036146</v>
      </c>
      <c r="AD10" s="17">
        <f t="shared" si="8"/>
        <v>12.156326858038419</v>
      </c>
      <c r="AE10" s="17">
        <f t="shared" si="9"/>
        <v>16.916101856393528</v>
      </c>
      <c r="AF10" s="17">
        <f t="shared" si="4"/>
        <v>16.648534196393527</v>
      </c>
    </row>
    <row r="11" spans="1:32" x14ac:dyDescent="0.25">
      <c r="A11" s="14">
        <v>9</v>
      </c>
      <c r="B11" s="14" t="s">
        <v>66</v>
      </c>
      <c r="C11" s="14">
        <v>180</v>
      </c>
      <c r="D11" s="14">
        <v>13</v>
      </c>
      <c r="E11" s="15">
        <v>-0.26111536000000002</v>
      </c>
      <c r="F11" s="15">
        <v>-0.26808075999999997</v>
      </c>
      <c r="G11" s="15">
        <v>6.9654000000000001E-3</v>
      </c>
      <c r="H11" s="15">
        <v>0.40106930000000002</v>
      </c>
      <c r="I11" s="15">
        <v>0.397727</v>
      </c>
      <c r="J11" s="15">
        <v>3.3422999999999999E-3</v>
      </c>
      <c r="K11" s="18">
        <v>27.4</v>
      </c>
      <c r="L11" s="18">
        <v>27.42</v>
      </c>
      <c r="M11" s="18">
        <v>-0.01</v>
      </c>
      <c r="N11" s="15">
        <v>0.28967398</v>
      </c>
      <c r="O11" s="15">
        <v>-0.20457462000000001</v>
      </c>
      <c r="P11" s="15">
        <v>0.49424859999999998</v>
      </c>
      <c r="Q11" s="15">
        <v>-1.146672E-2</v>
      </c>
      <c r="R11" s="15">
        <v>9.2960999999999998E-4</v>
      </c>
      <c r="S11" s="15">
        <v>-1.2396330000000001E-2</v>
      </c>
      <c r="T11" s="14"/>
      <c r="U11" s="15">
        <f t="shared" si="5"/>
        <v>-3.4826999999999775E-3</v>
      </c>
      <c r="V11" s="15">
        <f t="shared" si="6"/>
        <v>1.6711500000000101E-3</v>
      </c>
      <c r="W11" s="15"/>
      <c r="X11" s="15"/>
      <c r="Y11" s="16">
        <f t="shared" si="0"/>
        <v>0.28967398</v>
      </c>
      <c r="Z11" s="16">
        <f t="shared" si="1"/>
        <v>-1.146672E-2</v>
      </c>
      <c r="AA11" s="16">
        <f t="shared" si="2"/>
        <v>-0.20457462000000001</v>
      </c>
      <c r="AB11" s="16">
        <f t="shared" si="3"/>
        <v>9.2960999999999998E-4</v>
      </c>
      <c r="AC11" s="17">
        <f t="shared" si="7"/>
        <v>16.852019895335605</v>
      </c>
      <c r="AD11" s="17">
        <f t="shared" si="8"/>
        <v>11.804722477230664</v>
      </c>
      <c r="AE11" s="17">
        <f t="shared" si="9"/>
        <v>357.73313495237016</v>
      </c>
      <c r="AF11" s="17">
        <f t="shared" si="4"/>
        <v>357.46505419237019</v>
      </c>
    </row>
    <row r="12" spans="1:32" x14ac:dyDescent="0.25">
      <c r="A12" s="14">
        <v>10</v>
      </c>
      <c r="B12" s="14" t="s">
        <v>66</v>
      </c>
      <c r="C12" s="14">
        <v>202.5</v>
      </c>
      <c r="D12" s="14">
        <v>12</v>
      </c>
      <c r="E12" s="15">
        <v>-0.25518753999999999</v>
      </c>
      <c r="F12" s="15">
        <v>-0.26922496000000001</v>
      </c>
      <c r="G12" s="15">
        <v>1.403743E-2</v>
      </c>
      <c r="H12" s="15">
        <v>0.39529172000000001</v>
      </c>
      <c r="I12" s="15">
        <v>0.40016256</v>
      </c>
      <c r="J12" s="15">
        <v>-4.8708299999999996E-3</v>
      </c>
      <c r="K12" s="18">
        <v>27.44</v>
      </c>
      <c r="L12" s="18">
        <v>27.45</v>
      </c>
      <c r="M12" s="18">
        <v>-0.01</v>
      </c>
      <c r="N12" s="15">
        <v>0.26787803999999998</v>
      </c>
      <c r="O12" s="15">
        <v>-0.183279</v>
      </c>
      <c r="P12" s="15">
        <v>0.45115704000000001</v>
      </c>
      <c r="Q12" s="15">
        <v>-0.1070174</v>
      </c>
      <c r="R12" s="15">
        <v>9.7203979999999995E-2</v>
      </c>
      <c r="S12" s="15">
        <v>-0.20422138000000001</v>
      </c>
      <c r="T12" s="14"/>
      <c r="U12" s="15">
        <f t="shared" si="5"/>
        <v>-7.0187100000000113E-3</v>
      </c>
      <c r="V12" s="15">
        <f t="shared" si="6"/>
        <v>-2.4354199999999937E-3</v>
      </c>
      <c r="W12" s="15"/>
      <c r="X12" s="15"/>
      <c r="Y12" s="16">
        <f t="shared" si="0"/>
        <v>0.26787803999999998</v>
      </c>
      <c r="Z12" s="16">
        <f t="shared" si="1"/>
        <v>-0.1070174</v>
      </c>
      <c r="AA12" s="16">
        <f t="shared" si="2"/>
        <v>-0.183279</v>
      </c>
      <c r="AB12" s="16">
        <f t="shared" si="3"/>
        <v>9.7203979999999995E-2</v>
      </c>
      <c r="AC12" s="17">
        <f t="shared" si="7"/>
        <v>16.766008748655835</v>
      </c>
      <c r="AD12" s="17">
        <f t="shared" si="8"/>
        <v>11.973564880039357</v>
      </c>
      <c r="AE12" s="17">
        <f t="shared" si="9"/>
        <v>338.22326853658848</v>
      </c>
      <c r="AF12" s="17">
        <f t="shared" si="4"/>
        <v>337.9540435765885</v>
      </c>
    </row>
    <row r="13" spans="1:32" x14ac:dyDescent="0.25">
      <c r="A13" s="14">
        <v>11</v>
      </c>
      <c r="B13" s="14" t="s">
        <v>66</v>
      </c>
      <c r="C13" s="14">
        <v>225</v>
      </c>
      <c r="D13" s="14">
        <v>15</v>
      </c>
      <c r="E13" s="15">
        <v>-0.26091006</v>
      </c>
      <c r="F13" s="15">
        <v>-0.27370998000000002</v>
      </c>
      <c r="G13" s="15">
        <v>1.2799919999999999E-2</v>
      </c>
      <c r="H13" s="15">
        <v>0.39583676000000001</v>
      </c>
      <c r="I13" s="15">
        <v>0.40595009999999998</v>
      </c>
      <c r="J13" s="15">
        <v>-1.011336E-2</v>
      </c>
      <c r="K13" s="18">
        <v>27.42</v>
      </c>
      <c r="L13" s="18">
        <v>27.41</v>
      </c>
      <c r="M13" s="18">
        <v>0</v>
      </c>
      <c r="N13" s="15">
        <v>0.21121224</v>
      </c>
      <c r="O13" s="15">
        <v>-0.12660399999999999</v>
      </c>
      <c r="P13" s="15">
        <v>0.33781623999999999</v>
      </c>
      <c r="Q13" s="15">
        <v>-0.18608040000000001</v>
      </c>
      <c r="R13" s="15">
        <v>0.17576384</v>
      </c>
      <c r="S13" s="15">
        <v>-0.36184423999999998</v>
      </c>
      <c r="T13" s="14"/>
      <c r="U13" s="15">
        <f t="shared" si="5"/>
        <v>-6.3999600000000101E-3</v>
      </c>
      <c r="V13" s="15">
        <f t="shared" si="6"/>
        <v>-5.0566699999999853E-3</v>
      </c>
      <c r="W13" s="15"/>
      <c r="X13" s="15"/>
      <c r="Y13" s="16">
        <f t="shared" si="0"/>
        <v>0.21121224</v>
      </c>
      <c r="Z13" s="16">
        <f t="shared" si="1"/>
        <v>-0.18608040000000001</v>
      </c>
      <c r="AA13" s="16">
        <f t="shared" si="2"/>
        <v>-0.12660399999999999</v>
      </c>
      <c r="AB13" s="16">
        <f t="shared" si="3"/>
        <v>0.17576384</v>
      </c>
      <c r="AC13" s="17">
        <f t="shared" si="7"/>
        <v>16.349142682205148</v>
      </c>
      <c r="AD13" s="17">
        <f t="shared" si="8"/>
        <v>12.510217481963943</v>
      </c>
      <c r="AE13" s="17">
        <f t="shared" si="9"/>
        <v>318.61957948601002</v>
      </c>
      <c r="AF13" s="17">
        <f t="shared" si="4"/>
        <v>318.34586950601005</v>
      </c>
    </row>
    <row r="14" spans="1:32" x14ac:dyDescent="0.25">
      <c r="A14" s="14">
        <v>12</v>
      </c>
      <c r="B14" s="14" t="s">
        <v>66</v>
      </c>
      <c r="C14" s="14">
        <v>247.5</v>
      </c>
      <c r="D14" s="14">
        <v>11</v>
      </c>
      <c r="E14" s="15">
        <v>-0.26383181999999999</v>
      </c>
      <c r="F14" s="15">
        <v>-0.26785910000000002</v>
      </c>
      <c r="G14" s="15">
        <v>4.0272800000000003E-3</v>
      </c>
      <c r="H14" s="15">
        <v>0.39345903999999998</v>
      </c>
      <c r="I14" s="15">
        <v>0.40762290000000001</v>
      </c>
      <c r="J14" s="15">
        <v>-1.416385E-2</v>
      </c>
      <c r="K14" s="18">
        <v>27.4</v>
      </c>
      <c r="L14" s="18">
        <v>27.38</v>
      </c>
      <c r="M14" s="18">
        <v>0.02</v>
      </c>
      <c r="N14" s="15">
        <v>0.13134720999999999</v>
      </c>
      <c r="O14" s="15">
        <v>-4.4918319999999998E-2</v>
      </c>
      <c r="P14" s="15">
        <v>0.17626554</v>
      </c>
      <c r="Q14" s="15">
        <v>-0.23711604</v>
      </c>
      <c r="R14" s="15">
        <v>0.22702926000000001</v>
      </c>
      <c r="S14" s="15">
        <v>-0.46414529999999998</v>
      </c>
      <c r="T14" s="14"/>
      <c r="U14" s="15">
        <f t="shared" si="5"/>
        <v>-2.013640000000011E-3</v>
      </c>
      <c r="V14" s="15">
        <f t="shared" si="6"/>
        <v>-7.081930000000014E-3</v>
      </c>
      <c r="W14" s="15"/>
      <c r="X14" s="15"/>
      <c r="Y14" s="16">
        <f t="shared" si="0"/>
        <v>0.13134720999999999</v>
      </c>
      <c r="Z14" s="16">
        <f t="shared" si="1"/>
        <v>-0.23711604</v>
      </c>
      <c r="AA14" s="16">
        <f t="shared" si="2"/>
        <v>-4.4918319999999998E-2</v>
      </c>
      <c r="AB14" s="16">
        <f t="shared" si="3"/>
        <v>0.22702926000000001</v>
      </c>
      <c r="AC14" s="17">
        <f t="shared" si="7"/>
        <v>15.727636299999435</v>
      </c>
      <c r="AD14" s="17">
        <f t="shared" si="8"/>
        <v>13.381288595285199</v>
      </c>
      <c r="AE14" s="17">
        <f t="shared" si="9"/>
        <v>298.98366531147508</v>
      </c>
      <c r="AF14" s="17">
        <f t="shared" si="4"/>
        <v>298.71580621147507</v>
      </c>
    </row>
    <row r="15" spans="1:32" x14ac:dyDescent="0.25">
      <c r="A15" s="14">
        <v>13</v>
      </c>
      <c r="B15" s="14" t="s">
        <v>66</v>
      </c>
      <c r="C15" s="14">
        <v>270</v>
      </c>
      <c r="D15" s="14">
        <v>13</v>
      </c>
      <c r="E15" s="15">
        <v>-0.26131152000000002</v>
      </c>
      <c r="F15" s="15">
        <v>-0.26426929999999998</v>
      </c>
      <c r="G15" s="15">
        <v>2.9577599999999998E-3</v>
      </c>
      <c r="H15" s="15">
        <v>0.39067304000000003</v>
      </c>
      <c r="I15" s="15">
        <v>0.40608087999999998</v>
      </c>
      <c r="J15" s="15">
        <v>-1.5407830000000001E-2</v>
      </c>
      <c r="K15" s="18">
        <v>27.43</v>
      </c>
      <c r="L15" s="18">
        <v>27.44</v>
      </c>
      <c r="M15" s="18">
        <v>-0.01</v>
      </c>
      <c r="N15" s="15">
        <v>3.4452190000000001E-2</v>
      </c>
      <c r="O15" s="15">
        <v>5.0538800000000002E-2</v>
      </c>
      <c r="P15" s="15">
        <v>-1.6086610000000001E-2</v>
      </c>
      <c r="Q15" s="15">
        <v>-0.25303804000000002</v>
      </c>
      <c r="R15" s="15">
        <v>0.24291315999999999</v>
      </c>
      <c r="S15" s="15">
        <v>-0.49595119999999998</v>
      </c>
      <c r="T15" s="14"/>
      <c r="U15" s="15">
        <f t="shared" si="5"/>
        <v>-1.4788899999999827E-3</v>
      </c>
      <c r="V15" s="15">
        <f t="shared" si="6"/>
        <v>-7.7039199999999752E-3</v>
      </c>
      <c r="W15" s="15"/>
      <c r="X15" s="15"/>
      <c r="Y15" s="16">
        <f t="shared" si="0"/>
        <v>3.4452190000000001E-2</v>
      </c>
      <c r="Z15" s="16">
        <f t="shared" si="1"/>
        <v>-0.25303804000000002</v>
      </c>
      <c r="AA15" s="16">
        <f t="shared" si="2"/>
        <v>5.0538800000000002E-2</v>
      </c>
      <c r="AB15" s="16">
        <f t="shared" si="3"/>
        <v>0.24291315999999999</v>
      </c>
      <c r="AC15" s="17">
        <f t="shared" si="7"/>
        <v>14.795669004233959</v>
      </c>
      <c r="AD15" s="17">
        <f t="shared" si="8"/>
        <v>14.365986098484209</v>
      </c>
      <c r="AE15" s="17">
        <f t="shared" si="9"/>
        <v>277.75338450853275</v>
      </c>
      <c r="AF15" s="17">
        <f t="shared" si="4"/>
        <v>277.48911520853272</v>
      </c>
    </row>
    <row r="16" spans="1:32" x14ac:dyDescent="0.25">
      <c r="A16" s="14">
        <v>14</v>
      </c>
      <c r="B16" s="14" t="s">
        <v>66</v>
      </c>
      <c r="C16" s="14">
        <v>292.5</v>
      </c>
      <c r="D16" s="14">
        <v>16</v>
      </c>
      <c r="E16" s="15">
        <v>-0.26513439999999999</v>
      </c>
      <c r="F16" s="15">
        <v>-0.26152503999999999</v>
      </c>
      <c r="G16" s="15">
        <v>-3.6093599999999998E-3</v>
      </c>
      <c r="H16" s="15">
        <v>0.38990935999999998</v>
      </c>
      <c r="I16" s="15">
        <v>0.40550009999999997</v>
      </c>
      <c r="J16" s="15">
        <v>-1.559076E-2</v>
      </c>
      <c r="K16" s="18">
        <v>27.44</v>
      </c>
      <c r="L16" s="18">
        <v>27.44</v>
      </c>
      <c r="M16" s="18">
        <v>0.01</v>
      </c>
      <c r="N16" s="15">
        <v>-5.9437259999999999E-2</v>
      </c>
      <c r="O16" s="15">
        <v>0.14411257</v>
      </c>
      <c r="P16" s="15">
        <v>-0.20354984000000001</v>
      </c>
      <c r="Q16" s="15">
        <v>-0.2311888</v>
      </c>
      <c r="R16" s="15">
        <v>0.22124588000000001</v>
      </c>
      <c r="S16" s="15">
        <v>-0.45243467999999998</v>
      </c>
      <c r="T16" s="14"/>
      <c r="U16" s="15">
        <f t="shared" si="5"/>
        <v>1.8046800000000029E-3</v>
      </c>
      <c r="V16" s="15">
        <f t="shared" si="6"/>
        <v>-7.7953699999999959E-3</v>
      </c>
      <c r="W16" s="15"/>
      <c r="X16" s="15"/>
      <c r="Y16" s="16">
        <f t="shared" si="0"/>
        <v>-5.9437259999999999E-2</v>
      </c>
      <c r="Z16" s="16">
        <f t="shared" si="1"/>
        <v>-0.2311888</v>
      </c>
      <c r="AA16" s="16">
        <f t="shared" si="2"/>
        <v>0.14411257</v>
      </c>
      <c r="AB16" s="16">
        <f t="shared" si="3"/>
        <v>0.22124588000000001</v>
      </c>
      <c r="AC16" s="17">
        <f t="shared" si="7"/>
        <v>13.810241158038991</v>
      </c>
      <c r="AD16" s="17">
        <f t="shared" si="8"/>
        <v>15.310035439403476</v>
      </c>
      <c r="AE16" s="17">
        <f t="shared" si="9"/>
        <v>255.58185104784843</v>
      </c>
      <c r="AF16" s="17">
        <f t="shared" si="4"/>
        <v>255.32032600784842</v>
      </c>
    </row>
    <row r="17" spans="1:32" x14ac:dyDescent="0.25">
      <c r="A17" s="14">
        <v>15</v>
      </c>
      <c r="B17" s="14" t="s">
        <v>66</v>
      </c>
      <c r="C17" s="14">
        <v>315</v>
      </c>
      <c r="D17" s="14">
        <v>21</v>
      </c>
      <c r="E17" s="15">
        <v>-0.2698024</v>
      </c>
      <c r="F17" s="15">
        <v>-0.25865949999999999</v>
      </c>
      <c r="G17" s="15">
        <v>-1.1142880000000001E-2</v>
      </c>
      <c r="H17" s="15">
        <v>0.39173570000000002</v>
      </c>
      <c r="I17" s="15">
        <v>0.40848343999999998</v>
      </c>
      <c r="J17" s="15">
        <v>-1.6747740000000001E-2</v>
      </c>
      <c r="K17" s="18">
        <v>27.41</v>
      </c>
      <c r="L17" s="18">
        <v>27.41</v>
      </c>
      <c r="M17" s="18">
        <v>0</v>
      </c>
      <c r="N17" s="15">
        <v>-0.13733980000000001</v>
      </c>
      <c r="O17" s="15">
        <v>0.22308532</v>
      </c>
      <c r="P17" s="15">
        <v>-0.3604251</v>
      </c>
      <c r="Q17" s="15">
        <v>-0.17541202</v>
      </c>
      <c r="R17" s="15">
        <v>0.16537911999999999</v>
      </c>
      <c r="S17" s="15">
        <v>-0.34079115999999998</v>
      </c>
      <c r="T17" s="14"/>
      <c r="U17" s="15">
        <f t="shared" si="5"/>
        <v>5.5714500000000056E-3</v>
      </c>
      <c r="V17" s="15">
        <f t="shared" si="6"/>
        <v>-8.3738699999999777E-3</v>
      </c>
      <c r="W17" s="15"/>
      <c r="X17" s="15"/>
      <c r="Y17" s="16">
        <f t="shared" si="0"/>
        <v>-0.13733980000000001</v>
      </c>
      <c r="Z17" s="16">
        <f t="shared" si="1"/>
        <v>-0.17541202</v>
      </c>
      <c r="AA17" s="16">
        <f t="shared" si="2"/>
        <v>0.22308532</v>
      </c>
      <c r="AB17" s="16">
        <f t="shared" si="3"/>
        <v>0.16537911999999999</v>
      </c>
      <c r="AC17" s="17">
        <f t="shared" si="7"/>
        <v>12.872456684663442</v>
      </c>
      <c r="AD17" s="17">
        <f t="shared" si="8"/>
        <v>16.122983872229359</v>
      </c>
      <c r="AE17" s="17">
        <f t="shared" si="9"/>
        <v>231.9406377967484</v>
      </c>
      <c r="AF17" s="17">
        <f t="shared" si="4"/>
        <v>231.68197829674841</v>
      </c>
    </row>
    <row r="18" spans="1:32" x14ac:dyDescent="0.25">
      <c r="A18" s="14">
        <v>16</v>
      </c>
      <c r="B18" s="14" t="s">
        <v>66</v>
      </c>
      <c r="C18" s="14">
        <v>337.5</v>
      </c>
      <c r="D18" s="14">
        <v>16</v>
      </c>
      <c r="E18" s="15">
        <v>-0.27099688</v>
      </c>
      <c r="F18" s="15">
        <v>-0.25850316000000001</v>
      </c>
      <c r="G18" s="15">
        <v>-1.24937E-2</v>
      </c>
      <c r="H18" s="15">
        <v>0.39373444000000002</v>
      </c>
      <c r="I18" s="15">
        <v>0.40318132000000001</v>
      </c>
      <c r="J18" s="15">
        <v>-9.4469199999999993E-3</v>
      </c>
      <c r="K18" s="18">
        <v>27.39</v>
      </c>
      <c r="L18" s="18">
        <v>27.4</v>
      </c>
      <c r="M18" s="18">
        <v>-0.01</v>
      </c>
      <c r="N18" s="15">
        <v>-0.18814944</v>
      </c>
      <c r="O18" s="15">
        <v>0.27301434000000002</v>
      </c>
      <c r="P18" s="15">
        <v>-0.46116375999999998</v>
      </c>
      <c r="Q18" s="15">
        <v>-9.411514E-2</v>
      </c>
      <c r="R18" s="15">
        <v>8.37976E-2</v>
      </c>
      <c r="S18" s="15">
        <v>-0.17791274000000001</v>
      </c>
      <c r="T18" s="14"/>
      <c r="U18" s="15">
        <f t="shared" si="5"/>
        <v>6.246859999999993E-3</v>
      </c>
      <c r="V18" s="15">
        <f t="shared" si="6"/>
        <v>-4.7234399999999954E-3</v>
      </c>
      <c r="W18" s="15"/>
      <c r="X18" s="15"/>
      <c r="Y18" s="16">
        <f t="shared" si="0"/>
        <v>-0.18814944</v>
      </c>
      <c r="Z18" s="16">
        <f t="shared" si="1"/>
        <v>-9.411514E-2</v>
      </c>
      <c r="AA18" s="16">
        <f t="shared" si="2"/>
        <v>0.27301434000000002</v>
      </c>
      <c r="AB18" s="16">
        <f t="shared" si="3"/>
        <v>8.37976E-2</v>
      </c>
      <c r="AC18" s="17">
        <f t="shared" si="7"/>
        <v>12.144361239367839</v>
      </c>
      <c r="AD18" s="17">
        <f t="shared" si="8"/>
        <v>16.593827904084765</v>
      </c>
      <c r="AE18" s="17">
        <f t="shared" si="9"/>
        <v>206.57489737760204</v>
      </c>
      <c r="AF18" s="17">
        <f t="shared" si="4"/>
        <v>206.31639421760204</v>
      </c>
    </row>
    <row r="19" spans="1:32" x14ac:dyDescent="0.25">
      <c r="A19" s="19">
        <v>17</v>
      </c>
      <c r="B19" s="19" t="s">
        <v>67</v>
      </c>
      <c r="C19" s="19">
        <v>0</v>
      </c>
      <c r="D19" s="19">
        <v>12</v>
      </c>
      <c r="E19" s="20">
        <v>-0.27337084</v>
      </c>
      <c r="F19" s="20">
        <v>-0.26198334000000001</v>
      </c>
      <c r="G19" s="20">
        <v>-1.13875E-2</v>
      </c>
      <c r="H19" s="20">
        <v>0.39838751999999999</v>
      </c>
      <c r="I19" s="20">
        <v>0.40165432000000001</v>
      </c>
      <c r="J19" s="20">
        <v>-3.2668100000000002E-3</v>
      </c>
      <c r="K19" s="21">
        <v>27.43</v>
      </c>
      <c r="L19" s="21">
        <v>27.42</v>
      </c>
      <c r="M19" s="21">
        <v>0.01</v>
      </c>
      <c r="N19" s="20">
        <v>-0.20365923999999999</v>
      </c>
      <c r="O19" s="20">
        <v>0.29090759999999999</v>
      </c>
      <c r="P19" s="20">
        <v>-0.49456684000000001</v>
      </c>
      <c r="Q19" s="20">
        <v>1.98059E-3</v>
      </c>
      <c r="R19" s="20">
        <v>-1.2154740000000001E-2</v>
      </c>
      <c r="S19" s="20">
        <v>1.413533E-2</v>
      </c>
      <c r="T19" s="19"/>
      <c r="U19" s="20">
        <f t="shared" si="5"/>
        <v>5.6937499999999974E-3</v>
      </c>
      <c r="V19" s="20">
        <f t="shared" si="6"/>
        <v>-1.6334000000000071E-3</v>
      </c>
      <c r="W19" s="20"/>
      <c r="X19" s="20"/>
      <c r="Y19" s="22">
        <f t="shared" si="0"/>
        <v>-0.20365923999999999</v>
      </c>
      <c r="Z19" s="22">
        <f t="shared" si="1"/>
        <v>1.98059E-3</v>
      </c>
      <c r="AA19" s="22">
        <f t="shared" si="2"/>
        <v>0.29090759999999999</v>
      </c>
      <c r="AB19" s="22">
        <f t="shared" si="3"/>
        <v>-1.2154740000000001E-2</v>
      </c>
      <c r="AC19" s="23">
        <f t="shared" ref="AC19:AC34" si="10">IF(Y19="","",DEGREES(ASIN(SQRT(Y19^2+Z19^2))))</f>
        <v>11.751587080712875</v>
      </c>
      <c r="AD19" s="23">
        <f t="shared" ref="AD19:AD34" si="11">IF(AA19="","",DEGREES(ASIN(SQRT(AA19^2+AB19^2))))</f>
        <v>16.927501024486382</v>
      </c>
      <c r="AE19" s="23">
        <f t="shared" ref="AE19:AE34" si="12">IF(Y19="","",MOD(DEGREES(ATAN2(Y19,Z19)),360))</f>
        <v>179.4428150145728</v>
      </c>
      <c r="AF19" s="23">
        <f t="shared" si="4"/>
        <v>179.1808316745728</v>
      </c>
    </row>
    <row r="20" spans="1:32" x14ac:dyDescent="0.25">
      <c r="A20" s="14">
        <v>18</v>
      </c>
      <c r="B20" s="14" t="s">
        <v>67</v>
      </c>
      <c r="C20" s="14">
        <v>22.5</v>
      </c>
      <c r="D20" s="14">
        <v>12</v>
      </c>
      <c r="E20" s="15">
        <v>-0.27786670000000002</v>
      </c>
      <c r="F20" s="15">
        <v>-0.26026252</v>
      </c>
      <c r="G20" s="15">
        <v>-1.7604169999999999E-2</v>
      </c>
      <c r="H20" s="15">
        <v>0.39910010000000001</v>
      </c>
      <c r="I20" s="15">
        <v>0.40246675999999998</v>
      </c>
      <c r="J20" s="15">
        <v>-3.3666799999999999E-3</v>
      </c>
      <c r="K20" s="18">
        <v>27.41</v>
      </c>
      <c r="L20" s="18">
        <v>27.4</v>
      </c>
      <c r="M20" s="18">
        <v>0.01</v>
      </c>
      <c r="N20" s="15">
        <v>-0.18191769999999999</v>
      </c>
      <c r="O20" s="15">
        <v>0.27224324</v>
      </c>
      <c r="P20" s="15">
        <v>-0.45416092000000002</v>
      </c>
      <c r="Q20" s="15">
        <v>9.6309820000000004E-2</v>
      </c>
      <c r="R20" s="15">
        <v>-0.10599428</v>
      </c>
      <c r="S20" s="15">
        <v>0.20230409999999999</v>
      </c>
      <c r="T20" s="14"/>
      <c r="U20" s="15">
        <f t="shared" si="5"/>
        <v>8.8020900000000124E-3</v>
      </c>
      <c r="V20" s="15">
        <f t="shared" si="6"/>
        <v>-1.6833299999999829E-3</v>
      </c>
      <c r="W20" s="15"/>
      <c r="X20" s="15"/>
      <c r="Y20" s="16">
        <f t="shared" si="0"/>
        <v>-0.18191769999999999</v>
      </c>
      <c r="Z20" s="16">
        <f t="shared" si="1"/>
        <v>9.6309820000000004E-2</v>
      </c>
      <c r="AA20" s="16">
        <f t="shared" si="2"/>
        <v>0.27224324</v>
      </c>
      <c r="AB20" s="16">
        <f t="shared" si="3"/>
        <v>-0.10599428</v>
      </c>
      <c r="AC20" s="17">
        <f t="shared" si="10"/>
        <v>11.878608764732858</v>
      </c>
      <c r="AD20" s="17">
        <f t="shared" si="11"/>
        <v>16.98667082875652</v>
      </c>
      <c r="AE20" s="17">
        <f t="shared" si="12"/>
        <v>152.10261841165968</v>
      </c>
      <c r="AF20" s="17">
        <f t="shared" si="4"/>
        <v>151.84235589165968</v>
      </c>
    </row>
    <row r="21" spans="1:32" x14ac:dyDescent="0.25">
      <c r="A21" s="14">
        <v>19</v>
      </c>
      <c r="B21" s="14" t="s">
        <v>67</v>
      </c>
      <c r="C21" s="14">
        <v>45</v>
      </c>
      <c r="D21" s="14">
        <v>13</v>
      </c>
      <c r="E21" s="15">
        <v>-0.26924229999999999</v>
      </c>
      <c r="F21" s="15">
        <v>-0.26116538</v>
      </c>
      <c r="G21" s="15">
        <v>-8.0769099999999996E-3</v>
      </c>
      <c r="H21" s="15">
        <v>0.40445396</v>
      </c>
      <c r="I21" s="15">
        <v>0.39421543999999997</v>
      </c>
      <c r="J21" s="15">
        <v>1.0238529999999999E-2</v>
      </c>
      <c r="K21" s="18">
        <v>27.42</v>
      </c>
      <c r="L21" s="18">
        <v>27.43</v>
      </c>
      <c r="M21" s="18">
        <v>-0.01</v>
      </c>
      <c r="N21" s="15">
        <v>-0.12775728</v>
      </c>
      <c r="O21" s="15">
        <v>0.21314095999999999</v>
      </c>
      <c r="P21" s="15">
        <v>-0.34089819999999998</v>
      </c>
      <c r="Q21" s="15">
        <v>0.17498422</v>
      </c>
      <c r="R21" s="15">
        <v>-0.18520882</v>
      </c>
      <c r="S21" s="15">
        <v>0.36019304000000002</v>
      </c>
      <c r="T21" s="14"/>
      <c r="U21" s="15">
        <f t="shared" si="5"/>
        <v>4.0384599999999937E-3</v>
      </c>
      <c r="V21" s="15">
        <f t="shared" si="6"/>
        <v>5.1192600000000144E-3</v>
      </c>
      <c r="W21" s="15"/>
      <c r="X21" s="15"/>
      <c r="Y21" s="16">
        <f t="shared" si="0"/>
        <v>-0.12775728</v>
      </c>
      <c r="Z21" s="16">
        <f t="shared" si="1"/>
        <v>0.17498422</v>
      </c>
      <c r="AA21" s="16">
        <f t="shared" si="2"/>
        <v>0.21314095999999999</v>
      </c>
      <c r="AB21" s="16">
        <f t="shared" si="3"/>
        <v>-0.18520882</v>
      </c>
      <c r="AC21" s="17">
        <f t="shared" si="10"/>
        <v>12.512913000810931</v>
      </c>
      <c r="AD21" s="17">
        <f t="shared" si="11"/>
        <v>16.401552363819434</v>
      </c>
      <c r="AE21" s="17">
        <f t="shared" si="12"/>
        <v>126.13345956983457</v>
      </c>
      <c r="AF21" s="17">
        <f t="shared" si="4"/>
        <v>125.87229418983458</v>
      </c>
    </row>
    <row r="22" spans="1:32" x14ac:dyDescent="0.25">
      <c r="A22" s="14">
        <v>20</v>
      </c>
      <c r="B22" s="14" t="s">
        <v>67</v>
      </c>
      <c r="C22" s="14">
        <v>67.5</v>
      </c>
      <c r="D22" s="14">
        <v>12</v>
      </c>
      <c r="E22" s="15">
        <v>-0.27025416000000002</v>
      </c>
      <c r="F22" s="15">
        <v>-0.26120831999999999</v>
      </c>
      <c r="G22" s="15">
        <v>-9.0458399999999994E-3</v>
      </c>
      <c r="H22" s="15">
        <v>0.40628755999999999</v>
      </c>
      <c r="I22" s="15">
        <v>0.38931668000000003</v>
      </c>
      <c r="J22" s="15">
        <v>1.6970869999999999E-2</v>
      </c>
      <c r="K22" s="18">
        <v>27.39</v>
      </c>
      <c r="L22" s="18">
        <v>27.4</v>
      </c>
      <c r="M22" s="18">
        <v>-0.02</v>
      </c>
      <c r="N22" s="15">
        <v>-4.6501670000000002E-2</v>
      </c>
      <c r="O22" s="15">
        <v>0.13175638000000001</v>
      </c>
      <c r="P22" s="15">
        <v>-0.17825804000000001</v>
      </c>
      <c r="Q22" s="15">
        <v>0.22660340000000001</v>
      </c>
      <c r="R22" s="15">
        <v>-0.23697572</v>
      </c>
      <c r="S22" s="15">
        <v>0.46357912000000001</v>
      </c>
      <c r="T22" s="14"/>
      <c r="U22" s="15">
        <f t="shared" si="5"/>
        <v>4.5229200000000136E-3</v>
      </c>
      <c r="V22" s="15">
        <f t="shared" si="6"/>
        <v>8.485439999999983E-3</v>
      </c>
      <c r="W22" s="15"/>
      <c r="X22" s="15"/>
      <c r="Y22" s="16">
        <f t="shared" si="0"/>
        <v>-4.6501670000000002E-2</v>
      </c>
      <c r="Z22" s="16">
        <f t="shared" si="1"/>
        <v>0.22660340000000001</v>
      </c>
      <c r="AA22" s="16">
        <f t="shared" si="2"/>
        <v>0.13175638000000001</v>
      </c>
      <c r="AB22" s="16">
        <f t="shared" si="3"/>
        <v>-0.23697572</v>
      </c>
      <c r="AC22" s="17">
        <f t="shared" si="10"/>
        <v>13.375124483589344</v>
      </c>
      <c r="AD22" s="17">
        <f t="shared" si="11"/>
        <v>15.732151626601912</v>
      </c>
      <c r="AE22" s="17">
        <f t="shared" si="12"/>
        <v>101.59676632874341</v>
      </c>
      <c r="AF22" s="17">
        <f t="shared" si="4"/>
        <v>101.33555800874342</v>
      </c>
    </row>
    <row r="23" spans="1:32" x14ac:dyDescent="0.25">
      <c r="A23" s="14">
        <v>21</v>
      </c>
      <c r="B23" s="14" t="s">
        <v>67</v>
      </c>
      <c r="C23" s="14">
        <v>90</v>
      </c>
      <c r="D23" s="14">
        <v>20</v>
      </c>
      <c r="E23" s="15">
        <v>-0.26459250000000001</v>
      </c>
      <c r="F23" s="15">
        <v>-0.26665252</v>
      </c>
      <c r="G23" s="15">
        <v>2.06003E-3</v>
      </c>
      <c r="H23" s="15">
        <v>0.40479759999999998</v>
      </c>
      <c r="I23" s="15">
        <v>0.38974491999999999</v>
      </c>
      <c r="J23" s="15">
        <v>1.5052680000000001E-2</v>
      </c>
      <c r="K23" s="18">
        <v>27.44</v>
      </c>
      <c r="L23" s="18">
        <v>27.44</v>
      </c>
      <c r="M23" s="18">
        <v>0</v>
      </c>
      <c r="N23" s="15">
        <v>4.9203120000000003E-2</v>
      </c>
      <c r="O23" s="15">
        <v>3.5729610000000002E-2</v>
      </c>
      <c r="P23" s="15">
        <v>1.3473509999999999E-2</v>
      </c>
      <c r="Q23" s="15">
        <v>0.24300208000000001</v>
      </c>
      <c r="R23" s="15">
        <v>-0.25320276000000003</v>
      </c>
      <c r="S23" s="15">
        <v>0.49620483999999998</v>
      </c>
      <c r="T23" s="14"/>
      <c r="U23" s="15">
        <f t="shared" si="5"/>
        <v>-1.0300099999999979E-3</v>
      </c>
      <c r="V23" s="15">
        <f t="shared" si="6"/>
        <v>7.5263399999999925E-3</v>
      </c>
      <c r="W23" s="15"/>
      <c r="X23" s="15"/>
      <c r="Y23" s="16">
        <f t="shared" si="0"/>
        <v>4.9203120000000003E-2</v>
      </c>
      <c r="Z23" s="16">
        <f t="shared" si="1"/>
        <v>0.24300208000000001</v>
      </c>
      <c r="AA23" s="16">
        <f t="shared" si="2"/>
        <v>3.5729610000000002E-2</v>
      </c>
      <c r="AB23" s="16">
        <f t="shared" si="3"/>
        <v>-0.25320276000000003</v>
      </c>
      <c r="AC23" s="17">
        <f t="shared" si="10"/>
        <v>14.355253532130037</v>
      </c>
      <c r="AD23" s="17">
        <f t="shared" si="11"/>
        <v>14.815734053882647</v>
      </c>
      <c r="AE23" s="17">
        <f t="shared" si="12"/>
        <v>78.553491190003697</v>
      </c>
      <c r="AF23" s="17">
        <f t="shared" si="4"/>
        <v>78.286838670003704</v>
      </c>
    </row>
    <row r="24" spans="1:32" x14ac:dyDescent="0.25">
      <c r="A24" s="14">
        <v>22</v>
      </c>
      <c r="B24" s="14" t="s">
        <v>67</v>
      </c>
      <c r="C24" s="14">
        <v>112.5</v>
      </c>
      <c r="D24" s="14">
        <v>23</v>
      </c>
      <c r="E24" s="15">
        <v>-0.26077396000000003</v>
      </c>
      <c r="F24" s="15">
        <v>-0.26718044000000002</v>
      </c>
      <c r="G24" s="15">
        <v>6.4064899999999999E-3</v>
      </c>
      <c r="H24" s="15">
        <v>0.40565664000000001</v>
      </c>
      <c r="I24" s="15">
        <v>0.39267616</v>
      </c>
      <c r="J24" s="15">
        <v>1.2980490000000001E-2</v>
      </c>
      <c r="K24" s="18">
        <v>27.47</v>
      </c>
      <c r="L24" s="18">
        <v>27.46</v>
      </c>
      <c r="M24" s="18">
        <v>0</v>
      </c>
      <c r="N24" s="15">
        <v>0.14471734</v>
      </c>
      <c r="O24" s="15">
        <v>-5.9453869999999999E-2</v>
      </c>
      <c r="P24" s="15">
        <v>0.2041712</v>
      </c>
      <c r="Q24" s="15">
        <v>0.22103555999999999</v>
      </c>
      <c r="R24" s="15">
        <v>-0.23114947999999999</v>
      </c>
      <c r="S24" s="15">
        <v>0.45218503999999998</v>
      </c>
      <c r="T24" s="14"/>
      <c r="U24" s="15">
        <f t="shared" si="5"/>
        <v>-3.2032399999999961E-3</v>
      </c>
      <c r="V24" s="15">
        <f t="shared" si="6"/>
        <v>6.4902400000000082E-3</v>
      </c>
      <c r="W24" s="15"/>
      <c r="X24" s="15"/>
      <c r="Y24" s="16">
        <f t="shared" si="0"/>
        <v>0.14471734</v>
      </c>
      <c r="Z24" s="16">
        <f t="shared" si="1"/>
        <v>0.22103555999999999</v>
      </c>
      <c r="AA24" s="16">
        <f t="shared" si="2"/>
        <v>-5.9453869999999999E-2</v>
      </c>
      <c r="AB24" s="16">
        <f t="shared" si="3"/>
        <v>-0.23114947999999999</v>
      </c>
      <c r="AC24" s="17">
        <f t="shared" si="10"/>
        <v>15.319218294853336</v>
      </c>
      <c r="AD24" s="17">
        <f t="shared" si="11"/>
        <v>13.808238401817473</v>
      </c>
      <c r="AE24" s="17">
        <f t="shared" si="12"/>
        <v>56.786258829537992</v>
      </c>
      <c r="AF24" s="17">
        <f t="shared" si="4"/>
        <v>56.519078389537995</v>
      </c>
    </row>
    <row r="25" spans="1:32" x14ac:dyDescent="0.25">
      <c r="A25" s="14">
        <v>23</v>
      </c>
      <c r="B25" s="14" t="s">
        <v>67</v>
      </c>
      <c r="C25" s="14">
        <v>135</v>
      </c>
      <c r="D25" s="14">
        <v>16</v>
      </c>
      <c r="E25" s="15">
        <v>-0.26209062</v>
      </c>
      <c r="F25" s="15">
        <v>-0.26931559999999999</v>
      </c>
      <c r="G25" s="15">
        <v>7.2249799999999998E-3</v>
      </c>
      <c r="H25" s="15">
        <v>0.40451880000000001</v>
      </c>
      <c r="I25" s="15">
        <v>0.39079375999999999</v>
      </c>
      <c r="J25" s="15">
        <v>1.3725070000000001E-2</v>
      </c>
      <c r="K25" s="18">
        <v>27.43</v>
      </c>
      <c r="L25" s="18">
        <v>27.43</v>
      </c>
      <c r="M25" s="18">
        <v>0</v>
      </c>
      <c r="N25" s="15">
        <v>0.22173889999999999</v>
      </c>
      <c r="O25" s="15">
        <v>-0.13658798</v>
      </c>
      <c r="P25" s="15">
        <v>0.35832683999999998</v>
      </c>
      <c r="Q25" s="15">
        <v>0.16586226000000001</v>
      </c>
      <c r="R25" s="15">
        <v>-0.17629549999999999</v>
      </c>
      <c r="S25" s="15">
        <v>0.34215775999999998</v>
      </c>
      <c r="T25" s="14"/>
      <c r="U25" s="15">
        <f t="shared" si="5"/>
        <v>-3.612489999999996E-3</v>
      </c>
      <c r="V25" s="15">
        <f t="shared" si="6"/>
        <v>6.8625200000000108E-3</v>
      </c>
      <c r="W25" s="15"/>
      <c r="X25" s="15"/>
      <c r="Y25" s="16">
        <f t="shared" si="0"/>
        <v>0.22173889999999999</v>
      </c>
      <c r="Z25" s="16">
        <f t="shared" si="1"/>
        <v>0.16586226000000001</v>
      </c>
      <c r="AA25" s="16">
        <f t="shared" si="2"/>
        <v>-0.13658798</v>
      </c>
      <c r="AB25" s="16">
        <f t="shared" si="3"/>
        <v>-0.17629549999999999</v>
      </c>
      <c r="AC25" s="17">
        <f t="shared" si="10"/>
        <v>16.07579267079484</v>
      </c>
      <c r="AD25" s="17">
        <f t="shared" si="11"/>
        <v>12.886271270192188</v>
      </c>
      <c r="AE25" s="17">
        <f t="shared" si="12"/>
        <v>36.796747553763801</v>
      </c>
      <c r="AF25" s="17">
        <f t="shared" si="4"/>
        <v>36.527431953763802</v>
      </c>
    </row>
    <row r="26" spans="1:32" x14ac:dyDescent="0.25">
      <c r="A26" s="14">
        <v>24</v>
      </c>
      <c r="B26" s="14" t="s">
        <v>67</v>
      </c>
      <c r="C26" s="14">
        <v>157.5</v>
      </c>
      <c r="D26" s="14">
        <v>18</v>
      </c>
      <c r="E26" s="15">
        <v>-0.26190284000000003</v>
      </c>
      <c r="F26" s="15">
        <v>-0.27270551999999998</v>
      </c>
      <c r="G26" s="15">
        <v>1.080269E-2</v>
      </c>
      <c r="H26" s="15">
        <v>0.40098620000000001</v>
      </c>
      <c r="I26" s="15">
        <v>0.39224167999999998</v>
      </c>
      <c r="J26" s="15">
        <v>8.7445700000000001E-3</v>
      </c>
      <c r="K26" s="18">
        <v>27.41</v>
      </c>
      <c r="L26" s="18">
        <v>27.43</v>
      </c>
      <c r="M26" s="18">
        <v>-0.01</v>
      </c>
      <c r="N26" s="15">
        <v>0.27279678000000002</v>
      </c>
      <c r="O26" s="15">
        <v>-0.18760104</v>
      </c>
      <c r="P26" s="15">
        <v>0.46039784</v>
      </c>
      <c r="Q26" s="15">
        <v>8.3652199999999996E-2</v>
      </c>
      <c r="R26" s="15">
        <v>-9.3829209999999996E-2</v>
      </c>
      <c r="S26" s="15">
        <v>0.17748142</v>
      </c>
      <c r="T26" s="14"/>
      <c r="U26" s="15">
        <f t="shared" si="5"/>
        <v>-5.4013399999999767E-3</v>
      </c>
      <c r="V26" s="15">
        <f t="shared" si="6"/>
        <v>4.3722600000000167E-3</v>
      </c>
      <c r="W26" s="15"/>
      <c r="X26" s="15"/>
      <c r="Y26" s="16">
        <f t="shared" si="0"/>
        <v>0.27279678000000002</v>
      </c>
      <c r="Z26" s="16">
        <f t="shared" si="1"/>
        <v>8.3652199999999996E-2</v>
      </c>
      <c r="AA26" s="16">
        <f t="shared" si="2"/>
        <v>-0.18760104</v>
      </c>
      <c r="AB26" s="16">
        <f t="shared" si="3"/>
        <v>-9.3829209999999996E-2</v>
      </c>
      <c r="AC26" s="17">
        <f t="shared" si="10"/>
        <v>16.57884396139433</v>
      </c>
      <c r="AD26" s="17">
        <f t="shared" si="11"/>
        <v>12.108122239377083</v>
      </c>
      <c r="AE26" s="17">
        <f t="shared" si="12"/>
        <v>17.047979087682126</v>
      </c>
      <c r="AF26" s="17">
        <f t="shared" si="4"/>
        <v>16.775273567682127</v>
      </c>
    </row>
    <row r="27" spans="1:32" x14ac:dyDescent="0.25">
      <c r="A27" s="14">
        <v>25</v>
      </c>
      <c r="B27" s="14" t="s">
        <v>67</v>
      </c>
      <c r="C27" s="14">
        <v>180</v>
      </c>
      <c r="D27" s="14">
        <v>13</v>
      </c>
      <c r="E27" s="15">
        <v>-0.25787692000000001</v>
      </c>
      <c r="F27" s="15">
        <v>-0.27003460000000001</v>
      </c>
      <c r="G27" s="15">
        <v>1.2157680000000001E-2</v>
      </c>
      <c r="H27" s="15">
        <v>0.39691544000000001</v>
      </c>
      <c r="I27" s="15">
        <v>0.39438079999999998</v>
      </c>
      <c r="J27" s="15">
        <v>2.5346600000000002E-3</v>
      </c>
      <c r="K27" s="18">
        <v>27.5</v>
      </c>
      <c r="L27" s="18">
        <v>27.47</v>
      </c>
      <c r="M27" s="18">
        <v>0.02</v>
      </c>
      <c r="N27" s="15">
        <v>0.29047943999999998</v>
      </c>
      <c r="O27" s="15">
        <v>-0.20447884</v>
      </c>
      <c r="P27" s="15">
        <v>0.49495827999999997</v>
      </c>
      <c r="Q27" s="15">
        <v>-1.165922E-2</v>
      </c>
      <c r="R27" s="15">
        <v>1.1502800000000001E-3</v>
      </c>
      <c r="S27" s="15">
        <v>-1.28095E-2</v>
      </c>
      <c r="T27" s="14"/>
      <c r="U27" s="15">
        <f t="shared" si="5"/>
        <v>-6.078840000000002E-3</v>
      </c>
      <c r="V27" s="15">
        <f t="shared" si="6"/>
        <v>1.2673200000000162E-3</v>
      </c>
      <c r="W27" s="15"/>
      <c r="X27" s="15"/>
      <c r="Y27" s="16">
        <f t="shared" si="0"/>
        <v>0.29047943999999998</v>
      </c>
      <c r="Z27" s="16">
        <f t="shared" si="1"/>
        <v>-1.165922E-2</v>
      </c>
      <c r="AA27" s="16">
        <f t="shared" si="2"/>
        <v>-0.20447884</v>
      </c>
      <c r="AB27" s="16">
        <f t="shared" si="3"/>
        <v>1.1502800000000001E-3</v>
      </c>
      <c r="AC27" s="17">
        <f t="shared" si="10"/>
        <v>16.900667099744396</v>
      </c>
      <c r="AD27" s="17">
        <f t="shared" si="11"/>
        <v>11.799181920786905</v>
      </c>
      <c r="AE27" s="17">
        <f t="shared" si="12"/>
        <v>357.70150443216158</v>
      </c>
      <c r="AF27" s="17">
        <f t="shared" si="4"/>
        <v>357.43146983216161</v>
      </c>
    </row>
    <row r="28" spans="1:32" x14ac:dyDescent="0.25">
      <c r="A28" s="14">
        <v>26</v>
      </c>
      <c r="B28" s="14" t="s">
        <v>67</v>
      </c>
      <c r="C28" s="14">
        <v>202.5</v>
      </c>
      <c r="D28" s="14">
        <v>20</v>
      </c>
      <c r="E28" s="15">
        <v>-0.26043500000000003</v>
      </c>
      <c r="F28" s="15">
        <v>-0.271505</v>
      </c>
      <c r="G28" s="15">
        <v>1.107001E-2</v>
      </c>
      <c r="H28" s="15">
        <v>0.39807251999999999</v>
      </c>
      <c r="I28" s="15">
        <v>0.39966003999999999</v>
      </c>
      <c r="J28" s="15">
        <v>-1.5875100000000001E-3</v>
      </c>
      <c r="K28" s="18">
        <v>27.44</v>
      </c>
      <c r="L28" s="18">
        <v>27.42</v>
      </c>
      <c r="M28" s="18">
        <v>0.02</v>
      </c>
      <c r="N28" s="15">
        <v>0.2690575</v>
      </c>
      <c r="O28" s="15">
        <v>-0.18397988000000001</v>
      </c>
      <c r="P28" s="15">
        <v>0.45303739999999998</v>
      </c>
      <c r="Q28" s="15">
        <v>-0.10593458</v>
      </c>
      <c r="R28" s="15">
        <v>9.5728880000000002E-2</v>
      </c>
      <c r="S28" s="15">
        <v>-0.20166345999999999</v>
      </c>
      <c r="T28" s="14"/>
      <c r="U28" s="15">
        <f t="shared" si="5"/>
        <v>-5.5349999999999844E-3</v>
      </c>
      <c r="V28" s="15">
        <f t="shared" si="6"/>
        <v>-7.9376000000000446E-4</v>
      </c>
      <c r="W28" s="15"/>
      <c r="X28" s="15"/>
      <c r="Y28" s="16">
        <f t="shared" si="0"/>
        <v>0.2690575</v>
      </c>
      <c r="Z28" s="16">
        <f t="shared" si="1"/>
        <v>-0.10593458</v>
      </c>
      <c r="AA28" s="16">
        <f t="shared" si="2"/>
        <v>-0.18397988000000001</v>
      </c>
      <c r="AB28" s="16">
        <f t="shared" si="3"/>
        <v>9.5728880000000002E-2</v>
      </c>
      <c r="AC28" s="17">
        <f t="shared" si="10"/>
        <v>16.807731914723885</v>
      </c>
      <c r="AD28" s="17">
        <f t="shared" si="11"/>
        <v>11.969726049113966</v>
      </c>
      <c r="AE28" s="17">
        <f t="shared" si="12"/>
        <v>338.50921562525019</v>
      </c>
      <c r="AF28" s="17">
        <f t="shared" si="4"/>
        <v>338.2377106252502</v>
      </c>
    </row>
    <row r="29" spans="1:32" x14ac:dyDescent="0.25">
      <c r="A29" s="14">
        <v>27</v>
      </c>
      <c r="B29" s="14" t="s">
        <v>67</v>
      </c>
      <c r="C29" s="14">
        <v>225</v>
      </c>
      <c r="D29" s="14">
        <v>10</v>
      </c>
      <c r="E29" s="15">
        <v>-0.25920504</v>
      </c>
      <c r="F29" s="15">
        <v>-0.27423500000000001</v>
      </c>
      <c r="G29" s="15">
        <v>1.502997E-2</v>
      </c>
      <c r="H29" s="15">
        <v>0.39557999999999999</v>
      </c>
      <c r="I29" s="15">
        <v>0.4018601</v>
      </c>
      <c r="J29" s="15">
        <v>-6.2800599999999996E-3</v>
      </c>
      <c r="K29" s="18">
        <v>27.46</v>
      </c>
      <c r="L29" s="18">
        <v>27.48</v>
      </c>
      <c r="M29" s="18">
        <v>-0.02</v>
      </c>
      <c r="N29" s="15">
        <v>0.21176708</v>
      </c>
      <c r="O29" s="15">
        <v>-0.12653466999999999</v>
      </c>
      <c r="P29" s="15">
        <v>0.33830176000000001</v>
      </c>
      <c r="Q29" s="15">
        <v>-0.18574463999999999</v>
      </c>
      <c r="R29" s="15">
        <v>0.17557886</v>
      </c>
      <c r="S29" s="15">
        <v>-0.36132347999999997</v>
      </c>
      <c r="T29" s="14"/>
      <c r="U29" s="15">
        <f t="shared" si="5"/>
        <v>-7.5149800000000044E-3</v>
      </c>
      <c r="V29" s="15">
        <f t="shared" si="6"/>
        <v>-3.1400500000000053E-3</v>
      </c>
      <c r="W29" s="15"/>
      <c r="X29" s="15"/>
      <c r="Y29" s="16">
        <f t="shared" si="0"/>
        <v>0.21176708</v>
      </c>
      <c r="Z29" s="16">
        <f t="shared" si="1"/>
        <v>-0.18574463999999999</v>
      </c>
      <c r="AA29" s="16">
        <f t="shared" si="2"/>
        <v>-0.12653466999999999</v>
      </c>
      <c r="AB29" s="16">
        <f t="shared" si="3"/>
        <v>0.17557886</v>
      </c>
      <c r="AC29" s="17">
        <f t="shared" si="10"/>
        <v>16.360788937930305</v>
      </c>
      <c r="AD29" s="17">
        <f t="shared" si="11"/>
        <v>12.499030928367103</v>
      </c>
      <c r="AE29" s="17">
        <f t="shared" si="12"/>
        <v>318.74542821355311</v>
      </c>
      <c r="AF29" s="17">
        <f t="shared" si="4"/>
        <v>318.47119321355314</v>
      </c>
    </row>
    <row r="30" spans="1:32" x14ac:dyDescent="0.25">
      <c r="A30" s="14">
        <v>28</v>
      </c>
      <c r="B30" s="14" t="s">
        <v>67</v>
      </c>
      <c r="C30" s="14">
        <v>247.5</v>
      </c>
      <c r="D30" s="14">
        <v>17</v>
      </c>
      <c r="E30" s="15">
        <v>-0.26092650000000001</v>
      </c>
      <c r="F30" s="15">
        <v>-0.26870290000000002</v>
      </c>
      <c r="G30" s="15">
        <v>7.7763800000000003E-3</v>
      </c>
      <c r="H30" s="15">
        <v>0.39096476000000002</v>
      </c>
      <c r="I30" s="15">
        <v>0.4048177</v>
      </c>
      <c r="J30" s="15">
        <v>-1.3852949999999999E-2</v>
      </c>
      <c r="K30" s="18">
        <v>27.43</v>
      </c>
      <c r="L30" s="18">
        <v>27.43</v>
      </c>
      <c r="M30" s="18">
        <v>0</v>
      </c>
      <c r="N30" s="15">
        <v>0.13055232</v>
      </c>
      <c r="O30" s="15">
        <v>-4.4954910000000001E-2</v>
      </c>
      <c r="P30" s="15">
        <v>0.17550724000000001</v>
      </c>
      <c r="Q30" s="15">
        <v>-0.23718661999999999</v>
      </c>
      <c r="R30" s="15">
        <v>0.2268503</v>
      </c>
      <c r="S30" s="15">
        <v>-0.46403692000000002</v>
      </c>
      <c r="T30" s="14"/>
      <c r="U30" s="15">
        <f t="shared" si="5"/>
        <v>-3.8882000000000083E-3</v>
      </c>
      <c r="V30" s="15">
        <f t="shared" si="6"/>
        <v>-6.9264699999999901E-3</v>
      </c>
      <c r="W30" s="15"/>
      <c r="X30" s="15"/>
      <c r="Y30" s="16">
        <f t="shared" si="0"/>
        <v>0.13055232</v>
      </c>
      <c r="Z30" s="16">
        <f t="shared" si="1"/>
        <v>-0.23718661999999999</v>
      </c>
      <c r="AA30" s="16">
        <f t="shared" si="2"/>
        <v>-4.4954910000000001E-2</v>
      </c>
      <c r="AB30" s="16">
        <f t="shared" si="3"/>
        <v>0.2268503</v>
      </c>
      <c r="AC30" s="17">
        <f t="shared" si="10"/>
        <v>15.708443665440225</v>
      </c>
      <c r="AD30" s="17">
        <f t="shared" si="11"/>
        <v>13.37136832620279</v>
      </c>
      <c r="AE30" s="17">
        <f t="shared" si="12"/>
        <v>298.82927711942068</v>
      </c>
      <c r="AF30" s="17">
        <f t="shared" si="4"/>
        <v>298.56057421942069</v>
      </c>
    </row>
    <row r="31" spans="1:32" x14ac:dyDescent="0.25">
      <c r="A31" s="14">
        <v>29</v>
      </c>
      <c r="B31" s="14" t="s">
        <v>67</v>
      </c>
      <c r="C31" s="14">
        <v>270</v>
      </c>
      <c r="D31" s="14">
        <v>11</v>
      </c>
      <c r="E31" s="15">
        <v>-0.26554092000000001</v>
      </c>
      <c r="F31" s="15">
        <v>-0.26478636</v>
      </c>
      <c r="G31" s="15">
        <v>-7.5456999999999998E-4</v>
      </c>
      <c r="H31" s="15">
        <v>0.38595449999999998</v>
      </c>
      <c r="I31" s="15">
        <v>0.40297736000000001</v>
      </c>
      <c r="J31" s="15">
        <v>-1.7022849999999999E-2</v>
      </c>
      <c r="K31" s="18">
        <v>27.49</v>
      </c>
      <c r="L31" s="18">
        <v>27.49</v>
      </c>
      <c r="M31" s="18">
        <v>0</v>
      </c>
      <c r="N31" s="15">
        <v>3.5477410000000001E-2</v>
      </c>
      <c r="O31" s="15">
        <v>4.9561210000000001E-2</v>
      </c>
      <c r="P31" s="15">
        <v>-1.408381E-2</v>
      </c>
      <c r="Q31" s="15">
        <v>-0.25337599999999999</v>
      </c>
      <c r="R31" s="15">
        <v>0.24302804</v>
      </c>
      <c r="S31" s="15">
        <v>-0.49640403999999999</v>
      </c>
      <c r="T31" s="14"/>
      <c r="U31" s="15">
        <f t="shared" si="5"/>
        <v>3.7728000000000761E-4</v>
      </c>
      <c r="V31" s="15">
        <f t="shared" si="6"/>
        <v>-8.5114300000000143E-3</v>
      </c>
      <c r="W31" s="15"/>
      <c r="X31" s="15"/>
      <c r="Y31" s="16">
        <f t="shared" si="0"/>
        <v>3.5477410000000001E-2</v>
      </c>
      <c r="Z31" s="16">
        <f t="shared" si="1"/>
        <v>-0.25337599999999999</v>
      </c>
      <c r="AA31" s="16">
        <f t="shared" si="2"/>
        <v>4.9561210000000001E-2</v>
      </c>
      <c r="AB31" s="16">
        <f t="shared" si="3"/>
        <v>0.24302804</v>
      </c>
      <c r="AC31" s="17">
        <f t="shared" si="10"/>
        <v>14.823820969482592</v>
      </c>
      <c r="AD31" s="17">
        <f t="shared" si="11"/>
        <v>14.360975557788082</v>
      </c>
      <c r="AE31" s="17">
        <f t="shared" si="12"/>
        <v>277.97066829424614</v>
      </c>
      <c r="AF31" s="17">
        <f t="shared" si="4"/>
        <v>277.70588193424612</v>
      </c>
    </row>
    <row r="32" spans="1:32" x14ac:dyDescent="0.25">
      <c r="A32" s="14">
        <v>30</v>
      </c>
      <c r="B32" s="14" t="s">
        <v>67</v>
      </c>
      <c r="C32" s="14">
        <v>292.5</v>
      </c>
      <c r="D32" s="14">
        <v>15</v>
      </c>
      <c r="E32" s="15">
        <v>-0.26589336000000002</v>
      </c>
      <c r="F32" s="15">
        <v>-0.26384002000000001</v>
      </c>
      <c r="G32" s="15">
        <v>-2.0533499999999998E-3</v>
      </c>
      <c r="H32" s="15">
        <v>0.39301999999999998</v>
      </c>
      <c r="I32" s="15">
        <v>0.40748012</v>
      </c>
      <c r="J32" s="15">
        <v>-1.446012E-2</v>
      </c>
      <c r="K32" s="18">
        <v>27.47</v>
      </c>
      <c r="L32" s="18">
        <v>27.46</v>
      </c>
      <c r="M32" s="18">
        <v>0.01</v>
      </c>
      <c r="N32" s="15">
        <v>-5.9404619999999998E-2</v>
      </c>
      <c r="O32" s="15">
        <v>0.14637989000000001</v>
      </c>
      <c r="P32" s="15">
        <v>-0.20578452</v>
      </c>
      <c r="Q32" s="15">
        <v>-0.23086377999999999</v>
      </c>
      <c r="R32" s="15">
        <v>0.22107244000000001</v>
      </c>
      <c r="S32" s="15">
        <v>-0.45193620000000001</v>
      </c>
      <c r="T32" s="14"/>
      <c r="U32" s="15">
        <f t="shared" si="5"/>
        <v>1.0266700000000073E-3</v>
      </c>
      <c r="V32" s="15">
        <f t="shared" si="6"/>
        <v>-7.2300600000000104E-3</v>
      </c>
      <c r="W32" s="15"/>
      <c r="X32" s="15"/>
      <c r="Y32" s="16">
        <f t="shared" si="0"/>
        <v>-5.9404619999999998E-2</v>
      </c>
      <c r="Z32" s="16">
        <f t="shared" si="1"/>
        <v>-0.23086377999999999</v>
      </c>
      <c r="AA32" s="16">
        <f t="shared" si="2"/>
        <v>0.14637989000000001</v>
      </c>
      <c r="AB32" s="16">
        <f t="shared" si="3"/>
        <v>0.22107244000000001</v>
      </c>
      <c r="AC32" s="17">
        <f t="shared" si="10"/>
        <v>13.791190059173836</v>
      </c>
      <c r="AD32" s="17">
        <f t="shared" si="11"/>
        <v>15.375369983434336</v>
      </c>
      <c r="AE32" s="17">
        <f t="shared" si="12"/>
        <v>255.5699976942405</v>
      </c>
      <c r="AF32" s="17">
        <f t="shared" si="4"/>
        <v>255.3061576742405</v>
      </c>
    </row>
    <row r="33" spans="1:32" x14ac:dyDescent="0.25">
      <c r="A33" s="14">
        <v>31</v>
      </c>
      <c r="B33" s="14" t="s">
        <v>67</v>
      </c>
      <c r="C33" s="14">
        <v>315</v>
      </c>
      <c r="D33" s="14">
        <v>11</v>
      </c>
      <c r="E33" s="15">
        <v>-0.27420904000000001</v>
      </c>
      <c r="F33" s="15">
        <v>-0.26269550000000003</v>
      </c>
      <c r="G33" s="15">
        <v>-1.1513560000000001E-2</v>
      </c>
      <c r="H33" s="15">
        <v>0.39712276000000002</v>
      </c>
      <c r="I33" s="15">
        <v>0.40672740000000002</v>
      </c>
      <c r="J33" s="15">
        <v>-9.6046299999999994E-3</v>
      </c>
      <c r="K33" s="18">
        <v>27.39</v>
      </c>
      <c r="L33" s="18">
        <v>27.39</v>
      </c>
      <c r="M33" s="18">
        <v>-0.01</v>
      </c>
      <c r="N33" s="15">
        <v>-0.13649658000000001</v>
      </c>
      <c r="O33" s="15">
        <v>0.22206587999999999</v>
      </c>
      <c r="P33" s="15">
        <v>-0.35856248000000002</v>
      </c>
      <c r="Q33" s="15">
        <v>-0.17640158</v>
      </c>
      <c r="R33" s="15">
        <v>0.16635143999999999</v>
      </c>
      <c r="S33" s="15">
        <v>-0.34275299999999997</v>
      </c>
      <c r="T33" s="14"/>
      <c r="U33" s="15">
        <f t="shared" si="5"/>
        <v>5.7567699999999944E-3</v>
      </c>
      <c r="V33" s="15">
        <f t="shared" si="6"/>
        <v>-4.8023199999999988E-3</v>
      </c>
      <c r="W33" s="15"/>
      <c r="X33" s="15"/>
      <c r="Y33" s="16">
        <f t="shared" si="0"/>
        <v>-0.13649658000000001</v>
      </c>
      <c r="Z33" s="16">
        <f t="shared" si="1"/>
        <v>-0.17640158</v>
      </c>
      <c r="AA33" s="16">
        <f t="shared" si="2"/>
        <v>0.22206587999999999</v>
      </c>
      <c r="AB33" s="16">
        <f t="shared" si="3"/>
        <v>0.16635143999999999</v>
      </c>
      <c r="AC33" s="17">
        <f t="shared" si="10"/>
        <v>12.887912323877208</v>
      </c>
      <c r="AD33" s="17">
        <f t="shared" si="11"/>
        <v>16.108883378087867</v>
      </c>
      <c r="AE33" s="17">
        <f t="shared" si="12"/>
        <v>232.26789759695833</v>
      </c>
      <c r="AF33" s="17">
        <f t="shared" si="4"/>
        <v>232.00520209695833</v>
      </c>
    </row>
    <row r="34" spans="1:32" x14ac:dyDescent="0.25">
      <c r="A34" s="14">
        <v>32</v>
      </c>
      <c r="B34" s="14" t="s">
        <v>67</v>
      </c>
      <c r="C34" s="14">
        <v>337.5</v>
      </c>
      <c r="D34" s="14">
        <v>22</v>
      </c>
      <c r="E34" s="15">
        <v>-0.27061594</v>
      </c>
      <c r="F34" s="15">
        <v>-0.2598432</v>
      </c>
      <c r="G34" s="15">
        <v>-1.0772739999999999E-2</v>
      </c>
      <c r="H34" s="15">
        <v>0.39382731999999998</v>
      </c>
      <c r="I34" s="15">
        <v>0.40257056000000002</v>
      </c>
      <c r="J34" s="15">
        <v>-8.7432299999999994E-3</v>
      </c>
      <c r="K34" s="18">
        <v>27.42</v>
      </c>
      <c r="L34" s="18">
        <v>27.42</v>
      </c>
      <c r="M34" s="18">
        <v>0.01</v>
      </c>
      <c r="N34" s="15">
        <v>-0.18792692</v>
      </c>
      <c r="O34" s="15">
        <v>0.27567016</v>
      </c>
      <c r="P34" s="15">
        <v>-0.46359709999999998</v>
      </c>
      <c r="Q34" s="15">
        <v>-9.3657340000000006E-2</v>
      </c>
      <c r="R34" s="15">
        <v>8.3336740000000006E-2</v>
      </c>
      <c r="S34" s="15">
        <v>-0.17699408</v>
      </c>
      <c r="T34" s="14"/>
      <c r="U34" s="15">
        <f t="shared" si="5"/>
        <v>5.3863700000000014E-3</v>
      </c>
      <c r="V34" s="15">
        <f t="shared" si="6"/>
        <v>-4.3716200000000205E-3</v>
      </c>
      <c r="W34" s="15"/>
      <c r="X34" s="15"/>
      <c r="Y34" s="16">
        <f t="shared" si="0"/>
        <v>-0.18792692</v>
      </c>
      <c r="Z34" s="16">
        <f t="shared" si="1"/>
        <v>-9.3657340000000006E-2</v>
      </c>
      <c r="AA34" s="16">
        <f t="shared" si="2"/>
        <v>0.27567016</v>
      </c>
      <c r="AB34" s="16">
        <f t="shared" si="3"/>
        <v>8.3336740000000006E-2</v>
      </c>
      <c r="AC34" s="17">
        <f t="shared" si="10"/>
        <v>12.120709119942353</v>
      </c>
      <c r="AD34" s="17">
        <f t="shared" si="11"/>
        <v>16.737742515885785</v>
      </c>
      <c r="AE34" s="17">
        <f t="shared" si="12"/>
        <v>206.490337837629</v>
      </c>
      <c r="AF34" s="17">
        <f t="shared" si="4"/>
        <v>206.23049463762899</v>
      </c>
    </row>
    <row r="37" spans="1:32" x14ac:dyDescent="0.25">
      <c r="A37">
        <v>1</v>
      </c>
      <c r="C37">
        <v>0</v>
      </c>
      <c r="K37">
        <f>(K3+K19)/2</f>
        <v>27.439999999999998</v>
      </c>
      <c r="L37">
        <f>(L3+L19)/2</f>
        <v>27.435000000000002</v>
      </c>
      <c r="M37">
        <f>K37-L37</f>
        <v>4.9999999999954525E-3</v>
      </c>
      <c r="U37">
        <f>(U3+U19)/2</f>
        <v>6.4478300000000016E-3</v>
      </c>
      <c r="V37">
        <f>(V3+V19)/2</f>
        <v>-1.5782399999999946E-3</v>
      </c>
      <c r="AC37">
        <f>(AC3+AC19)/2</f>
        <v>11.800308596214784</v>
      </c>
      <c r="AD37">
        <f>(AD3+AD19)/2</f>
        <v>16.903407268304829</v>
      </c>
    </row>
    <row r="38" spans="1:32" x14ac:dyDescent="0.25">
      <c r="A38">
        <v>2</v>
      </c>
      <c r="C38">
        <v>22.5</v>
      </c>
      <c r="K38">
        <f t="shared" ref="K38:L52" si="13">(K4+K20)/2</f>
        <v>27.439999999999998</v>
      </c>
      <c r="L38">
        <f t="shared" si="13"/>
        <v>27.424999999999997</v>
      </c>
      <c r="M38">
        <f t="shared" ref="M38:M52" si="14">K38-L38</f>
        <v>1.5000000000000568E-2</v>
      </c>
      <c r="U38">
        <f t="shared" ref="U38:V52" si="15">(U4+U20)/2</f>
        <v>6.7055099999999979E-3</v>
      </c>
      <c r="V38">
        <f t="shared" si="15"/>
        <v>2.4410000000002485E-5</v>
      </c>
      <c r="AC38">
        <f t="shared" ref="AC38:AD52" si="16">(AC4+AC20)/2</f>
        <v>11.916165806735158</v>
      </c>
      <c r="AD38">
        <f t="shared" si="16"/>
        <v>16.870572042236923</v>
      </c>
    </row>
    <row r="39" spans="1:32" x14ac:dyDescent="0.25">
      <c r="A39">
        <v>3</v>
      </c>
      <c r="C39">
        <v>45</v>
      </c>
      <c r="K39">
        <f t="shared" si="13"/>
        <v>27.414999999999999</v>
      </c>
      <c r="L39">
        <f t="shared" si="13"/>
        <v>27.42</v>
      </c>
      <c r="M39">
        <f t="shared" si="14"/>
        <v>-5.000000000002558E-3</v>
      </c>
      <c r="U39">
        <f t="shared" si="15"/>
        <v>5.1648200000000005E-3</v>
      </c>
      <c r="V39">
        <f t="shared" si="15"/>
        <v>4.3508099999999966E-3</v>
      </c>
      <c r="AC39">
        <f t="shared" si="16"/>
        <v>12.520171441811263</v>
      </c>
      <c r="AD39">
        <f t="shared" si="16"/>
        <v>16.400029110297091</v>
      </c>
    </row>
    <row r="40" spans="1:32" x14ac:dyDescent="0.25">
      <c r="A40">
        <v>4</v>
      </c>
      <c r="C40">
        <v>67.5</v>
      </c>
      <c r="K40">
        <f t="shared" si="13"/>
        <v>27.4</v>
      </c>
      <c r="L40">
        <f t="shared" si="13"/>
        <v>27.41</v>
      </c>
      <c r="M40">
        <f t="shared" si="14"/>
        <v>-1.0000000000001563E-2</v>
      </c>
      <c r="U40">
        <f t="shared" si="15"/>
        <v>4.1211849999999994E-3</v>
      </c>
      <c r="V40">
        <f t="shared" si="15"/>
        <v>8.6427299999999874E-3</v>
      </c>
      <c r="AC40">
        <f t="shared" si="16"/>
        <v>13.368209805835079</v>
      </c>
      <c r="AD40">
        <f t="shared" si="16"/>
        <v>15.7192248360265</v>
      </c>
    </row>
    <row r="41" spans="1:32" x14ac:dyDescent="0.25">
      <c r="A41">
        <v>5</v>
      </c>
      <c r="C41">
        <v>90</v>
      </c>
      <c r="K41">
        <f t="shared" si="13"/>
        <v>27.46</v>
      </c>
      <c r="L41">
        <f t="shared" si="13"/>
        <v>27.46</v>
      </c>
      <c r="M41">
        <f t="shared" si="14"/>
        <v>0</v>
      </c>
      <c r="U41">
        <f t="shared" si="15"/>
        <v>-4.0837999999998598E-4</v>
      </c>
      <c r="V41">
        <f t="shared" si="15"/>
        <v>8.0263949999999917E-3</v>
      </c>
      <c r="AC41">
        <f t="shared" si="16"/>
        <v>14.351414447733802</v>
      </c>
      <c r="AD41">
        <f t="shared" si="16"/>
        <v>14.806113124279335</v>
      </c>
    </row>
    <row r="42" spans="1:32" x14ac:dyDescent="0.25">
      <c r="A42">
        <v>6</v>
      </c>
      <c r="C42">
        <v>112.5</v>
      </c>
      <c r="K42">
        <f t="shared" si="13"/>
        <v>27.465</v>
      </c>
      <c r="L42">
        <f t="shared" si="13"/>
        <v>27.465</v>
      </c>
      <c r="M42">
        <f t="shared" si="14"/>
        <v>0</v>
      </c>
      <c r="U42">
        <f t="shared" si="15"/>
        <v>-2.6449450000000096E-3</v>
      </c>
      <c r="V42">
        <f t="shared" si="15"/>
        <v>7.0734699999999984E-3</v>
      </c>
      <c r="AC42">
        <f t="shared" si="16"/>
        <v>15.325975458427054</v>
      </c>
      <c r="AD42">
        <f t="shared" si="16"/>
        <v>13.806729550202085</v>
      </c>
    </row>
    <row r="43" spans="1:32" x14ac:dyDescent="0.25">
      <c r="A43">
        <v>7</v>
      </c>
      <c r="C43">
        <v>135</v>
      </c>
      <c r="K43">
        <f t="shared" si="13"/>
        <v>27.454999999999998</v>
      </c>
      <c r="L43">
        <f t="shared" si="13"/>
        <v>27.45</v>
      </c>
      <c r="M43">
        <f t="shared" si="14"/>
        <v>4.9999999999990052E-3</v>
      </c>
      <c r="U43">
        <f t="shared" si="15"/>
        <v>-3.9257600000000004E-3</v>
      </c>
      <c r="V43">
        <f t="shared" si="15"/>
        <v>6.1234599999999972E-3</v>
      </c>
      <c r="AC43">
        <f t="shared" si="16"/>
        <v>16.079069601736261</v>
      </c>
      <c r="AD43">
        <f t="shared" si="16"/>
        <v>12.87371853408164</v>
      </c>
    </row>
    <row r="44" spans="1:32" x14ac:dyDescent="0.25">
      <c r="A44">
        <v>8</v>
      </c>
      <c r="C44">
        <v>157.5</v>
      </c>
      <c r="K44">
        <f t="shared" si="13"/>
        <v>27.414999999999999</v>
      </c>
      <c r="L44">
        <f t="shared" si="13"/>
        <v>27.414999999999999</v>
      </c>
      <c r="M44">
        <f t="shared" si="14"/>
        <v>0</v>
      </c>
      <c r="U44">
        <f t="shared" si="15"/>
        <v>-4.4315499999999786E-3</v>
      </c>
      <c r="V44">
        <f t="shared" si="15"/>
        <v>4.2243750000000024E-3</v>
      </c>
      <c r="AC44">
        <f t="shared" si="16"/>
        <v>16.615241290877897</v>
      </c>
      <c r="AD44">
        <f t="shared" si="16"/>
        <v>12.13222454870775</v>
      </c>
    </row>
    <row r="45" spans="1:32" x14ac:dyDescent="0.25">
      <c r="A45">
        <v>9</v>
      </c>
      <c r="C45">
        <v>180</v>
      </c>
      <c r="K45">
        <f t="shared" si="13"/>
        <v>27.45</v>
      </c>
      <c r="L45">
        <f t="shared" si="13"/>
        <v>27.445</v>
      </c>
      <c r="M45">
        <f t="shared" si="14"/>
        <v>4.9999999999990052E-3</v>
      </c>
      <c r="U45">
        <f t="shared" si="15"/>
        <v>-4.7807699999999897E-3</v>
      </c>
      <c r="V45">
        <f t="shared" si="15"/>
        <v>1.4692350000000132E-3</v>
      </c>
      <c r="AC45">
        <f t="shared" si="16"/>
        <v>16.876343497539999</v>
      </c>
      <c r="AD45">
        <f t="shared" si="16"/>
        <v>11.801952199008785</v>
      </c>
    </row>
    <row r="46" spans="1:32" x14ac:dyDescent="0.25">
      <c r="A46">
        <v>10</v>
      </c>
      <c r="C46">
        <v>202.5</v>
      </c>
      <c r="K46">
        <f t="shared" si="13"/>
        <v>27.44</v>
      </c>
      <c r="L46">
        <f t="shared" si="13"/>
        <v>27.435000000000002</v>
      </c>
      <c r="M46">
        <f t="shared" si="14"/>
        <v>4.9999999999990052E-3</v>
      </c>
      <c r="U46">
        <f t="shared" si="15"/>
        <v>-6.2768549999999979E-3</v>
      </c>
      <c r="V46">
        <f t="shared" si="15"/>
        <v>-1.6145899999999991E-3</v>
      </c>
      <c r="AC46">
        <f t="shared" si="16"/>
        <v>16.786870331689862</v>
      </c>
      <c r="AD46">
        <f t="shared" si="16"/>
        <v>11.97164546457666</v>
      </c>
    </row>
    <row r="47" spans="1:32" x14ac:dyDescent="0.25">
      <c r="A47">
        <v>11</v>
      </c>
      <c r="C47">
        <v>225</v>
      </c>
      <c r="K47">
        <f t="shared" si="13"/>
        <v>27.44</v>
      </c>
      <c r="L47">
        <f t="shared" si="13"/>
        <v>27.445</v>
      </c>
      <c r="M47">
        <f t="shared" si="14"/>
        <v>-4.9999999999990052E-3</v>
      </c>
      <c r="U47">
        <f t="shared" si="15"/>
        <v>-6.9574700000000073E-3</v>
      </c>
      <c r="V47">
        <f t="shared" si="15"/>
        <v>-4.0983599999999953E-3</v>
      </c>
      <c r="AC47">
        <f t="shared" si="16"/>
        <v>16.354965810067725</v>
      </c>
      <c r="AD47">
        <f t="shared" si="16"/>
        <v>12.504624205165523</v>
      </c>
    </row>
    <row r="48" spans="1:32" x14ac:dyDescent="0.25">
      <c r="A48">
        <v>12</v>
      </c>
      <c r="C48">
        <v>247.5</v>
      </c>
      <c r="K48">
        <f t="shared" si="13"/>
        <v>27.414999999999999</v>
      </c>
      <c r="L48">
        <f t="shared" si="13"/>
        <v>27.405000000000001</v>
      </c>
      <c r="M48">
        <f t="shared" si="14"/>
        <v>9.9999999999980105E-3</v>
      </c>
      <c r="U48">
        <f t="shared" si="15"/>
        <v>-2.9509200000000096E-3</v>
      </c>
      <c r="V48">
        <f t="shared" si="15"/>
        <v>-7.0042000000000021E-3</v>
      </c>
      <c r="AC48">
        <f t="shared" si="16"/>
        <v>15.71803998271983</v>
      </c>
      <c r="AD48">
        <f t="shared" si="16"/>
        <v>13.376328460743995</v>
      </c>
    </row>
    <row r="49" spans="1:30" x14ac:dyDescent="0.25">
      <c r="A49">
        <v>13</v>
      </c>
      <c r="C49">
        <v>270</v>
      </c>
      <c r="K49">
        <f t="shared" si="13"/>
        <v>27.46</v>
      </c>
      <c r="L49">
        <f t="shared" si="13"/>
        <v>27.465</v>
      </c>
      <c r="M49">
        <f t="shared" si="14"/>
        <v>-4.9999999999990052E-3</v>
      </c>
      <c r="U49">
        <f t="shared" si="15"/>
        <v>-5.5080499999998755E-4</v>
      </c>
      <c r="V49">
        <f t="shared" si="15"/>
        <v>-8.1076749999999947E-3</v>
      </c>
      <c r="AC49">
        <f t="shared" si="16"/>
        <v>14.809744986858275</v>
      </c>
      <c r="AD49">
        <f t="shared" si="16"/>
        <v>14.363480828136145</v>
      </c>
    </row>
    <row r="50" spans="1:30" x14ac:dyDescent="0.25">
      <c r="A50">
        <v>14</v>
      </c>
      <c r="C50">
        <v>292.5</v>
      </c>
      <c r="K50">
        <f t="shared" si="13"/>
        <v>27.454999999999998</v>
      </c>
      <c r="L50">
        <f t="shared" si="13"/>
        <v>27.450000000000003</v>
      </c>
      <c r="M50">
        <f t="shared" si="14"/>
        <v>4.9999999999954525E-3</v>
      </c>
      <c r="U50">
        <f t="shared" si="15"/>
        <v>1.4156750000000051E-3</v>
      </c>
      <c r="V50">
        <f t="shared" si="15"/>
        <v>-7.5127150000000031E-3</v>
      </c>
      <c r="AC50">
        <f t="shared" si="16"/>
        <v>13.800715608606414</v>
      </c>
      <c r="AD50">
        <f t="shared" si="16"/>
        <v>15.342702711418905</v>
      </c>
    </row>
    <row r="51" spans="1:30" x14ac:dyDescent="0.25">
      <c r="A51">
        <v>15</v>
      </c>
      <c r="C51">
        <v>315</v>
      </c>
      <c r="K51">
        <f t="shared" si="13"/>
        <v>27.4</v>
      </c>
      <c r="L51">
        <f t="shared" si="13"/>
        <v>27.4</v>
      </c>
      <c r="M51">
        <f t="shared" si="14"/>
        <v>0</v>
      </c>
      <c r="U51">
        <f t="shared" si="15"/>
        <v>5.66411E-3</v>
      </c>
      <c r="V51">
        <f t="shared" si="15"/>
        <v>-6.5880949999999883E-3</v>
      </c>
      <c r="AC51">
        <f t="shared" si="16"/>
        <v>12.880184504270325</v>
      </c>
      <c r="AD51">
        <f t="shared" si="16"/>
        <v>16.115933625158611</v>
      </c>
    </row>
    <row r="52" spans="1:30" x14ac:dyDescent="0.25">
      <c r="A52">
        <v>16</v>
      </c>
      <c r="C52">
        <v>337.5</v>
      </c>
      <c r="K52">
        <f t="shared" si="13"/>
        <v>27.405000000000001</v>
      </c>
      <c r="L52">
        <f t="shared" si="13"/>
        <v>27.41</v>
      </c>
      <c r="M52">
        <f t="shared" si="14"/>
        <v>-4.9999999999990052E-3</v>
      </c>
      <c r="U52">
        <f t="shared" si="15"/>
        <v>5.8166149999999972E-3</v>
      </c>
      <c r="V52">
        <f t="shared" si="15"/>
        <v>-4.547530000000008E-3</v>
      </c>
      <c r="AC52">
        <f t="shared" si="16"/>
        <v>12.132535179655097</v>
      </c>
      <c r="AD52">
        <f t="shared" si="16"/>
        <v>16.665785209985273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2026-08-02T16:47:59Z</dcterms:modified>
</cp:coreProperties>
</file>