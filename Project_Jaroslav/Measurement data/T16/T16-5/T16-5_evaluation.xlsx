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5\"/>
    </mc:Choice>
  </mc:AlternateContent>
  <xr:revisionPtr revIDLastSave="0" documentId="13_ncr:1_{593A79A6-9BFB-4C69-AA95-C344E03FCDCE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AD52" i="1"/>
  <c r="AC52" i="1"/>
  <c r="V52" i="1"/>
  <c r="U52" i="1"/>
  <c r="M52" i="1"/>
  <c r="L52" i="1"/>
  <c r="K52" i="1"/>
  <c r="AD51" i="1"/>
  <c r="AC51" i="1"/>
  <c r="V51" i="1"/>
  <c r="U51" i="1"/>
  <c r="L51" i="1"/>
  <c r="K51" i="1"/>
  <c r="M51" i="1" s="1"/>
  <c r="AD50" i="1"/>
  <c r="AC50" i="1"/>
  <c r="V50" i="1"/>
  <c r="U50" i="1"/>
  <c r="M50" i="1"/>
  <c r="L50" i="1"/>
  <c r="K50" i="1"/>
  <c r="AD49" i="1"/>
  <c r="AC49" i="1"/>
  <c r="V49" i="1"/>
  <c r="U49" i="1"/>
  <c r="L49" i="1"/>
  <c r="K49" i="1"/>
  <c r="M49" i="1" s="1"/>
  <c r="AD48" i="1"/>
  <c r="AC48" i="1"/>
  <c r="V48" i="1"/>
  <c r="U48" i="1"/>
  <c r="M48" i="1"/>
  <c r="L48" i="1"/>
  <c r="K48" i="1"/>
  <c r="AD47" i="1"/>
  <c r="AC47" i="1"/>
  <c r="V47" i="1"/>
  <c r="U47" i="1"/>
  <c r="L47" i="1"/>
  <c r="M47" i="1" s="1"/>
  <c r="K47" i="1"/>
  <c r="AD46" i="1"/>
  <c r="AC46" i="1"/>
  <c r="V46" i="1"/>
  <c r="U46" i="1"/>
  <c r="L46" i="1"/>
  <c r="K46" i="1"/>
  <c r="M46" i="1" s="1"/>
  <c r="AD45" i="1"/>
  <c r="AC45" i="1"/>
  <c r="V45" i="1"/>
  <c r="U45" i="1"/>
  <c r="M45" i="1"/>
  <c r="L45" i="1"/>
  <c r="K45" i="1"/>
  <c r="AD44" i="1"/>
  <c r="AC44" i="1"/>
  <c r="V44" i="1"/>
  <c r="U44" i="1"/>
  <c r="L44" i="1"/>
  <c r="K44" i="1"/>
  <c r="M44" i="1" s="1"/>
  <c r="AD43" i="1"/>
  <c r="AC43" i="1"/>
  <c r="V43" i="1"/>
  <c r="U43" i="1"/>
  <c r="L43" i="1"/>
  <c r="M43" i="1" s="1"/>
  <c r="K43" i="1"/>
  <c r="AD42" i="1"/>
  <c r="AC42" i="1"/>
  <c r="V42" i="1"/>
  <c r="U42" i="1"/>
  <c r="L42" i="1"/>
  <c r="K42" i="1"/>
  <c r="M42" i="1" s="1"/>
  <c r="AD41" i="1"/>
  <c r="AC41" i="1"/>
  <c r="V41" i="1"/>
  <c r="U41" i="1"/>
  <c r="L41" i="1"/>
  <c r="K41" i="1"/>
  <c r="M41" i="1" s="1"/>
  <c r="AD40" i="1"/>
  <c r="AC40" i="1"/>
  <c r="V40" i="1"/>
  <c r="U40" i="1"/>
  <c r="M40" i="1"/>
  <c r="L40" i="1"/>
  <c r="K40" i="1"/>
  <c r="AD39" i="1"/>
  <c r="AC39" i="1"/>
  <c r="V39" i="1"/>
  <c r="U39" i="1"/>
  <c r="L39" i="1"/>
  <c r="K39" i="1"/>
  <c r="M39" i="1" s="1"/>
  <c r="AD38" i="1"/>
  <c r="AC38" i="1"/>
  <c r="V38" i="1"/>
  <c r="U38" i="1"/>
  <c r="M38" i="1"/>
  <c r="L38" i="1"/>
  <c r="K38" i="1"/>
  <c r="AD37" i="1"/>
  <c r="AC37" i="1"/>
  <c r="V37" i="1"/>
  <c r="U37" i="1"/>
  <c r="L37" i="1"/>
  <c r="K37" i="1"/>
  <c r="M37" i="1" s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D34" i="1" s="1"/>
  <c r="AA33" i="1"/>
  <c r="AD33" i="1" s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D4" i="1" l="1"/>
  <c r="AC34" i="1"/>
  <c r="AD28" i="1"/>
  <c r="AD19" i="1"/>
  <c r="AE25" i="1"/>
  <c r="AE31" i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F31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F25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<sst xmlns="http://schemas.openxmlformats.org/spreadsheetml/2006/main" count="117" uniqueCount="71">
  <si>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</si>
  <si>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</si>
  <si>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</si>
  <si>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</si>
  <si>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</si>
  <si>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</si>
  <si>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</si>
  <si>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</si>
  <si>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</si>
  <si>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</si>
  <si>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</si>
  <si>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</si>
  <si>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</si>
  <si>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</si>
  <si>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</si>
  <si>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</si>
  <si>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</si>
  <si>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</si>
  <si>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</si>
  <si>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</si>
  <si>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</si>
  <si>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</si>
  <si>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</si>
  <si>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</si>
  <si>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</si>
  <si>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</si>
  <si>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</si>
  <si>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</si>
  <si>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</si>
  <si>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</si>
  <si>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</si>
  <si>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</si>
  <si>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</si>
  <si>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</si>
  <si>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</si>
  <si>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</si>
  <si>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</si>
  <si>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</si>
  <si>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</si>
  <si>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</si>
  <si>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</si>
  <si>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</si>
  <si>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</si>
  <si>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</si>
  <si>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</si>
  <si>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</si>
  <si>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</si>
  <si>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</si>
  <si>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</si>
  <si>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</si>
  <si>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</si>
  <si>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</si>
  <si>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</si>
  <si>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</si>
  <si>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</si>
  <si>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</si>
  <si>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</si>
  <si>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</si>
  <si>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</si>
  <si>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</si>
  <si>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Azimuth-Dependence Test (Randomized 360° Step Scan)</t>
  </si>
  <si>
    <t>living room</t>
  </si>
  <si>
    <t>T16-5</t>
  </si>
  <si>
    <t>2800 μT</t>
  </si>
  <si>
    <t>←</t>
  </si>
  <si>
    <t>350 μT</t>
  </si>
  <si>
    <t>Background from stepper</t>
  </si>
  <si>
    <t>CCW</t>
  </si>
  <si>
    <t>CW</t>
  </si>
  <si>
    <t>- Test v různých místnostech
- Rotace ramene CW/CCW
- Náhodné azimuty pro celých 360°
- Různý azimut měřicí sestavy
- Různý azimut ramene při startu
- Různý náklon měřicí sestavy
- Magnetické pole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</si>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</sst>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30"/>
      <color rgb="FF0070C0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'T16-5'!$U$2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'T16-5'!$C$3:$C$18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'T16-5'!$U$3:$U$18</c:f>
              <c:numCache>
                <c:formatCode>0.000000</c:formatCode>
                <c:ptCount val="16"/>
                <c:pt idx="0">
                  <c:v>3.9236800000000127E-3</c:v>
                </c:pt>
                <c:pt idx="1">
                  <c:v>2.4613799999999852E-3</c:v>
                </c:pt>
                <c:pt idx="2">
                  <c:v>6.0836000000000223E-4</c:v>
                </c:pt>
                <c:pt idx="3">
                  <c:v>3.3748999999999585E-4</c:v>
                </c:pt>
                <c:pt idx="4">
                  <c:v>-1.0293000000000108E-4</c:v>
                </c:pt>
                <c:pt idx="5">
                  <c:v>-2.8905800000000037E-3</c:v>
                </c:pt>
                <c:pt idx="6">
                  <c:v>-2.9642999999999753E-3</c:v>
                </c:pt>
                <c:pt idx="7">
                  <c:v>-2.8266799999999981E-3</c:v>
                </c:pt>
                <c:pt idx="8">
                  <c:v>-3.0312600000000078E-3</c:v>
                </c:pt>
                <c:pt idx="9">
                  <c:v>-3.7158899999999995E-3</c:v>
                </c:pt>
                <c:pt idx="10">
                  <c:v>-1.3036999999999077E-4</c:v>
                </c:pt>
                <c:pt idx="11">
                  <c:v>-2.4583999999999717E-4</c:v>
                </c:pt>
                <c:pt idx="12">
                  <c:v>-4.575200000000168E-4</c:v>
                </c:pt>
                <c:pt idx="13">
                  <c:v>1.0973700000000142E-3</c:v>
                </c:pt>
                <c:pt idx="14">
                  <c:v>2.2484300000000235E-3</c:v>
                </c:pt>
                <c:pt idx="15">
                  <c:v>2.0115100000000219E-3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'T16-5'!$V$2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'T16-5'!$C$3:$C$18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'T16-5'!$V$3:$V$18</c:f>
              <c:numCache>
                <c:formatCode>0.000000</c:formatCode>
                <c:ptCount val="16"/>
                <c:pt idx="0">
                  <c:v>-5.447100000000038E-4</c:v>
                </c:pt>
                <c:pt idx="1">
                  <c:v>1.0910000000000086E-4</c:v>
                </c:pt>
                <c:pt idx="2">
                  <c:v>3.4849799999999986E-3</c:v>
                </c:pt>
                <c:pt idx="3">
                  <c:v>3.5267800000000071E-3</c:v>
                </c:pt>
                <c:pt idx="4">
                  <c:v>1.3014600000000043E-3</c:v>
                </c:pt>
                <c:pt idx="5">
                  <c:v>2.456220000000009E-3</c:v>
                </c:pt>
                <c:pt idx="6">
                  <c:v>-1.0358000000001977E-4</c:v>
                </c:pt>
                <c:pt idx="7">
                  <c:v>-2.0982999999999974E-3</c:v>
                </c:pt>
                <c:pt idx="8">
                  <c:v>-1.6374999999999862E-3</c:v>
                </c:pt>
                <c:pt idx="9">
                  <c:v>-2.2795199999999793E-3</c:v>
                </c:pt>
                <c:pt idx="10">
                  <c:v>-1.7964000000000035E-3</c:v>
                </c:pt>
                <c:pt idx="11">
                  <c:v>-2.8152600000000139E-3</c:v>
                </c:pt>
                <c:pt idx="12">
                  <c:v>-4.2675400000000141E-3</c:v>
                </c:pt>
                <c:pt idx="13">
                  <c:v>-2.9328899999999936E-3</c:v>
                </c:pt>
                <c:pt idx="14">
                  <c:v>-2.4062599999999934E-3</c:v>
                </c:pt>
                <c:pt idx="15">
                  <c:v>-1.0576599999999881E-3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'T16-5'!$U$2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'T16-5'!$U$19:$U$34</c:f>
              <c:numCache>
                <c:formatCode>0.000000</c:formatCode>
                <c:ptCount val="16"/>
                <c:pt idx="0">
                  <c:v>3.4988699999999873E-3</c:v>
                </c:pt>
                <c:pt idx="1">
                  <c:v>5.7498000000000271E-4</c:v>
                </c:pt>
                <c:pt idx="2">
                  <c:v>2.869759999999999E-3</c:v>
                </c:pt>
                <c:pt idx="3">
                  <c:v>3.0089500000000102E-3</c:v>
                </c:pt>
                <c:pt idx="4">
                  <c:v>-1.5723699999999896E-3</c:v>
                </c:pt>
                <c:pt idx="5">
                  <c:v>-1.8667199999999884E-3</c:v>
                </c:pt>
                <c:pt idx="6">
                  <c:v>-1.114320000000002E-3</c:v>
                </c:pt>
                <c:pt idx="7">
                  <c:v>-1.0124900000000048E-3</c:v>
                </c:pt>
                <c:pt idx="8">
                  <c:v>-1.8971000000000959E-4</c:v>
                </c:pt>
                <c:pt idx="9">
                  <c:v>-2.9157499999999947E-3</c:v>
                </c:pt>
                <c:pt idx="10">
                  <c:v>-1.0953300000000055E-3</c:v>
                </c:pt>
                <c:pt idx="11">
                  <c:v>8.6817999999999618E-4</c:v>
                </c:pt>
                <c:pt idx="12">
                  <c:v>9.7727999999999704E-4</c:v>
                </c:pt>
                <c:pt idx="13">
                  <c:v>2.7046799999999871E-3</c:v>
                </c:pt>
                <c:pt idx="14">
                  <c:v>6.7856999999998946E-4</c:v>
                </c:pt>
                <c:pt idx="15">
                  <c:v>1.589069999999998E-3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6-46E7-8482-7988CA7C581C}"/>
            </c:ext>
          </c:extLst>
        </c:ser>
        <c:ser>
          <c:idx val="3"/>
          <c:order val="3"/>
          <c:tx>
            <c:strRef>
              <c:f>'T16-5'!$V$2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'T16-5'!$V$19:$V$34</c:f>
              <c:numCache>
                <c:formatCode>0.000000</c:formatCode>
                <c:ptCount val="16"/>
                <c:pt idx="0">
                  <c:v>1.6624999999999834E-3</c:v>
                </c:pt>
                <c:pt idx="1">
                  <c:v>2.6961399999999858E-3</c:v>
                </c:pt>
                <c:pt idx="2">
                  <c:v>2.4986999999999926E-3</c:v>
                </c:pt>
                <c:pt idx="3">
                  <c:v>4.1053399999999851E-3</c:v>
                </c:pt>
                <c:pt idx="4">
                  <c:v>3.4157599999999899E-3</c:v>
                </c:pt>
                <c:pt idx="5">
                  <c:v>1.4583400000000024E-3</c:v>
                </c:pt>
                <c:pt idx="6">
                  <c:v>-8.6786000000002583E-4</c:v>
                </c:pt>
                <c:pt idx="7">
                  <c:v>-9.3753999999998672E-4</c:v>
                </c:pt>
                <c:pt idx="8">
                  <c:v>-3.401459999999995E-3</c:v>
                </c:pt>
                <c:pt idx="9">
                  <c:v>-1.0368600000000006E-3</c:v>
                </c:pt>
                <c:pt idx="10">
                  <c:v>-3.1874800000000203E-3</c:v>
                </c:pt>
                <c:pt idx="11">
                  <c:v>-3.0158799999999986E-3</c:v>
                </c:pt>
                <c:pt idx="12">
                  <c:v>-3.8159200000000004E-3</c:v>
                </c:pt>
                <c:pt idx="13">
                  <c:v>-2.7280799999999938E-3</c:v>
                </c:pt>
                <c:pt idx="14">
                  <c:v>-2.1603000000000594E-4</c:v>
                </c:pt>
                <c:pt idx="15">
                  <c:v>-7.0777999999999119E-4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6-46E7-8482-7988CA7C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'T16-5'!$AC$2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'T16-5'!$AC$37:$AC$52</c:f>
              <c:numCache>
                <c:formatCode>General</c:formatCode>
                <c:ptCount val="16"/>
                <c:pt idx="0">
                  <c:v>3.1555876534703389</c:v>
                </c:pt>
                <c:pt idx="1">
                  <c:v>3.3835675592985925</c:v>
                </c:pt>
                <c:pt idx="2">
                  <c:v>3.5670243886233406</c:v>
                </c:pt>
                <c:pt idx="3">
                  <c:v>3.5363666236035689</c:v>
                </c:pt>
                <c:pt idx="4">
                  <c:v>3.4631995449665567</c:v>
                </c:pt>
                <c:pt idx="5">
                  <c:v>3.238516720951802</c:v>
                </c:pt>
                <c:pt idx="6">
                  <c:v>2.9679420205853848</c:v>
                </c:pt>
                <c:pt idx="7">
                  <c:v>2.61418833044576</c:v>
                </c:pt>
                <c:pt idx="8">
                  <c:v>2.2342473475462614</c:v>
                </c:pt>
                <c:pt idx="9">
                  <c:v>1.8717582590251483</c:v>
                </c:pt>
                <c:pt idx="10">
                  <c:v>1.6226846249493669</c:v>
                </c:pt>
                <c:pt idx="11">
                  <c:v>1.5891579276806118</c:v>
                </c:pt>
                <c:pt idx="12">
                  <c:v>1.8211479057892155</c:v>
                </c:pt>
                <c:pt idx="13">
                  <c:v>2.1140897990077017</c:v>
                </c:pt>
                <c:pt idx="14">
                  <c:v>2.5246020851346085</c:v>
                </c:pt>
                <c:pt idx="15">
                  <c:v>2.8553755402153729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'T16-5'!$AD$2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'T16-5'!$AD$37:$AD$52</c:f>
              <c:numCache>
                <c:formatCode>General</c:formatCode>
                <c:ptCount val="16"/>
                <c:pt idx="0">
                  <c:v>2.306870483176521</c:v>
                </c:pt>
                <c:pt idx="1">
                  <c:v>1.872188935399421</c:v>
                </c:pt>
                <c:pt idx="2">
                  <c:v>1.6401943852285921</c:v>
                </c:pt>
                <c:pt idx="3">
                  <c:v>1.5855846334713319</c:v>
                </c:pt>
                <c:pt idx="4">
                  <c:v>1.7977223905111552</c:v>
                </c:pt>
                <c:pt idx="5">
                  <c:v>2.1195809943644566</c:v>
                </c:pt>
                <c:pt idx="6">
                  <c:v>2.5036765791550959</c:v>
                </c:pt>
                <c:pt idx="7">
                  <c:v>2.8709219971937303</c:v>
                </c:pt>
                <c:pt idx="8">
                  <c:v>3.1725521216239159</c:v>
                </c:pt>
                <c:pt idx="9">
                  <c:v>3.3983642745404836</c:v>
                </c:pt>
                <c:pt idx="10">
                  <c:v>3.5426124417322997</c:v>
                </c:pt>
                <c:pt idx="11">
                  <c:v>3.5430051220672576</c:v>
                </c:pt>
                <c:pt idx="12">
                  <c:v>3.5238116354536175</c:v>
                </c:pt>
                <c:pt idx="13">
                  <c:v>3.2655092846018148</c:v>
                </c:pt>
                <c:pt idx="14">
                  <c:v>3.0242888262276475</c:v>
                </c:pt>
                <c:pt idx="15">
                  <c:v>2.6268935971565002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'T16-5'!$K$2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'T16-5'!$K$37:$K$52</c:f>
              <c:numCache>
                <c:formatCode>General</c:formatCode>
                <c:ptCount val="16"/>
                <c:pt idx="0">
                  <c:v>27.07</c:v>
                </c:pt>
                <c:pt idx="1">
                  <c:v>27.085000000000001</c:v>
                </c:pt>
                <c:pt idx="2">
                  <c:v>27.064999999999998</c:v>
                </c:pt>
                <c:pt idx="3">
                  <c:v>27.07</c:v>
                </c:pt>
                <c:pt idx="4">
                  <c:v>27.045000000000002</c:v>
                </c:pt>
                <c:pt idx="5">
                  <c:v>27.134999999999998</c:v>
                </c:pt>
                <c:pt idx="6">
                  <c:v>27.085000000000001</c:v>
                </c:pt>
                <c:pt idx="7">
                  <c:v>27.064999999999998</c:v>
                </c:pt>
                <c:pt idx="8">
                  <c:v>27.08</c:v>
                </c:pt>
                <c:pt idx="9">
                  <c:v>27.075000000000003</c:v>
                </c:pt>
                <c:pt idx="10">
                  <c:v>27.145000000000003</c:v>
                </c:pt>
                <c:pt idx="11">
                  <c:v>27.105</c:v>
                </c:pt>
                <c:pt idx="12">
                  <c:v>27.094999999999999</c:v>
                </c:pt>
                <c:pt idx="13">
                  <c:v>27.105</c:v>
                </c:pt>
                <c:pt idx="14">
                  <c:v>27.075000000000003</c:v>
                </c:pt>
                <c:pt idx="15">
                  <c:v>27.125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'T16-5'!$L$2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'T16-5'!$L$37:$L$52</c:f>
              <c:numCache>
                <c:formatCode>General</c:formatCode>
                <c:ptCount val="16"/>
                <c:pt idx="0">
                  <c:v>27.08</c:v>
                </c:pt>
                <c:pt idx="1">
                  <c:v>27.09</c:v>
                </c:pt>
                <c:pt idx="2">
                  <c:v>27.074999999999999</c:v>
                </c:pt>
                <c:pt idx="3">
                  <c:v>27.060000000000002</c:v>
                </c:pt>
                <c:pt idx="4">
                  <c:v>27.055</c:v>
                </c:pt>
                <c:pt idx="5">
                  <c:v>27.13</c:v>
                </c:pt>
                <c:pt idx="6">
                  <c:v>27.09</c:v>
                </c:pt>
                <c:pt idx="7">
                  <c:v>27.064999999999998</c:v>
                </c:pt>
                <c:pt idx="8">
                  <c:v>27.09</c:v>
                </c:pt>
                <c:pt idx="9">
                  <c:v>27.08</c:v>
                </c:pt>
                <c:pt idx="10">
                  <c:v>27.16</c:v>
                </c:pt>
                <c:pt idx="11">
                  <c:v>27.105</c:v>
                </c:pt>
                <c:pt idx="12">
                  <c:v>27.09</c:v>
                </c:pt>
                <c:pt idx="13">
                  <c:v>27.104999999999997</c:v>
                </c:pt>
                <c:pt idx="14">
                  <c:v>27.075000000000003</c:v>
                </c:pt>
                <c:pt idx="15">
                  <c:v>27.130000000000003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'T16-5'!$D$2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'T16-5'!$C$3:$C$18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'T16-5'!$D$3:$D$18</c:f>
              <c:numCache>
                <c:formatCode>General</c:formatCode>
                <c:ptCount val="16"/>
                <c:pt idx="0">
                  <c:v>19</c:v>
                </c:pt>
                <c:pt idx="1">
                  <c:v>11</c:v>
                </c:pt>
                <c:pt idx="2">
                  <c:v>15</c:v>
                </c:pt>
                <c:pt idx="3">
                  <c:v>14</c:v>
                </c:pt>
                <c:pt idx="4">
                  <c:v>17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11</c:v>
                </c:pt>
                <c:pt idx="10">
                  <c:v>14</c:v>
                </c:pt>
                <c:pt idx="11">
                  <c:v>18</c:v>
                </c:pt>
                <c:pt idx="12">
                  <c:v>10</c:v>
                </c:pt>
                <c:pt idx="13">
                  <c:v>19</c:v>
                </c:pt>
                <c:pt idx="14">
                  <c:v>16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'T16-5'!$D$2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'T16-5'!$D$19:$D$34</c:f>
              <c:numCache>
                <c:formatCode>General</c:formatCode>
                <c:ptCount val="16"/>
                <c:pt idx="0">
                  <c:v>22</c:v>
                </c:pt>
                <c:pt idx="1">
                  <c:v>13</c:v>
                </c:pt>
                <c:pt idx="2">
                  <c:v>19</c:v>
                </c:pt>
                <c:pt idx="3">
                  <c:v>14</c:v>
                </c:pt>
                <c:pt idx="4">
                  <c:v>19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17</c:v>
                </c:pt>
                <c:pt idx="9">
                  <c:v>19</c:v>
                </c:pt>
                <c:pt idx="10">
                  <c:v>16</c:v>
                </c:pt>
                <c:pt idx="11">
                  <c:v>11</c:v>
                </c:pt>
                <c:pt idx="12">
                  <c:v>11</c:v>
                </c:pt>
                <c:pt idx="13">
                  <c:v>16</c:v>
                </c:pt>
                <c:pt idx="14">
                  <c:v>14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5-4B75-930B-108539CC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'T16-5'!$M$2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'T16-5'!$M$37:$M$52</c:f>
              <c:numCache>
                <c:formatCode>General</c:formatCode>
                <c:ptCount val="16"/>
                <c:pt idx="0">
                  <c:v>-9.9999999999980105E-3</c:v>
                </c:pt>
                <c:pt idx="1">
                  <c:v>-4.9999999999990052E-3</c:v>
                </c:pt>
                <c:pt idx="2">
                  <c:v>-1.0000000000001563E-2</c:v>
                </c:pt>
                <c:pt idx="3">
                  <c:v>9.9999999999980105E-3</c:v>
                </c:pt>
                <c:pt idx="4">
                  <c:v>-9.9999999999980105E-3</c:v>
                </c:pt>
                <c:pt idx="5">
                  <c:v>4.9999999999990052E-3</c:v>
                </c:pt>
                <c:pt idx="6">
                  <c:v>-4.9999999999990052E-3</c:v>
                </c:pt>
                <c:pt idx="7">
                  <c:v>0</c:v>
                </c:pt>
                <c:pt idx="8">
                  <c:v>-1.0000000000001563E-2</c:v>
                </c:pt>
                <c:pt idx="9">
                  <c:v>-4.9999999999954525E-3</c:v>
                </c:pt>
                <c:pt idx="10">
                  <c:v>-1.4999999999997016E-2</c:v>
                </c:pt>
                <c:pt idx="11">
                  <c:v>0</c:v>
                </c:pt>
                <c:pt idx="12">
                  <c:v>4.9999999999990052E-3</c:v>
                </c:pt>
                <c:pt idx="13">
                  <c:v>0</c:v>
                </c:pt>
                <c:pt idx="14">
                  <c:v>0</c:v>
                </c:pt>
                <c:pt idx="15">
                  <c:v>-5.000000000002558E-3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'T16-5'!$U$2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'T16-5'!$U$37:$U$52</c:f>
              <c:numCache>
                <c:formatCode>General</c:formatCode>
                <c:ptCount val="16"/>
                <c:pt idx="0">
                  <c:v>3.711275E-3</c:v>
                </c:pt>
                <c:pt idx="1">
                  <c:v>1.518179999999994E-3</c:v>
                </c:pt>
                <c:pt idx="2">
                  <c:v>1.7390600000000006E-3</c:v>
                </c:pt>
                <c:pt idx="3">
                  <c:v>1.673220000000003E-3</c:v>
                </c:pt>
                <c:pt idx="4">
                  <c:v>-8.3764999999999534E-4</c:v>
                </c:pt>
                <c:pt idx="5">
                  <c:v>-2.378649999999996E-3</c:v>
                </c:pt>
                <c:pt idx="6">
                  <c:v>-2.0393099999999886E-3</c:v>
                </c:pt>
                <c:pt idx="7">
                  <c:v>-1.9195850000000014E-3</c:v>
                </c:pt>
                <c:pt idx="8">
                  <c:v>-1.6104850000000087E-3</c:v>
                </c:pt>
                <c:pt idx="9">
                  <c:v>-3.3158199999999971E-3</c:v>
                </c:pt>
                <c:pt idx="10">
                  <c:v>-6.1284999999999812E-4</c:v>
                </c:pt>
                <c:pt idx="11">
                  <c:v>3.111699999999995E-4</c:v>
                </c:pt>
                <c:pt idx="12">
                  <c:v>2.5987999999999012E-4</c:v>
                </c:pt>
                <c:pt idx="13">
                  <c:v>1.9010250000000006E-3</c:v>
                </c:pt>
                <c:pt idx="14">
                  <c:v>1.4635000000000065E-3</c:v>
                </c:pt>
                <c:pt idx="15">
                  <c:v>1.8002900000000099E-3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241-49CD-AD3A-83E8F311B52F}"/>
            </c:ext>
          </c:extLst>
        </c:ser>
        <c:ser>
          <c:idx val="1"/>
          <c:order val="1"/>
          <c:tx>
            <c:strRef>
              <c:f>'T16-5'!$V$2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'T16-5'!$C$37:$C$52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'T16-5'!$V$37:$V$52</c:f>
              <c:numCache>
                <c:formatCode>General</c:formatCode>
                <c:ptCount val="16"/>
                <c:pt idx="0">
                  <c:v>5.5889499999998982E-4</c:v>
                </c:pt>
                <c:pt idx="1">
                  <c:v>1.4026199999999933E-3</c:v>
                </c:pt>
                <c:pt idx="2">
                  <c:v>2.9918399999999956E-3</c:v>
                </c:pt>
                <c:pt idx="3">
                  <c:v>3.8160599999999961E-3</c:v>
                </c:pt>
                <c:pt idx="4">
                  <c:v>2.3586099999999971E-3</c:v>
                </c:pt>
                <c:pt idx="5">
                  <c:v>1.9572800000000057E-3</c:v>
                </c:pt>
                <c:pt idx="6">
                  <c:v>-4.857200000000228E-4</c:v>
                </c:pt>
                <c:pt idx="7">
                  <c:v>-1.5179199999999921E-3</c:v>
                </c:pt>
                <c:pt idx="8">
                  <c:v>-2.5194799999999906E-3</c:v>
                </c:pt>
                <c:pt idx="9">
                  <c:v>-1.6581899999999899E-3</c:v>
                </c:pt>
                <c:pt idx="10">
                  <c:v>-2.4919400000000119E-3</c:v>
                </c:pt>
                <c:pt idx="11">
                  <c:v>-2.9155700000000062E-3</c:v>
                </c:pt>
                <c:pt idx="12">
                  <c:v>-4.0417300000000073E-3</c:v>
                </c:pt>
                <c:pt idx="13">
                  <c:v>-2.8304849999999937E-3</c:v>
                </c:pt>
                <c:pt idx="14">
                  <c:v>-1.3111449999999997E-3</c:v>
                </c:pt>
                <c:pt idx="15">
                  <c:v>-8.8271999999998962E-4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1-49CD-AD3A-83E8F311B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</xdr:colOff>
      <xdr:row>23</xdr:row>
      <xdr:rowOff>190500</xdr:rowOff>
    </xdr:from>
    <xdr:to>
      <xdr:col>38</xdr:col>
      <xdr:colOff>1</xdr:colOff>
      <xdr:row>52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7FEC0D-E806-4E9D-A08C-01828CA22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J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6" ht="15.75" customHeight="1" x14ac:dyDescent="0.25">
      <c r="A1" s="40" t="s">
        <v>29</v>
      </c>
      <c r="B1" s="40"/>
      <c r="C1" s="40" t="s">
        <v>62</v>
      </c>
      <c r="D1" s="40"/>
      <c r="E1" s="40" t="s">
        <v>60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AC1" s="77" t="s">
        <v>53</v>
      </c>
      <c r="AD1" s="78"/>
      <c r="AE1" s="78"/>
      <c r="AF1" s="78"/>
      <c r="AG1" s="79"/>
    </row>
    <row r="2" spans="1:36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AC2" s="80"/>
      <c r="AD2" s="81"/>
      <c r="AE2" s="81"/>
      <c r="AF2" s="81"/>
      <c r="AG2" s="82"/>
    </row>
    <row r="4" spans="1:36" x14ac:dyDescent="0.25">
      <c r="A4" s="32" t="s">
        <v>30</v>
      </c>
      <c r="B4" s="32"/>
      <c r="C4" s="32"/>
      <c r="D4" s="32"/>
      <c r="E4" s="32"/>
      <c r="F4" s="32"/>
      <c r="G4" s="35">
        <v>0</v>
      </c>
      <c r="H4" s="36"/>
      <c r="I4" s="2" t="s">
        <v>18</v>
      </c>
      <c r="K4" s="41" t="s">
        <v>45</v>
      </c>
      <c r="L4" s="41"/>
      <c r="M4" s="41"/>
      <c r="N4" s="41"/>
      <c r="O4" s="41"/>
      <c r="P4" s="41"/>
      <c r="R4" s="41" t="s">
        <v>46</v>
      </c>
      <c r="S4" s="41"/>
      <c r="T4" s="41"/>
      <c r="U4" s="41"/>
      <c r="V4" s="41"/>
      <c r="W4" s="41"/>
      <c r="X4" s="41"/>
      <c r="Y4" s="41"/>
      <c r="AC4" s="44"/>
      <c r="AD4" s="47"/>
      <c r="AE4" s="48" t="s">
        <v>59</v>
      </c>
      <c r="AF4" s="47"/>
      <c r="AG4" s="44"/>
    </row>
    <row r="5" spans="1:36" ht="15.75" customHeight="1" x14ac:dyDescent="0.25">
      <c r="A5" s="27" t="s">
        <v>31</v>
      </c>
      <c r="B5" s="28"/>
      <c r="C5" s="28"/>
      <c r="D5" s="28"/>
      <c r="E5" s="28"/>
      <c r="F5" s="29"/>
      <c r="G5" s="35">
        <v>0</v>
      </c>
      <c r="H5" s="36"/>
      <c r="I5" s="2" t="s">
        <v>18</v>
      </c>
      <c r="K5" s="60" t="s">
        <v>69</v>
      </c>
      <c r="L5" s="61"/>
      <c r="M5" s="61"/>
      <c r="N5" s="61"/>
      <c r="O5" s="61"/>
      <c r="P5" s="62"/>
      <c r="R5" s="37" t="s">
        <v>48</v>
      </c>
      <c r="S5" s="37"/>
      <c r="T5" s="37"/>
      <c r="U5" s="37"/>
      <c r="V5" s="37"/>
      <c r="W5" s="37"/>
      <c r="X5" s="37"/>
      <c r="Y5" s="37"/>
      <c r="AC5" s="44"/>
      <c r="AD5" s="47"/>
      <c r="AE5" s="48"/>
      <c r="AF5" s="47"/>
      <c r="AG5" s="44"/>
    </row>
    <row r="6" spans="1:36" x14ac:dyDescent="0.25">
      <c r="A6" s="32" t="s">
        <v>32</v>
      </c>
      <c r="B6" s="32"/>
      <c r="C6" s="32"/>
      <c r="D6" s="32"/>
      <c r="E6" s="32"/>
      <c r="F6" s="32"/>
      <c r="G6" s="39">
        <v>0</v>
      </c>
      <c r="H6" s="39"/>
      <c r="I6" s="2" t="s">
        <v>24</v>
      </c>
      <c r="K6" s="63"/>
      <c r="L6" s="64"/>
      <c r="M6" s="64"/>
      <c r="N6" s="64"/>
      <c r="O6" s="64"/>
      <c r="P6" s="65"/>
      <c r="R6" s="37"/>
      <c r="S6" s="37"/>
      <c r="T6" s="37"/>
      <c r="U6" s="37"/>
      <c r="V6" s="37"/>
      <c r="W6" s="37"/>
      <c r="X6" s="37"/>
      <c r="Y6" s="37"/>
      <c r="AC6" s="44"/>
      <c r="AD6" s="47"/>
      <c r="AE6" s="48"/>
      <c r="AF6" s="47"/>
      <c r="AG6" s="44"/>
    </row>
    <row r="7" spans="1:36" ht="15.75" customHeight="1" x14ac:dyDescent="0.25">
      <c r="A7" s="27" t="s">
        <v>52</v>
      </c>
      <c r="B7" s="28"/>
      <c r="C7" s="28"/>
      <c r="D7" s="28"/>
      <c r="E7" s="28"/>
      <c r="F7" s="29"/>
      <c r="G7" s="35" t="s">
        <v>61</v>
      </c>
      <c r="H7" s="36"/>
      <c r="I7" s="2"/>
      <c r="K7" s="63"/>
      <c r="L7" s="64"/>
      <c r="M7" s="64"/>
      <c r="N7" s="64"/>
      <c r="O7" s="64"/>
      <c r="P7" s="65"/>
      <c r="R7" s="37"/>
      <c r="S7" s="37"/>
      <c r="T7" s="37"/>
      <c r="U7" s="37"/>
      <c r="V7" s="37"/>
      <c r="W7" s="37"/>
      <c r="X7" s="37"/>
      <c r="Y7" s="37"/>
      <c r="AC7" s="47"/>
      <c r="AD7" s="47"/>
      <c r="AE7" s="47"/>
      <c r="AF7" s="47"/>
      <c r="AG7" s="47"/>
    </row>
    <row r="8" spans="1:36" x14ac:dyDescent="0.25">
      <c r="A8" s="32" t="s">
        <v>15</v>
      </c>
      <c r="B8" s="32"/>
      <c r="C8" s="32"/>
      <c r="D8" s="32"/>
      <c r="E8" s="32"/>
      <c r="F8" s="32"/>
      <c r="G8" s="38">
        <f>360/((23*60*60)+(56*60)+4.09)</f>
        <v>4.1780746480349299E-3</v>
      </c>
      <c r="H8" s="38"/>
      <c r="I8" s="2" t="s">
        <v>16</v>
      </c>
      <c r="K8" s="63"/>
      <c r="L8" s="64"/>
      <c r="M8" s="64"/>
      <c r="N8" s="64"/>
      <c r="O8" s="64"/>
      <c r="P8" s="65"/>
      <c r="R8" s="37"/>
      <c r="S8" s="37"/>
      <c r="T8" s="37"/>
      <c r="U8" s="37"/>
      <c r="V8" s="37"/>
      <c r="W8" s="37"/>
      <c r="X8" s="37"/>
      <c r="Y8" s="37"/>
      <c r="AC8" s="47"/>
      <c r="AD8" s="47"/>
      <c r="AE8" s="47"/>
      <c r="AF8" s="47"/>
      <c r="AG8" s="47"/>
    </row>
    <row r="9" spans="1:36" x14ac:dyDescent="0.25">
      <c r="A9" s="32" t="s">
        <v>17</v>
      </c>
      <c r="B9" s="32"/>
      <c r="C9" s="32"/>
      <c r="D9" s="32"/>
      <c r="E9" s="32"/>
      <c r="F9" s="32"/>
      <c r="G9" s="39">
        <v>49</v>
      </c>
      <c r="H9" s="39"/>
      <c r="I9" s="2" t="s">
        <v>18</v>
      </c>
      <c r="K9" s="63"/>
      <c r="L9" s="64"/>
      <c r="M9" s="64"/>
      <c r="N9" s="64"/>
      <c r="O9" s="64"/>
      <c r="P9" s="65"/>
      <c r="R9" s="37"/>
      <c r="S9" s="37"/>
      <c r="T9" s="37"/>
      <c r="U9" s="37"/>
      <c r="V9" s="37"/>
      <c r="W9" s="37"/>
      <c r="X9" s="37"/>
      <c r="Y9" s="37"/>
      <c r="AC9" s="47"/>
      <c r="AD9" s="84"/>
      <c r="AE9" s="84"/>
      <c r="AF9" s="84"/>
      <c r="AG9" s="47"/>
    </row>
    <row r="10" spans="1:36" ht="15.75" customHeight="1" x14ac:dyDescent="0.25">
      <c r="A10" s="69" t="s">
        <v>19</v>
      </c>
      <c r="B10" s="70"/>
      <c r="C10" s="70"/>
      <c r="D10" s="70"/>
      <c r="E10" s="70"/>
      <c r="F10" s="71"/>
      <c r="G10" s="72">
        <f>(COS(RADIANS(G9))*G8)</f>
        <v>2.7410635966396515E-3</v>
      </c>
      <c r="H10" s="73"/>
      <c r="I10" s="3" t="s">
        <v>16</v>
      </c>
      <c r="K10" s="63"/>
      <c r="L10" s="64"/>
      <c r="M10" s="64"/>
      <c r="N10" s="64"/>
      <c r="O10" s="64"/>
      <c r="P10" s="65"/>
      <c r="R10" s="13"/>
      <c r="S10" s="13"/>
      <c r="T10" s="13"/>
      <c r="U10" s="13"/>
      <c r="V10" s="13"/>
      <c r="W10" s="13"/>
      <c r="X10" s="13"/>
      <c r="Y10" s="13"/>
      <c r="AA10" s="74" t="s">
        <v>66</v>
      </c>
      <c r="AB10" s="74"/>
      <c r="AC10" s="49" t="s">
        <v>49</v>
      </c>
      <c r="AD10" s="50"/>
      <c r="AE10" s="51" t="s">
        <v>51</v>
      </c>
      <c r="AF10" s="50"/>
      <c r="AG10" s="83" t="s">
        <v>49</v>
      </c>
    </row>
    <row r="11" spans="1:36" ht="15.75" customHeight="1" x14ac:dyDescent="0.25">
      <c r="A11" s="32" t="s">
        <v>33</v>
      </c>
      <c r="B11" s="32"/>
      <c r="C11" s="32"/>
      <c r="D11" s="32"/>
      <c r="E11" s="32"/>
      <c r="F11" s="32"/>
      <c r="G11" s="39">
        <v>22.5</v>
      </c>
      <c r="H11" s="39"/>
      <c r="I11" s="2" t="s">
        <v>18</v>
      </c>
      <c r="K11" s="63"/>
      <c r="L11" s="64"/>
      <c r="M11" s="64"/>
      <c r="N11" s="64"/>
      <c r="O11" s="64"/>
      <c r="P11" s="65"/>
      <c r="R11" s="13"/>
      <c r="S11" s="13"/>
      <c r="T11" s="13"/>
      <c r="U11" s="13"/>
      <c r="V11" s="13"/>
      <c r="W11" s="13"/>
      <c r="X11" s="13"/>
      <c r="Y11" s="13"/>
      <c r="AA11" s="74"/>
      <c r="AB11" s="74"/>
      <c r="AC11" s="49"/>
      <c r="AD11" s="50"/>
      <c r="AE11" s="51"/>
      <c r="AF11" s="50"/>
      <c r="AG11" s="83"/>
    </row>
    <row r="12" spans="1:36" ht="15.75" customHeight="1" x14ac:dyDescent="0.25">
      <c r="A12" s="27" t="s">
        <v>34</v>
      </c>
      <c r="B12" s="28"/>
      <c r="C12" s="28"/>
      <c r="D12" s="28"/>
      <c r="E12" s="28"/>
      <c r="F12" s="29"/>
      <c r="G12" s="35">
        <f>360/G11</f>
        <v>16</v>
      </c>
      <c r="H12" s="36"/>
      <c r="I12" s="2"/>
      <c r="K12" s="63"/>
      <c r="L12" s="64"/>
      <c r="M12" s="64"/>
      <c r="N12" s="64"/>
      <c r="O12" s="64"/>
      <c r="P12" s="65"/>
      <c r="R12" s="8"/>
      <c r="S12" s="8"/>
      <c r="T12" s="8"/>
      <c r="U12" s="8"/>
      <c r="V12" s="8"/>
      <c r="W12" s="8"/>
      <c r="X12" s="8"/>
      <c r="Y12" s="8"/>
      <c r="AA12" s="74"/>
      <c r="AB12" s="74"/>
      <c r="AC12" s="49"/>
      <c r="AD12" s="50"/>
      <c r="AE12" s="51"/>
      <c r="AF12" s="50"/>
      <c r="AG12" s="83"/>
    </row>
    <row r="13" spans="1:36" ht="15.75" customHeight="1" x14ac:dyDescent="0.25">
      <c r="A13" s="32" t="s">
        <v>20</v>
      </c>
      <c r="B13" s="32"/>
      <c r="C13" s="32"/>
      <c r="D13" s="32"/>
      <c r="E13" s="32"/>
      <c r="F13" s="32"/>
      <c r="G13" s="39" t="s">
        <v>47</v>
      </c>
      <c r="H13" s="39"/>
      <c r="I13" s="2"/>
      <c r="K13" s="63"/>
      <c r="L13" s="64"/>
      <c r="M13" s="64"/>
      <c r="N13" s="64"/>
      <c r="O13" s="64"/>
      <c r="P13" s="65"/>
      <c r="R13" s="31" t="s">
        <v>25</v>
      </c>
      <c r="S13" s="31"/>
      <c r="T13" s="31" t="s">
        <v>26</v>
      </c>
      <c r="U13" s="31"/>
      <c r="V13" s="31" t="s">
        <v>27</v>
      </c>
      <c r="W13" s="31"/>
      <c r="X13" s="31" t="s">
        <v>28</v>
      </c>
      <c r="Y13" s="31"/>
      <c r="AA13" s="75" t="s">
        <v>65</v>
      </c>
      <c r="AB13" s="75"/>
      <c r="AC13" s="59" t="s">
        <v>49</v>
      </c>
      <c r="AD13" s="52"/>
      <c r="AE13" s="52" t="s">
        <v>50</v>
      </c>
      <c r="AF13" s="52"/>
      <c r="AG13" s="55" t="s">
        <v>49</v>
      </c>
      <c r="AH13" s="76" t="s">
        <v>64</v>
      </c>
      <c r="AI13" s="75" t="s">
        <v>63</v>
      </c>
      <c r="AJ13" s="75"/>
    </row>
    <row r="14" spans="1:36" ht="15.75" customHeight="1" x14ac:dyDescent="0.25">
      <c r="A14" s="27" t="s">
        <v>21</v>
      </c>
      <c r="B14" s="28"/>
      <c r="C14" s="28"/>
      <c r="D14" s="28"/>
      <c r="E14" s="28"/>
      <c r="F14" s="29"/>
      <c r="G14" s="35">
        <v>480</v>
      </c>
      <c r="H14" s="36"/>
      <c r="I14" s="2"/>
      <c r="K14" s="63"/>
      <c r="L14" s="64"/>
      <c r="M14" s="64"/>
      <c r="N14" s="64"/>
      <c r="O14" s="64"/>
      <c r="P14" s="65"/>
      <c r="R14" s="31"/>
      <c r="S14" s="31"/>
      <c r="T14" s="31"/>
      <c r="U14" s="31"/>
      <c r="V14" s="31"/>
      <c r="W14" s="31"/>
      <c r="X14" s="31"/>
      <c r="Y14" s="31"/>
      <c r="AA14" s="75"/>
      <c r="AB14" s="75"/>
      <c r="AC14" s="59"/>
      <c r="AD14" s="53"/>
      <c r="AE14" s="53"/>
      <c r="AF14" s="53"/>
      <c r="AG14" s="55"/>
      <c r="AH14" s="76"/>
      <c r="AI14" s="75"/>
      <c r="AJ14" s="75"/>
    </row>
    <row r="15" spans="1:36" ht="15.75" customHeight="1" x14ac:dyDescent="0.25">
      <c r="A15" s="27" t="s">
        <v>22</v>
      </c>
      <c r="B15" s="28"/>
      <c r="C15" s="28"/>
      <c r="D15" s="28"/>
      <c r="E15" s="28"/>
      <c r="F15" s="29"/>
      <c r="G15" s="35">
        <v>200</v>
      </c>
      <c r="H15" s="36"/>
      <c r="I15" s="2"/>
      <c r="K15" s="63"/>
      <c r="L15" s="64"/>
      <c r="M15" s="64"/>
      <c r="N15" s="64"/>
      <c r="O15" s="64"/>
      <c r="P15" s="65"/>
      <c r="R15" s="31"/>
      <c r="S15" s="31"/>
      <c r="T15" s="31"/>
      <c r="U15" s="31"/>
      <c r="V15" s="31"/>
      <c r="W15" s="31"/>
      <c r="X15" s="31"/>
      <c r="Y15" s="31"/>
      <c r="AA15" s="75"/>
      <c r="AB15" s="75"/>
      <c r="AC15" s="59"/>
      <c r="AD15" s="54"/>
      <c r="AE15" s="54"/>
      <c r="AF15" s="54"/>
      <c r="AG15" s="55"/>
      <c r="AH15" s="76"/>
      <c r="AI15" s="75"/>
      <c r="AJ15" s="75"/>
    </row>
    <row r="16" spans="1:36" ht="15.75" customHeight="1" x14ac:dyDescent="0.25">
      <c r="A16" s="27" t="s">
        <v>23</v>
      </c>
      <c r="B16" s="28"/>
      <c r="C16" s="28"/>
      <c r="D16" s="28"/>
      <c r="E16" s="28"/>
      <c r="F16" s="29"/>
      <c r="G16" s="35">
        <v>50</v>
      </c>
      <c r="H16" s="36"/>
      <c r="I16" s="2"/>
      <c r="K16" s="63"/>
      <c r="L16" s="64"/>
      <c r="M16" s="64"/>
      <c r="N16" s="64"/>
      <c r="O16" s="64"/>
      <c r="P16" s="65"/>
      <c r="R16" s="31"/>
      <c r="S16" s="31"/>
      <c r="T16" s="31"/>
      <c r="U16" s="31"/>
      <c r="V16" s="31"/>
      <c r="W16" s="31"/>
      <c r="X16" s="31"/>
      <c r="Y16" s="31"/>
      <c r="AC16" s="59" t="s">
        <v>49</v>
      </c>
      <c r="AD16" s="56"/>
      <c r="AE16" s="52" t="s">
        <v>49</v>
      </c>
      <c r="AF16" s="52"/>
      <c r="AG16" s="55" t="s">
        <v>49</v>
      </c>
    </row>
    <row r="17" spans="1:33" ht="15.75" customHeight="1" x14ac:dyDescent="0.25">
      <c r="A17" s="24" t="s">
        <v>36</v>
      </c>
      <c r="B17" s="25"/>
      <c r="C17" s="25"/>
      <c r="D17" s="25"/>
      <c r="E17" s="25"/>
      <c r="F17" s="26"/>
      <c r="G17" s="33">
        <v>400</v>
      </c>
      <c r="H17" s="34"/>
      <c r="I17" s="4" t="s">
        <v>18</v>
      </c>
      <c r="K17" s="63"/>
      <c r="L17" s="64"/>
      <c r="M17" s="64"/>
      <c r="N17" s="64"/>
      <c r="O17" s="64"/>
      <c r="P17" s="65"/>
      <c r="R17" s="30">
        <f>MIN('T16-5'!U3:U18)</f>
        <v>-3.7158899999999995E-3</v>
      </c>
      <c r="S17" s="30"/>
      <c r="T17" s="30">
        <f>MIN('T16-5'!V3:V18)</f>
        <v>-4.2675400000000141E-3</v>
      </c>
      <c r="U17" s="30"/>
      <c r="V17" s="30">
        <f>MAX('T16-5'!U3:U18)</f>
        <v>3.9236800000000127E-3</v>
      </c>
      <c r="W17" s="30"/>
      <c r="X17" s="30">
        <f>MAX('T16-5'!V3:V18)</f>
        <v>3.5267800000000071E-3</v>
      </c>
      <c r="Y17" s="30"/>
      <c r="AC17" s="59"/>
      <c r="AD17" s="57"/>
      <c r="AE17" s="53"/>
      <c r="AF17" s="53"/>
      <c r="AG17" s="55"/>
    </row>
    <row r="18" spans="1:33" ht="15.75" customHeight="1" x14ac:dyDescent="0.25">
      <c r="A18" s="24" t="s">
        <v>35</v>
      </c>
      <c r="B18" s="25"/>
      <c r="C18" s="25"/>
      <c r="D18" s="25"/>
      <c r="E18" s="25"/>
      <c r="F18" s="26"/>
      <c r="G18" s="33">
        <f>G14*G15*2</f>
        <v>192000</v>
      </c>
      <c r="H18" s="34"/>
      <c r="I18" s="2"/>
      <c r="K18" s="66"/>
      <c r="L18" s="67"/>
      <c r="M18" s="67"/>
      <c r="N18" s="67"/>
      <c r="O18" s="67"/>
      <c r="P18" s="68"/>
      <c r="R18" s="30"/>
      <c r="S18" s="30"/>
      <c r="T18" s="30"/>
      <c r="U18" s="30"/>
      <c r="V18" s="30"/>
      <c r="W18" s="30"/>
      <c r="X18" s="30"/>
      <c r="Y18" s="30"/>
      <c r="AC18" s="59"/>
      <c r="AD18" s="58"/>
      <c r="AE18" s="54"/>
      <c r="AF18" s="54"/>
      <c r="AG18" s="55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42" t="s">
        <v>49</v>
      </c>
      <c r="AD19" s="45" t="s">
        <v>49</v>
      </c>
      <c r="AE19" s="45" t="s">
        <v>49</v>
      </c>
      <c r="AF19" s="45" t="s">
        <v>49</v>
      </c>
      <c r="AG19" s="43" t="s">
        <v>49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42"/>
      <c r="AD20" s="46"/>
      <c r="AE20" s="46"/>
      <c r="AF20" s="46"/>
      <c r="AG20" s="43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42"/>
      <c r="AD21" s="46"/>
      <c r="AE21" s="46"/>
      <c r="AF21" s="46"/>
      <c r="AG21" s="43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80">
    <mergeCell ref="AA10:AB12"/>
    <mergeCell ref="AA13:AB15"/>
    <mergeCell ref="AH13:AH15"/>
    <mergeCell ref="AI13:AJ15"/>
    <mergeCell ref="AC1:AG2"/>
    <mergeCell ref="AG10:AG12"/>
    <mergeCell ref="AG13:AG15"/>
    <mergeCell ref="AC7:AC9"/>
    <mergeCell ref="AD7:AD9"/>
    <mergeCell ref="AE7:AE9"/>
    <mergeCell ref="AF7:AF9"/>
    <mergeCell ref="AG7:AG9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10:F10"/>
    <mergeCell ref="G10:H10"/>
    <mergeCell ref="G9:H9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</mergeCells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topLeftCell="I21" workbookViewId="0">
      <selection activeCell="A37" sqref="A37:AD5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2" max="22" width="12.4257812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70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67</v>
      </c>
      <c r="C3" s="14">
        <v>0</v>
      </c>
      <c r="D3" s="14">
        <v>19</v>
      </c>
      <c r="E3" s="15">
        <v>-0.29721320000000001</v>
      </c>
      <c r="F3" s="15">
        <v>-0.28936583999999999</v>
      </c>
      <c r="G3" s="15">
        <v>-7.8473699999999993E-3</v>
      </c>
      <c r="H3" s="15">
        <v>0.42725268</v>
      </c>
      <c r="I3" s="15">
        <v>0.4283421</v>
      </c>
      <c r="J3" s="15">
        <v>-1.08942E-3</v>
      </c>
      <c r="K3" s="18">
        <v>27.07</v>
      </c>
      <c r="L3" s="18">
        <v>27.08</v>
      </c>
      <c r="M3" s="18">
        <v>-0.01</v>
      </c>
      <c r="N3" s="15">
        <v>5.4401980000000003E-2</v>
      </c>
      <c r="O3" s="15">
        <v>3.5455510000000003E-2</v>
      </c>
      <c r="P3" s="15">
        <v>1.894647E-2</v>
      </c>
      <c r="Q3" s="15">
        <v>8.5463399999999995E-3</v>
      </c>
      <c r="R3" s="15">
        <v>-1.8921159999999999E-2</v>
      </c>
      <c r="S3" s="15">
        <v>2.7467490000000001E-2</v>
      </c>
      <c r="T3" s="14"/>
      <c r="U3" s="15">
        <f>(F3-E3)/2</f>
        <v>3.9236800000000127E-3</v>
      </c>
      <c r="V3" s="15">
        <f>(H3-I3)/2</f>
        <v>-5.447100000000038E-4</v>
      </c>
      <c r="W3" s="15"/>
      <c r="X3" s="15"/>
      <c r="Y3" s="16">
        <f t="shared" ref="Y3:Y34" si="0">N3</f>
        <v>5.4401980000000003E-2</v>
      </c>
      <c r="Z3" s="16">
        <f t="shared" ref="Z3:Z34" si="1">Q3</f>
        <v>8.5463399999999995E-3</v>
      </c>
      <c r="AA3" s="16">
        <f t="shared" ref="AA3:AA34" si="2">O3</f>
        <v>3.5455510000000003E-2</v>
      </c>
      <c r="AB3" s="16">
        <f t="shared" ref="AB3:AB34" si="3">R3</f>
        <v>-1.8921159999999999E-2</v>
      </c>
      <c r="AC3" s="17">
        <f>IF(Y3="","",DEGREES(ASIN(SQRT(Y3^2+Z3^2))))</f>
        <v>3.1568289433023402</v>
      </c>
      <c r="AD3" s="17">
        <f>IF(AA3="","",DEGREES(ASIN(SQRT(AA3^2+AB3^2))))</f>
        <v>2.3032431272374074</v>
      </c>
      <c r="AE3" s="17">
        <f>IF(Y3="","",MOD(DEGREES(ATAN2(Y3,Z3)),360))</f>
        <v>8.9279767956591183</v>
      </c>
      <c r="AF3" s="17">
        <f t="shared" ref="AF3:AF34" si="4">IF(Y3="","",MOD(F3+AE3,360))</f>
        <v>8.638610955659118</v>
      </c>
    </row>
    <row r="4" spans="1:32" x14ac:dyDescent="0.25">
      <c r="A4" s="14">
        <v>2</v>
      </c>
      <c r="B4" s="14" t="s">
        <v>67</v>
      </c>
      <c r="C4" s="14">
        <v>22.5</v>
      </c>
      <c r="D4" s="14">
        <v>11</v>
      </c>
      <c r="E4" s="15">
        <v>-0.29194545999999999</v>
      </c>
      <c r="F4" s="15">
        <v>-0.28702270000000002</v>
      </c>
      <c r="G4" s="15">
        <v>-4.92275E-3</v>
      </c>
      <c r="H4" s="15">
        <v>0.42290460000000002</v>
      </c>
      <c r="I4" s="15">
        <v>0.42268640000000002</v>
      </c>
      <c r="J4" s="15">
        <v>2.1821000000000001E-4</v>
      </c>
      <c r="K4" s="18">
        <v>27.12</v>
      </c>
      <c r="L4" s="18">
        <v>27.13</v>
      </c>
      <c r="M4" s="18">
        <v>-0.01</v>
      </c>
      <c r="N4" s="15">
        <v>5.8529829999999998E-2</v>
      </c>
      <c r="O4" s="15">
        <v>2.9378999999999999E-2</v>
      </c>
      <c r="P4" s="15">
        <v>2.9150829999999999E-2</v>
      </c>
      <c r="Q4" s="15">
        <v>3.27415E-3</v>
      </c>
      <c r="R4" s="15">
        <v>-1.3753990000000001E-2</v>
      </c>
      <c r="S4" s="15">
        <v>1.7028140000000001E-2</v>
      </c>
      <c r="T4" s="14"/>
      <c r="U4" s="15">
        <f t="shared" ref="U4:U34" si="5">(F4-E4)/2</f>
        <v>2.4613799999999852E-3</v>
      </c>
      <c r="V4" s="15">
        <f t="shared" ref="V4:V34" si="6">(H4-I4)/2</f>
        <v>1.0910000000000086E-4</v>
      </c>
      <c r="W4" s="15"/>
      <c r="X4" s="15"/>
      <c r="Y4" s="16">
        <f t="shared" si="0"/>
        <v>5.8529829999999998E-2</v>
      </c>
      <c r="Z4" s="16">
        <f t="shared" si="1"/>
        <v>3.27415E-3</v>
      </c>
      <c r="AA4" s="16">
        <f t="shared" si="2"/>
        <v>2.9378999999999999E-2</v>
      </c>
      <c r="AB4" s="16">
        <f t="shared" si="3"/>
        <v>-1.3753990000000001E-2</v>
      </c>
      <c r="AC4" s="17">
        <f t="shared" ref="AC4:AC18" si="7">IF(Y4="","",DEGREES(ASIN(SQRT(Y4^2+Z4^2))))</f>
        <v>3.3606818399108005</v>
      </c>
      <c r="AD4" s="17">
        <f t="shared" ref="AD4:AD18" si="8">IF(AA4="","",DEGREES(ASIN(SQRT(AA4^2+AB4^2))))</f>
        <v>1.8589520077024686</v>
      </c>
      <c r="AE4" s="17">
        <f t="shared" ref="AE4:AE18" si="9">IF(Y4="","",MOD(DEGREES(ATAN2(Y4,Z4)),360))</f>
        <v>3.2017804394020173</v>
      </c>
      <c r="AF4" s="17">
        <f t="shared" si="4"/>
        <v>2.9147577394020172</v>
      </c>
    </row>
    <row r="5" spans="1:32" x14ac:dyDescent="0.25">
      <c r="A5" s="14">
        <v>3</v>
      </c>
      <c r="B5" s="14" t="s">
        <v>67</v>
      </c>
      <c r="C5" s="14">
        <v>45</v>
      </c>
      <c r="D5" s="14">
        <v>15</v>
      </c>
      <c r="E5" s="15">
        <v>-0.29107336</v>
      </c>
      <c r="F5" s="15">
        <v>-0.28985664</v>
      </c>
      <c r="G5" s="15">
        <v>-1.21671E-3</v>
      </c>
      <c r="H5" s="15">
        <v>0.42938004000000002</v>
      </c>
      <c r="I5" s="15">
        <v>0.42241008000000002</v>
      </c>
      <c r="J5" s="15">
        <v>6.9699599999999999E-3</v>
      </c>
      <c r="K5" s="18">
        <v>27.08</v>
      </c>
      <c r="L5" s="18">
        <v>27.09</v>
      </c>
      <c r="M5" s="18">
        <v>-0.01</v>
      </c>
      <c r="N5" s="15">
        <v>6.1431960000000001E-2</v>
      </c>
      <c r="O5" s="15">
        <v>2.7600909999999999E-2</v>
      </c>
      <c r="P5" s="15">
        <v>3.3831050000000001E-2</v>
      </c>
      <c r="Q5" s="15">
        <v>-2.9075500000000001E-3</v>
      </c>
      <c r="R5" s="15">
        <v>-7.5040699999999998E-3</v>
      </c>
      <c r="S5" s="15">
        <v>4.5965199999999998E-3</v>
      </c>
      <c r="T5" s="14"/>
      <c r="U5" s="15">
        <f t="shared" si="5"/>
        <v>6.0836000000000223E-4</v>
      </c>
      <c r="V5" s="15">
        <f t="shared" si="6"/>
        <v>3.4849799999999986E-3</v>
      </c>
      <c r="W5" s="15"/>
      <c r="X5" s="15"/>
      <c r="Y5" s="16">
        <f t="shared" si="0"/>
        <v>6.1431960000000001E-2</v>
      </c>
      <c r="Z5" s="16">
        <f t="shared" si="1"/>
        <v>-2.9075500000000001E-3</v>
      </c>
      <c r="AA5" s="16">
        <f t="shared" si="2"/>
        <v>2.7600909999999999E-2</v>
      </c>
      <c r="AB5" s="16">
        <f t="shared" si="3"/>
        <v>-7.5040699999999998E-3</v>
      </c>
      <c r="AC5" s="17">
        <f t="shared" si="7"/>
        <v>3.5259572715326568</v>
      </c>
      <c r="AD5" s="17">
        <f t="shared" si="8"/>
        <v>1.6390443969420549</v>
      </c>
      <c r="AE5" s="17">
        <f t="shared" si="9"/>
        <v>357.29023592698866</v>
      </c>
      <c r="AF5" s="17">
        <f t="shared" si="4"/>
        <v>357.00037928698868</v>
      </c>
    </row>
    <row r="6" spans="1:32" x14ac:dyDescent="0.25">
      <c r="A6" s="14">
        <v>4</v>
      </c>
      <c r="B6" s="14" t="s">
        <v>67</v>
      </c>
      <c r="C6" s="14">
        <v>67.5</v>
      </c>
      <c r="D6" s="14">
        <v>14</v>
      </c>
      <c r="E6" s="15">
        <v>-0.30108570000000001</v>
      </c>
      <c r="F6" s="15">
        <v>-0.30041072000000002</v>
      </c>
      <c r="G6" s="15">
        <v>-6.7498999999999999E-4</v>
      </c>
      <c r="H6" s="15">
        <v>0.44597856000000002</v>
      </c>
      <c r="I6" s="15">
        <v>0.43892500000000001</v>
      </c>
      <c r="J6" s="15">
        <v>7.0535499999999996E-3</v>
      </c>
      <c r="K6" s="18">
        <v>26.93</v>
      </c>
      <c r="L6" s="18">
        <v>26.92</v>
      </c>
      <c r="M6" s="18">
        <v>0.01</v>
      </c>
      <c r="N6" s="15">
        <v>6.1221060000000001E-2</v>
      </c>
      <c r="O6" s="15">
        <v>2.79902E-2</v>
      </c>
      <c r="P6" s="15">
        <v>3.3230860000000001E-2</v>
      </c>
      <c r="Q6" s="15">
        <v>-8.9243900000000008E-3</v>
      </c>
      <c r="R6" s="15">
        <v>-1.05922E-3</v>
      </c>
      <c r="S6" s="15">
        <v>-7.8651599999999995E-3</v>
      </c>
      <c r="T6" s="14"/>
      <c r="U6" s="15">
        <f t="shared" si="5"/>
        <v>3.3748999999999585E-4</v>
      </c>
      <c r="V6" s="15">
        <f t="shared" si="6"/>
        <v>3.5267800000000071E-3</v>
      </c>
      <c r="W6" s="15"/>
      <c r="X6" s="15"/>
      <c r="Y6" s="16">
        <f t="shared" si="0"/>
        <v>6.1221060000000001E-2</v>
      </c>
      <c r="Z6" s="16">
        <f t="shared" si="1"/>
        <v>-8.9243900000000008E-3</v>
      </c>
      <c r="AA6" s="16">
        <f t="shared" si="2"/>
        <v>2.79902E-2</v>
      </c>
      <c r="AB6" s="16">
        <f t="shared" si="3"/>
        <v>-1.05922E-3</v>
      </c>
      <c r="AC6" s="17">
        <f t="shared" si="7"/>
        <v>3.5470468137202915</v>
      </c>
      <c r="AD6" s="17">
        <f t="shared" si="8"/>
        <v>1.605078156706147</v>
      </c>
      <c r="AE6" s="17">
        <f t="shared" si="9"/>
        <v>351.70622853530023</v>
      </c>
      <c r="AF6" s="17">
        <f t="shared" si="4"/>
        <v>351.40581781530022</v>
      </c>
    </row>
    <row r="7" spans="1:32" x14ac:dyDescent="0.25">
      <c r="A7" s="14">
        <v>5</v>
      </c>
      <c r="B7" s="14" t="s">
        <v>67</v>
      </c>
      <c r="C7" s="14">
        <v>90</v>
      </c>
      <c r="D7" s="14">
        <v>17</v>
      </c>
      <c r="E7" s="15">
        <v>-0.29254118000000001</v>
      </c>
      <c r="F7" s="15">
        <v>-0.29274704000000001</v>
      </c>
      <c r="G7" s="15">
        <v>2.0587000000000001E-4</v>
      </c>
      <c r="H7" s="15">
        <v>0.42637059999999999</v>
      </c>
      <c r="I7" s="15">
        <v>0.42376767999999998</v>
      </c>
      <c r="J7" s="15">
        <v>2.6029299999999998E-3</v>
      </c>
      <c r="K7" s="18">
        <v>27.1</v>
      </c>
      <c r="L7" s="18">
        <v>27.1</v>
      </c>
      <c r="M7" s="18">
        <v>0</v>
      </c>
      <c r="N7" s="15">
        <v>5.7914889999999997E-2</v>
      </c>
      <c r="O7" s="15">
        <v>3.0575169999999999E-2</v>
      </c>
      <c r="P7" s="15">
        <v>2.7339720000000001E-2</v>
      </c>
      <c r="Q7" s="15">
        <v>-1.551715E-2</v>
      </c>
      <c r="R7" s="15">
        <v>5.1635700000000001E-3</v>
      </c>
      <c r="S7" s="15">
        <v>-2.068072E-2</v>
      </c>
      <c r="T7" s="14"/>
      <c r="U7" s="15">
        <f t="shared" si="5"/>
        <v>-1.0293000000000108E-4</v>
      </c>
      <c r="V7" s="15">
        <f t="shared" si="6"/>
        <v>1.3014600000000043E-3</v>
      </c>
      <c r="W7" s="15"/>
      <c r="X7" s="15"/>
      <c r="Y7" s="16">
        <f t="shared" si="0"/>
        <v>5.7914889999999997E-2</v>
      </c>
      <c r="Z7" s="16">
        <f t="shared" si="1"/>
        <v>-1.551715E-2</v>
      </c>
      <c r="AA7" s="16">
        <f t="shared" si="2"/>
        <v>3.0575169999999999E-2</v>
      </c>
      <c r="AB7" s="16">
        <f t="shared" si="3"/>
        <v>5.1635700000000001E-3</v>
      </c>
      <c r="AC7" s="17">
        <f t="shared" si="7"/>
        <v>3.4373803038347854</v>
      </c>
      <c r="AD7" s="17">
        <f t="shared" si="8"/>
        <v>1.7769192086227399</v>
      </c>
      <c r="AE7" s="17">
        <f t="shared" si="9"/>
        <v>345.00101350623049</v>
      </c>
      <c r="AF7" s="17">
        <f t="shared" si="4"/>
        <v>344.7082664662305</v>
      </c>
    </row>
    <row r="8" spans="1:32" x14ac:dyDescent="0.25">
      <c r="A8" s="14">
        <v>6</v>
      </c>
      <c r="B8" s="14" t="s">
        <v>67</v>
      </c>
      <c r="C8" s="14">
        <v>112.5</v>
      </c>
      <c r="D8" s="14">
        <v>8</v>
      </c>
      <c r="E8" s="15">
        <v>-0.28941879999999998</v>
      </c>
      <c r="F8" s="15">
        <v>-0.29519995999999998</v>
      </c>
      <c r="G8" s="15">
        <v>5.7811700000000004E-3</v>
      </c>
      <c r="H8" s="15">
        <v>0.42502504000000002</v>
      </c>
      <c r="I8" s="15">
        <v>0.4201126</v>
      </c>
      <c r="J8" s="15">
        <v>4.9124700000000004E-3</v>
      </c>
      <c r="K8" s="18">
        <v>27.16</v>
      </c>
      <c r="L8" s="18">
        <v>27.15</v>
      </c>
      <c r="M8" s="18">
        <v>0.01</v>
      </c>
      <c r="N8" s="15">
        <v>5.262116E-2</v>
      </c>
      <c r="O8" s="15">
        <v>3.589386E-2</v>
      </c>
      <c r="P8" s="15">
        <v>1.6727300000000001E-2</v>
      </c>
      <c r="Q8" s="15">
        <v>-2.0208739999999999E-2</v>
      </c>
      <c r="R8" s="15">
        <v>9.6514900000000004E-3</v>
      </c>
      <c r="S8" s="15">
        <v>-2.9860230000000001E-2</v>
      </c>
      <c r="T8" s="14"/>
      <c r="U8" s="15">
        <f t="shared" si="5"/>
        <v>-2.8905800000000037E-3</v>
      </c>
      <c r="V8" s="15">
        <f t="shared" si="6"/>
        <v>2.456220000000009E-3</v>
      </c>
      <c r="W8" s="15"/>
      <c r="X8" s="15"/>
      <c r="Y8" s="16">
        <f t="shared" si="0"/>
        <v>5.262116E-2</v>
      </c>
      <c r="Z8" s="16">
        <f t="shared" si="1"/>
        <v>-2.0208739999999999E-2</v>
      </c>
      <c r="AA8" s="16">
        <f t="shared" si="2"/>
        <v>3.589386E-2</v>
      </c>
      <c r="AB8" s="16">
        <f t="shared" si="3"/>
        <v>9.6514900000000004E-3</v>
      </c>
      <c r="AC8" s="17">
        <f t="shared" si="7"/>
        <v>3.2313756068443844</v>
      </c>
      <c r="AD8" s="17">
        <f t="shared" si="8"/>
        <v>2.1301066051929398</v>
      </c>
      <c r="AE8" s="17">
        <f t="shared" si="9"/>
        <v>338.99110917512991</v>
      </c>
      <c r="AF8" s="17">
        <f t="shared" si="4"/>
        <v>338.69590921512992</v>
      </c>
    </row>
    <row r="9" spans="1:32" x14ac:dyDescent="0.25">
      <c r="A9" s="14">
        <v>7</v>
      </c>
      <c r="B9" s="14" t="s">
        <v>67</v>
      </c>
      <c r="C9" s="14">
        <v>135</v>
      </c>
      <c r="D9" s="14">
        <v>14</v>
      </c>
      <c r="E9" s="15">
        <v>-0.28252500000000003</v>
      </c>
      <c r="F9" s="15">
        <v>-0.28845359999999998</v>
      </c>
      <c r="G9" s="15">
        <v>5.92861E-3</v>
      </c>
      <c r="H9" s="15">
        <v>0.41540359999999998</v>
      </c>
      <c r="I9" s="15">
        <v>0.41561076000000002</v>
      </c>
      <c r="J9" s="15">
        <v>-2.0715999999999999E-4</v>
      </c>
      <c r="K9" s="18">
        <v>27.22</v>
      </c>
      <c r="L9" s="18">
        <v>27.22</v>
      </c>
      <c r="M9" s="18">
        <v>0</v>
      </c>
      <c r="N9" s="15">
        <v>4.6410779999999999E-2</v>
      </c>
      <c r="O9" s="15">
        <v>4.2716759999999999E-2</v>
      </c>
      <c r="P9" s="15">
        <v>3.6940200000000001E-3</v>
      </c>
      <c r="Q9" s="15">
        <v>-2.2118269999999999E-2</v>
      </c>
      <c r="R9" s="15">
        <v>1.1806469999999999E-2</v>
      </c>
      <c r="S9" s="15">
        <v>-3.392473E-2</v>
      </c>
      <c r="T9" s="14"/>
      <c r="U9" s="15">
        <f t="shared" si="5"/>
        <v>-2.9642999999999753E-3</v>
      </c>
      <c r="V9" s="15">
        <f t="shared" si="6"/>
        <v>-1.0358000000001977E-4</v>
      </c>
      <c r="W9" s="15"/>
      <c r="X9" s="15"/>
      <c r="Y9" s="16">
        <f t="shared" si="0"/>
        <v>4.6410779999999999E-2</v>
      </c>
      <c r="Z9" s="16">
        <f t="shared" si="1"/>
        <v>-2.2118269999999999E-2</v>
      </c>
      <c r="AA9" s="16">
        <f t="shared" si="2"/>
        <v>4.2716759999999999E-2</v>
      </c>
      <c r="AB9" s="16">
        <f t="shared" si="3"/>
        <v>1.1806469999999999E-2</v>
      </c>
      <c r="AC9" s="17">
        <f t="shared" si="7"/>
        <v>2.9469812548927212</v>
      </c>
      <c r="AD9" s="17">
        <f t="shared" si="8"/>
        <v>2.5400851945150227</v>
      </c>
      <c r="AE9" s="17">
        <f t="shared" si="9"/>
        <v>334.51864557166971</v>
      </c>
      <c r="AF9" s="17">
        <f t="shared" si="4"/>
        <v>334.23019197166968</v>
      </c>
    </row>
    <row r="10" spans="1:32" x14ac:dyDescent="0.25">
      <c r="A10" s="14">
        <v>8</v>
      </c>
      <c r="B10" s="14" t="s">
        <v>67</v>
      </c>
      <c r="C10" s="14">
        <v>157.5</v>
      </c>
      <c r="D10" s="14">
        <v>15</v>
      </c>
      <c r="E10" s="15">
        <v>-0.28833999999999999</v>
      </c>
      <c r="F10" s="15">
        <v>-0.29399335999999998</v>
      </c>
      <c r="G10" s="15">
        <v>5.6533499999999997E-3</v>
      </c>
      <c r="H10" s="15">
        <v>0.42770340000000001</v>
      </c>
      <c r="I10" s="15">
        <v>0.43190000000000001</v>
      </c>
      <c r="J10" s="15">
        <v>-4.1966399999999997E-3</v>
      </c>
      <c r="K10" s="18">
        <v>27.07</v>
      </c>
      <c r="L10" s="18">
        <v>27.06</v>
      </c>
      <c r="M10" s="18">
        <v>0.01</v>
      </c>
      <c r="N10" s="15">
        <v>4.0075350000000003E-2</v>
      </c>
      <c r="O10" s="15">
        <v>4.872054E-2</v>
      </c>
      <c r="P10" s="15">
        <v>-8.6451900000000005E-3</v>
      </c>
      <c r="Q10" s="15">
        <v>-2.166146E-2</v>
      </c>
      <c r="R10" s="15">
        <v>1.153239E-2</v>
      </c>
      <c r="S10" s="15">
        <v>-3.3193849999999997E-2</v>
      </c>
      <c r="T10" s="14"/>
      <c r="U10" s="15">
        <f t="shared" si="5"/>
        <v>-2.8266799999999981E-3</v>
      </c>
      <c r="V10" s="15">
        <f t="shared" si="6"/>
        <v>-2.0982999999999974E-3</v>
      </c>
      <c r="W10" s="15"/>
      <c r="X10" s="15"/>
      <c r="Y10" s="16">
        <f t="shared" si="0"/>
        <v>4.0075350000000003E-2</v>
      </c>
      <c r="Z10" s="16">
        <f t="shared" si="1"/>
        <v>-2.166146E-2</v>
      </c>
      <c r="AA10" s="16">
        <f t="shared" si="2"/>
        <v>4.872054E-2</v>
      </c>
      <c r="AB10" s="16">
        <f t="shared" si="3"/>
        <v>1.153239E-2</v>
      </c>
      <c r="AC10" s="17">
        <f t="shared" si="7"/>
        <v>2.6110093937378211</v>
      </c>
      <c r="AD10" s="17">
        <f t="shared" si="8"/>
        <v>2.8698176153878925</v>
      </c>
      <c r="AE10" s="17">
        <f t="shared" si="9"/>
        <v>331.60796679881247</v>
      </c>
      <c r="AF10" s="17">
        <f t="shared" si="4"/>
        <v>331.31397343881247</v>
      </c>
    </row>
    <row r="11" spans="1:32" x14ac:dyDescent="0.25">
      <c r="A11" s="14">
        <v>9</v>
      </c>
      <c r="B11" s="14" t="s">
        <v>67</v>
      </c>
      <c r="C11" s="14">
        <v>180</v>
      </c>
      <c r="D11" s="14">
        <v>16</v>
      </c>
      <c r="E11" s="15">
        <v>-0.28848752</v>
      </c>
      <c r="F11" s="15">
        <v>-0.29455004000000001</v>
      </c>
      <c r="G11" s="15">
        <v>6.0625100000000001E-3</v>
      </c>
      <c r="H11" s="15">
        <v>0.41992192</v>
      </c>
      <c r="I11" s="15">
        <v>0.42319691999999998</v>
      </c>
      <c r="J11" s="15">
        <v>-3.2750100000000001E-3</v>
      </c>
      <c r="K11" s="18">
        <v>27.1</v>
      </c>
      <c r="L11" s="18">
        <v>27.11</v>
      </c>
      <c r="M11" s="18">
        <v>-0.01</v>
      </c>
      <c r="N11" s="15">
        <v>3.43457E-2</v>
      </c>
      <c r="O11" s="15">
        <v>5.5055689999999997E-2</v>
      </c>
      <c r="P11" s="15">
        <v>-2.0709990000000001E-2</v>
      </c>
      <c r="Q11" s="15">
        <v>-1.8753820000000001E-2</v>
      </c>
      <c r="R11" s="15">
        <v>8.3895900000000006E-3</v>
      </c>
      <c r="S11" s="15">
        <v>-2.7143400000000002E-2</v>
      </c>
      <c r="T11" s="14"/>
      <c r="U11" s="15">
        <f t="shared" si="5"/>
        <v>-3.0312600000000078E-3</v>
      </c>
      <c r="V11" s="15">
        <f t="shared" si="6"/>
        <v>-1.6374999999999862E-3</v>
      </c>
      <c r="W11" s="15"/>
      <c r="X11" s="15"/>
      <c r="Y11" s="16">
        <f t="shared" si="0"/>
        <v>3.43457E-2</v>
      </c>
      <c r="Z11" s="16">
        <f t="shared" si="1"/>
        <v>-1.8753820000000001E-2</v>
      </c>
      <c r="AA11" s="16">
        <f t="shared" si="2"/>
        <v>5.5055689999999997E-2</v>
      </c>
      <c r="AB11" s="16">
        <f t="shared" si="3"/>
        <v>8.3895900000000006E-3</v>
      </c>
      <c r="AC11" s="17">
        <f t="shared" si="7"/>
        <v>2.2426853137094778</v>
      </c>
      <c r="AD11" s="17">
        <f t="shared" si="8"/>
        <v>3.1925247418158027</v>
      </c>
      <c r="AE11" s="17">
        <f t="shared" si="9"/>
        <v>331.36408752193705</v>
      </c>
      <c r="AF11" s="17">
        <f t="shared" si="4"/>
        <v>331.06953748193706</v>
      </c>
    </row>
    <row r="12" spans="1:32" x14ac:dyDescent="0.25">
      <c r="A12" s="14">
        <v>10</v>
      </c>
      <c r="B12" s="14" t="s">
        <v>67</v>
      </c>
      <c r="C12" s="14">
        <v>202.5</v>
      </c>
      <c r="D12" s="14">
        <v>11</v>
      </c>
      <c r="E12" s="15">
        <v>-0.29030460000000002</v>
      </c>
      <c r="F12" s="15">
        <v>-0.29773638000000002</v>
      </c>
      <c r="G12" s="15">
        <v>7.4317799999999998E-3</v>
      </c>
      <c r="H12" s="15">
        <v>0.43118188000000002</v>
      </c>
      <c r="I12" s="15">
        <v>0.43574091999999998</v>
      </c>
      <c r="J12" s="15">
        <v>-4.5590400000000003E-3</v>
      </c>
      <c r="K12" s="18">
        <v>26.96</v>
      </c>
      <c r="L12" s="18">
        <v>26.97</v>
      </c>
      <c r="M12" s="18">
        <v>-0.01</v>
      </c>
      <c r="N12" s="15">
        <v>2.965243E-2</v>
      </c>
      <c r="O12" s="15">
        <v>5.9100670000000001E-2</v>
      </c>
      <c r="P12" s="15">
        <v>-2.9448240000000001E-2</v>
      </c>
      <c r="Q12" s="15">
        <v>-1.4007240000000001E-2</v>
      </c>
      <c r="R12" s="15">
        <v>3.8867200000000002E-3</v>
      </c>
      <c r="S12" s="15">
        <v>-1.7893949999999999E-2</v>
      </c>
      <c r="T12" s="14"/>
      <c r="U12" s="15">
        <f t="shared" si="5"/>
        <v>-3.7158899999999995E-3</v>
      </c>
      <c r="V12" s="15">
        <f t="shared" si="6"/>
        <v>-2.2795199999999793E-3</v>
      </c>
      <c r="W12" s="15"/>
      <c r="X12" s="15"/>
      <c r="Y12" s="16">
        <f t="shared" si="0"/>
        <v>2.965243E-2</v>
      </c>
      <c r="Z12" s="16">
        <f t="shared" si="1"/>
        <v>-1.4007240000000001E-2</v>
      </c>
      <c r="AA12" s="16">
        <f t="shared" si="2"/>
        <v>5.9100670000000001E-2</v>
      </c>
      <c r="AB12" s="16">
        <f t="shared" si="3"/>
        <v>3.8867200000000002E-3</v>
      </c>
      <c r="AC12" s="17">
        <f t="shared" si="7"/>
        <v>1.8793147944089248</v>
      </c>
      <c r="AD12" s="17">
        <f t="shared" si="8"/>
        <v>3.3955209033668368</v>
      </c>
      <c r="AE12" s="17">
        <f t="shared" si="9"/>
        <v>334.71484683933983</v>
      </c>
      <c r="AF12" s="17">
        <f t="shared" si="4"/>
        <v>334.41711045933982</v>
      </c>
    </row>
    <row r="13" spans="1:32" x14ac:dyDescent="0.25">
      <c r="A13" s="14">
        <v>11</v>
      </c>
      <c r="B13" s="14" t="s">
        <v>67</v>
      </c>
      <c r="C13" s="14">
        <v>225</v>
      </c>
      <c r="D13" s="14">
        <v>14</v>
      </c>
      <c r="E13" s="15">
        <v>-0.28925356000000002</v>
      </c>
      <c r="F13" s="15">
        <v>-0.2895143</v>
      </c>
      <c r="G13" s="15">
        <v>2.6073999999999997E-4</v>
      </c>
      <c r="H13" s="15">
        <v>0.4222822</v>
      </c>
      <c r="I13" s="15">
        <v>0.425875</v>
      </c>
      <c r="J13" s="15">
        <v>-3.5927899999999998E-3</v>
      </c>
      <c r="K13" s="18">
        <v>27.1</v>
      </c>
      <c r="L13" s="18">
        <v>27.12</v>
      </c>
      <c r="M13" s="18">
        <v>-0.01</v>
      </c>
      <c r="N13" s="15">
        <v>2.742083E-2</v>
      </c>
      <c r="O13" s="15">
        <v>6.256958E-2</v>
      </c>
      <c r="P13" s="15">
        <v>-3.5148749999999999E-2</v>
      </c>
      <c r="Q13" s="15">
        <v>-7.4499500000000003E-3</v>
      </c>
      <c r="R13" s="15">
        <v>-2.8015100000000001E-3</v>
      </c>
      <c r="S13" s="15">
        <v>-4.6484400000000002E-3</v>
      </c>
      <c r="T13" s="14"/>
      <c r="U13" s="15">
        <f t="shared" si="5"/>
        <v>-1.3036999999999077E-4</v>
      </c>
      <c r="V13" s="15">
        <f t="shared" si="6"/>
        <v>-1.7964000000000035E-3</v>
      </c>
      <c r="W13" s="15"/>
      <c r="X13" s="15"/>
      <c r="Y13" s="16">
        <f t="shared" si="0"/>
        <v>2.742083E-2</v>
      </c>
      <c r="Z13" s="16">
        <f t="shared" si="1"/>
        <v>-7.4499500000000003E-3</v>
      </c>
      <c r="AA13" s="16">
        <f t="shared" si="2"/>
        <v>6.256958E-2</v>
      </c>
      <c r="AB13" s="16">
        <f t="shared" si="3"/>
        <v>-2.8015100000000001E-3</v>
      </c>
      <c r="AC13" s="17">
        <f t="shared" si="7"/>
        <v>1.6282701146639063</v>
      </c>
      <c r="AD13" s="17">
        <f t="shared" si="8"/>
        <v>3.5909148837875997</v>
      </c>
      <c r="AE13" s="17">
        <f t="shared" si="9"/>
        <v>344.80024249734191</v>
      </c>
      <c r="AF13" s="17">
        <f t="shared" si="4"/>
        <v>344.5107281973419</v>
      </c>
    </row>
    <row r="14" spans="1:32" x14ac:dyDescent="0.25">
      <c r="A14" s="14">
        <v>12</v>
      </c>
      <c r="B14" s="14" t="s">
        <v>67</v>
      </c>
      <c r="C14" s="14">
        <v>247.5</v>
      </c>
      <c r="D14" s="14">
        <v>18</v>
      </c>
      <c r="E14" s="15">
        <v>-0.28983333999999999</v>
      </c>
      <c r="F14" s="15">
        <v>-0.29032501999999999</v>
      </c>
      <c r="G14" s="15">
        <v>4.9167999999999998E-4</v>
      </c>
      <c r="H14" s="15">
        <v>0.42126395999999999</v>
      </c>
      <c r="I14" s="15">
        <v>0.42689448000000002</v>
      </c>
      <c r="J14" s="15">
        <v>-5.6304900000000001E-3</v>
      </c>
      <c r="K14" s="18">
        <v>27.1</v>
      </c>
      <c r="L14" s="18">
        <v>27.1</v>
      </c>
      <c r="M14" s="18">
        <v>0</v>
      </c>
      <c r="N14" s="15">
        <v>2.768758E-2</v>
      </c>
      <c r="O14" s="15">
        <v>6.1099309999999997E-2</v>
      </c>
      <c r="P14" s="15">
        <v>-3.3411730000000001E-2</v>
      </c>
      <c r="Q14" s="15">
        <v>-8.8325000000000003E-4</v>
      </c>
      <c r="R14" s="15">
        <v>-9.3207499999999992E-3</v>
      </c>
      <c r="S14" s="15">
        <v>8.4375000000000006E-3</v>
      </c>
      <c r="T14" s="14"/>
      <c r="U14" s="15">
        <f t="shared" si="5"/>
        <v>-2.4583999999999717E-4</v>
      </c>
      <c r="V14" s="15">
        <f t="shared" si="6"/>
        <v>-2.8152600000000139E-3</v>
      </c>
      <c r="W14" s="15"/>
      <c r="X14" s="15"/>
      <c r="Y14" s="16">
        <f t="shared" si="0"/>
        <v>2.768758E-2</v>
      </c>
      <c r="Z14" s="16">
        <f t="shared" si="1"/>
        <v>-8.8325000000000003E-4</v>
      </c>
      <c r="AA14" s="16">
        <f t="shared" si="2"/>
        <v>6.1099309999999997E-2</v>
      </c>
      <c r="AB14" s="16">
        <f t="shared" si="3"/>
        <v>-9.3207499999999992E-3</v>
      </c>
      <c r="AC14" s="17">
        <f t="shared" si="7"/>
        <v>1.5873915289426377</v>
      </c>
      <c r="AD14" s="17">
        <f t="shared" si="8"/>
        <v>3.5434908870995061</v>
      </c>
      <c r="AE14" s="17">
        <f t="shared" si="9"/>
        <v>358.17285074366168</v>
      </c>
      <c r="AF14" s="17">
        <f t="shared" si="4"/>
        <v>357.88252572366167</v>
      </c>
    </row>
    <row r="15" spans="1:32" x14ac:dyDescent="0.25">
      <c r="A15" s="14">
        <v>13</v>
      </c>
      <c r="B15" s="14" t="s">
        <v>67</v>
      </c>
      <c r="C15" s="14">
        <v>270</v>
      </c>
      <c r="D15" s="14">
        <v>10</v>
      </c>
      <c r="E15" s="15">
        <v>-0.28506495999999998</v>
      </c>
      <c r="F15" s="15">
        <v>-0.28598000000000001</v>
      </c>
      <c r="G15" s="15">
        <v>9.1502E-4</v>
      </c>
      <c r="H15" s="15">
        <v>0.41327999999999998</v>
      </c>
      <c r="I15" s="15">
        <v>0.42181508000000001</v>
      </c>
      <c r="J15" s="15">
        <v>-8.5350600000000006E-3</v>
      </c>
      <c r="K15" s="18">
        <v>27.21</v>
      </c>
      <c r="L15" s="18">
        <v>27.19</v>
      </c>
      <c r="M15" s="18">
        <v>0.02</v>
      </c>
      <c r="N15" s="15">
        <v>3.1687260000000002E-2</v>
      </c>
      <c r="O15" s="15">
        <v>5.8715320000000001E-2</v>
      </c>
      <c r="P15" s="15">
        <v>-2.7028070000000001E-2</v>
      </c>
      <c r="Q15" s="15">
        <v>5.1665000000000001E-3</v>
      </c>
      <c r="R15" s="15">
        <v>-1.548071E-2</v>
      </c>
      <c r="S15" s="15">
        <v>2.0647220000000001E-2</v>
      </c>
      <c r="T15" s="14"/>
      <c r="U15" s="15">
        <f t="shared" si="5"/>
        <v>-4.575200000000168E-4</v>
      </c>
      <c r="V15" s="15">
        <f t="shared" si="6"/>
        <v>-4.2675400000000141E-3</v>
      </c>
      <c r="W15" s="15"/>
      <c r="X15" s="15"/>
      <c r="Y15" s="16">
        <f t="shared" si="0"/>
        <v>3.1687260000000002E-2</v>
      </c>
      <c r="Z15" s="16">
        <f t="shared" si="1"/>
        <v>5.1665000000000001E-3</v>
      </c>
      <c r="AA15" s="16">
        <f t="shared" si="2"/>
        <v>5.8715320000000001E-2</v>
      </c>
      <c r="AB15" s="16">
        <f t="shared" si="3"/>
        <v>-1.548071E-2</v>
      </c>
      <c r="AC15" s="17">
        <f t="shared" si="7"/>
        <v>1.839836559631415</v>
      </c>
      <c r="AD15" s="17">
        <f t="shared" si="8"/>
        <v>3.4812463880101503</v>
      </c>
      <c r="AE15" s="17">
        <f t="shared" si="9"/>
        <v>9.2603957508276107</v>
      </c>
      <c r="AF15" s="17">
        <f t="shared" si="4"/>
        <v>8.9744157508276103</v>
      </c>
    </row>
    <row r="16" spans="1:32" x14ac:dyDescent="0.25">
      <c r="A16" s="14">
        <v>14</v>
      </c>
      <c r="B16" s="14" t="s">
        <v>67</v>
      </c>
      <c r="C16" s="14">
        <v>292.5</v>
      </c>
      <c r="D16" s="14">
        <v>19</v>
      </c>
      <c r="E16" s="15">
        <v>-0.28986052000000001</v>
      </c>
      <c r="F16" s="15">
        <v>-0.28766577999999998</v>
      </c>
      <c r="G16" s="15">
        <v>-2.1947300000000002E-3</v>
      </c>
      <c r="H16" s="15">
        <v>0.42465532</v>
      </c>
      <c r="I16" s="15">
        <v>0.43052109999999999</v>
      </c>
      <c r="J16" s="15">
        <v>-5.8657800000000001E-3</v>
      </c>
      <c r="K16" s="18">
        <v>27.09</v>
      </c>
      <c r="L16" s="18">
        <v>27.08</v>
      </c>
      <c r="M16" s="18">
        <v>0.01</v>
      </c>
      <c r="N16" s="15">
        <v>3.5395250000000003E-2</v>
      </c>
      <c r="O16" s="15">
        <v>5.3429280000000003E-2</v>
      </c>
      <c r="P16" s="15">
        <v>-1.803403E-2</v>
      </c>
      <c r="Q16" s="15">
        <v>9.5518100000000009E-3</v>
      </c>
      <c r="R16" s="15">
        <v>-1.974275E-2</v>
      </c>
      <c r="S16" s="15">
        <v>2.9294560000000001E-2</v>
      </c>
      <c r="T16" s="14"/>
      <c r="U16" s="15">
        <f t="shared" si="5"/>
        <v>1.0973700000000142E-3</v>
      </c>
      <c r="V16" s="15">
        <f t="shared" si="6"/>
        <v>-2.9328899999999936E-3</v>
      </c>
      <c r="W16" s="15"/>
      <c r="X16" s="15"/>
      <c r="Y16" s="16">
        <f t="shared" si="0"/>
        <v>3.5395250000000003E-2</v>
      </c>
      <c r="Z16" s="16">
        <f t="shared" si="1"/>
        <v>9.5518100000000009E-3</v>
      </c>
      <c r="AA16" s="16">
        <f t="shared" si="2"/>
        <v>5.3429280000000003E-2</v>
      </c>
      <c r="AB16" s="16">
        <f t="shared" si="3"/>
        <v>-1.974275E-2</v>
      </c>
      <c r="AC16" s="17">
        <f t="shared" si="7"/>
        <v>2.1010163095152574</v>
      </c>
      <c r="AD16" s="17">
        <f t="shared" si="8"/>
        <v>3.265346279276919</v>
      </c>
      <c r="AE16" s="17">
        <f t="shared" si="9"/>
        <v>15.102170654311061</v>
      </c>
      <c r="AF16" s="17">
        <f t="shared" si="4"/>
        <v>14.814504874311062</v>
      </c>
    </row>
    <row r="17" spans="1:32" x14ac:dyDescent="0.25">
      <c r="A17" s="14">
        <v>15</v>
      </c>
      <c r="B17" s="14" t="s">
        <v>67</v>
      </c>
      <c r="C17" s="14">
        <v>315</v>
      </c>
      <c r="D17" s="14">
        <v>16</v>
      </c>
      <c r="E17" s="15">
        <v>-0.29607186000000002</v>
      </c>
      <c r="F17" s="15">
        <v>-0.29157499999999997</v>
      </c>
      <c r="G17" s="15">
        <v>-4.4968400000000002E-3</v>
      </c>
      <c r="H17" s="15">
        <v>0.42325000000000002</v>
      </c>
      <c r="I17" s="15">
        <v>0.42806252</v>
      </c>
      <c r="J17" s="15">
        <v>-4.8125399999999997E-3</v>
      </c>
      <c r="K17" s="18">
        <v>27.03</v>
      </c>
      <c r="L17" s="18">
        <v>27.03</v>
      </c>
      <c r="M17" s="18">
        <v>0</v>
      </c>
      <c r="N17" s="15">
        <v>4.2413329999999999E-2</v>
      </c>
      <c r="O17" s="15">
        <v>4.6954650000000001E-2</v>
      </c>
      <c r="P17" s="15">
        <v>-4.5413199999999997E-3</v>
      </c>
      <c r="Q17" s="15">
        <v>1.1623690000000001E-2</v>
      </c>
      <c r="R17" s="15">
        <v>-2.1964569999999999E-2</v>
      </c>
      <c r="S17" s="15">
        <v>3.3588260000000002E-2</v>
      </c>
      <c r="T17" s="14"/>
      <c r="U17" s="15">
        <f t="shared" si="5"/>
        <v>2.2484300000000235E-3</v>
      </c>
      <c r="V17" s="15">
        <f t="shared" si="6"/>
        <v>-2.4062599999999934E-3</v>
      </c>
      <c r="W17" s="15"/>
      <c r="X17" s="15"/>
      <c r="Y17" s="16">
        <f t="shared" si="0"/>
        <v>4.2413329999999999E-2</v>
      </c>
      <c r="Z17" s="16">
        <f t="shared" si="1"/>
        <v>1.1623690000000001E-2</v>
      </c>
      <c r="AA17" s="16">
        <f t="shared" si="2"/>
        <v>4.6954650000000001E-2</v>
      </c>
      <c r="AB17" s="16">
        <f t="shared" si="3"/>
        <v>-2.1964569999999999E-2</v>
      </c>
      <c r="AC17" s="17">
        <f t="shared" si="7"/>
        <v>2.5205251566395095</v>
      </c>
      <c r="AD17" s="17">
        <f t="shared" si="8"/>
        <v>2.971432224238046</v>
      </c>
      <c r="AE17" s="17">
        <f t="shared" si="9"/>
        <v>15.326033117545173</v>
      </c>
      <c r="AF17" s="17">
        <f t="shared" si="4"/>
        <v>15.034458117545173</v>
      </c>
    </row>
    <row r="18" spans="1:32" x14ac:dyDescent="0.25">
      <c r="A18" s="14">
        <v>16</v>
      </c>
      <c r="B18" s="14" t="s">
        <v>67</v>
      </c>
      <c r="C18" s="14">
        <v>337.5</v>
      </c>
      <c r="D18" s="14">
        <v>13</v>
      </c>
      <c r="E18" s="15">
        <v>-0.29057692000000002</v>
      </c>
      <c r="F18" s="15">
        <v>-0.28655389999999997</v>
      </c>
      <c r="G18" s="15">
        <v>-4.0230500000000002E-3</v>
      </c>
      <c r="H18" s="15">
        <v>0.41985776000000002</v>
      </c>
      <c r="I18" s="15">
        <v>0.42197308</v>
      </c>
      <c r="J18" s="15">
        <v>-2.11531E-3</v>
      </c>
      <c r="K18" s="18">
        <v>27.16</v>
      </c>
      <c r="L18" s="18">
        <v>27.17</v>
      </c>
      <c r="M18" s="18">
        <v>-0.01</v>
      </c>
      <c r="N18" s="15">
        <v>4.8306979999999999E-2</v>
      </c>
      <c r="O18" s="15">
        <v>4.0077370000000001E-2</v>
      </c>
      <c r="P18" s="15">
        <v>8.2296100000000001E-3</v>
      </c>
      <c r="Q18" s="15">
        <v>1.12838E-2</v>
      </c>
      <c r="R18" s="15">
        <v>-2.1672179999999999E-2</v>
      </c>
      <c r="S18" s="15">
        <v>3.2955980000000003E-2</v>
      </c>
      <c r="T18" s="14"/>
      <c r="U18" s="15">
        <f t="shared" si="5"/>
        <v>2.0115100000000219E-3</v>
      </c>
      <c r="V18" s="15">
        <f t="shared" si="6"/>
        <v>-1.0576599999999881E-3</v>
      </c>
      <c r="W18" s="15"/>
      <c r="X18" s="15"/>
      <c r="Y18" s="16">
        <f t="shared" si="0"/>
        <v>4.8306979999999999E-2</v>
      </c>
      <c r="Z18" s="16">
        <f t="shared" si="1"/>
        <v>1.12838E-2</v>
      </c>
      <c r="AA18" s="16">
        <f t="shared" si="2"/>
        <v>4.0077370000000001E-2</v>
      </c>
      <c r="AB18" s="16">
        <f t="shared" si="3"/>
        <v>-2.1672179999999999E-2</v>
      </c>
      <c r="AC18" s="17">
        <f t="shared" si="7"/>
        <v>2.8434584281978799</v>
      </c>
      <c r="AD18" s="17">
        <f t="shared" si="8"/>
        <v>2.6114037226213291</v>
      </c>
      <c r="AE18" s="17">
        <f t="shared" si="9"/>
        <v>13.147712291537811</v>
      </c>
      <c r="AF18" s="17">
        <f t="shared" si="4"/>
        <v>12.861158391537812</v>
      </c>
    </row>
    <row r="19" spans="1:32" x14ac:dyDescent="0.25">
      <c r="A19" s="19">
        <v>17</v>
      </c>
      <c r="B19" s="19" t="s">
        <v>68</v>
      </c>
      <c r="C19" s="19">
        <v>0</v>
      </c>
      <c r="D19" s="19">
        <v>22</v>
      </c>
      <c r="E19" s="20">
        <v>-0.29550907999999998</v>
      </c>
      <c r="F19" s="20">
        <v>-0.28851134000000001</v>
      </c>
      <c r="G19" s="20">
        <v>-6.9977299999999997E-3</v>
      </c>
      <c r="H19" s="20">
        <v>0.43021367999999999</v>
      </c>
      <c r="I19" s="20">
        <v>0.42688868000000002</v>
      </c>
      <c r="J19" s="20">
        <v>3.3249899999999999E-3</v>
      </c>
      <c r="K19" s="21">
        <v>27.07</v>
      </c>
      <c r="L19" s="21">
        <v>27.08</v>
      </c>
      <c r="M19" s="21">
        <v>-0.01</v>
      </c>
      <c r="N19" s="20">
        <v>5.4356679999999997E-2</v>
      </c>
      <c r="O19" s="20">
        <v>3.5606239999999997E-2</v>
      </c>
      <c r="P19" s="20">
        <v>1.875044E-2</v>
      </c>
      <c r="Q19" s="20">
        <v>8.5559099999999999E-3</v>
      </c>
      <c r="R19" s="20">
        <v>-1.890725E-2</v>
      </c>
      <c r="S19" s="20">
        <v>2.746316E-2</v>
      </c>
      <c r="T19" s="19"/>
      <c r="U19" s="20">
        <f t="shared" si="5"/>
        <v>3.4988699999999873E-3</v>
      </c>
      <c r="V19" s="20">
        <f t="shared" si="6"/>
        <v>1.6624999999999834E-3</v>
      </c>
      <c r="W19" s="20"/>
      <c r="X19" s="20"/>
      <c r="Y19" s="22">
        <f t="shared" si="0"/>
        <v>5.4356679999999997E-2</v>
      </c>
      <c r="Z19" s="22">
        <f t="shared" si="1"/>
        <v>8.5559099999999999E-3</v>
      </c>
      <c r="AA19" s="22">
        <f t="shared" si="2"/>
        <v>3.5606239999999997E-2</v>
      </c>
      <c r="AB19" s="22">
        <f t="shared" si="3"/>
        <v>-1.890725E-2</v>
      </c>
      <c r="AC19" s="23">
        <f t="shared" ref="AC19:AC34" si="10">IF(Y19="","",DEGREES(ASIN(SQRT(Y19^2+Z19^2))))</f>
        <v>3.154346363638338</v>
      </c>
      <c r="AD19" s="23">
        <f t="shared" ref="AD19:AD34" si="11">IF(AA19="","",DEGREES(ASIN(SQRT(AA19^2+AB19^2))))</f>
        <v>2.310497839115635</v>
      </c>
      <c r="AE19" s="23">
        <f t="shared" ref="AE19:AE34" si="12">IF(Y19="","",MOD(DEGREES(ATAN2(Y19,Z19)),360))</f>
        <v>8.9451410682349071</v>
      </c>
      <c r="AF19" s="23">
        <f t="shared" si="4"/>
        <v>8.6566297282349076</v>
      </c>
    </row>
    <row r="20" spans="1:32" x14ac:dyDescent="0.25">
      <c r="A20" s="14">
        <v>18</v>
      </c>
      <c r="B20" s="14" t="s">
        <v>68</v>
      </c>
      <c r="C20" s="14">
        <v>22.5</v>
      </c>
      <c r="D20" s="14">
        <v>13</v>
      </c>
      <c r="E20" s="15">
        <v>-0.29370000000000002</v>
      </c>
      <c r="F20" s="15">
        <v>-0.29255004000000001</v>
      </c>
      <c r="G20" s="15">
        <v>-1.1499800000000001E-3</v>
      </c>
      <c r="H20" s="15">
        <v>0.43161931999999997</v>
      </c>
      <c r="I20" s="15">
        <v>0.42622704</v>
      </c>
      <c r="J20" s="15">
        <v>5.3922800000000002E-3</v>
      </c>
      <c r="K20" s="18">
        <v>27.05</v>
      </c>
      <c r="L20" s="18">
        <v>27.05</v>
      </c>
      <c r="M20" s="18">
        <v>0</v>
      </c>
      <c r="N20" s="15">
        <v>5.9310210000000002E-2</v>
      </c>
      <c r="O20" s="15">
        <v>2.9852770000000001E-2</v>
      </c>
      <c r="P20" s="15">
        <v>2.945745E-2</v>
      </c>
      <c r="Q20" s="15">
        <v>3.5907500000000002E-3</v>
      </c>
      <c r="R20" s="15">
        <v>-1.383057E-2</v>
      </c>
      <c r="S20" s="15">
        <v>1.7421309999999999E-2</v>
      </c>
      <c r="T20" s="14"/>
      <c r="U20" s="15">
        <f t="shared" si="5"/>
        <v>5.7498000000000271E-4</v>
      </c>
      <c r="V20" s="15">
        <f t="shared" si="6"/>
        <v>2.6961399999999858E-3</v>
      </c>
      <c r="W20" s="15"/>
      <c r="X20" s="15"/>
      <c r="Y20" s="16">
        <f t="shared" si="0"/>
        <v>5.9310210000000002E-2</v>
      </c>
      <c r="Z20" s="16">
        <f t="shared" si="1"/>
        <v>3.5907500000000002E-3</v>
      </c>
      <c r="AA20" s="16">
        <f t="shared" si="2"/>
        <v>2.9852770000000001E-2</v>
      </c>
      <c r="AB20" s="16">
        <f t="shared" si="3"/>
        <v>-1.383057E-2</v>
      </c>
      <c r="AC20" s="17">
        <f t="shared" si="10"/>
        <v>3.406453278686385</v>
      </c>
      <c r="AD20" s="17">
        <f t="shared" si="11"/>
        <v>1.8854258630963732</v>
      </c>
      <c r="AE20" s="17">
        <f t="shared" si="12"/>
        <v>3.4645638684424789</v>
      </c>
      <c r="AF20" s="17">
        <f t="shared" si="4"/>
        <v>3.1720138284424788</v>
      </c>
    </row>
    <row r="21" spans="1:32" x14ac:dyDescent="0.25">
      <c r="A21" s="14">
        <v>19</v>
      </c>
      <c r="B21" s="14" t="s">
        <v>68</v>
      </c>
      <c r="C21" s="14">
        <v>45</v>
      </c>
      <c r="D21" s="14">
        <v>19</v>
      </c>
      <c r="E21" s="15">
        <v>-0.29688162000000001</v>
      </c>
      <c r="F21" s="15">
        <v>-0.29114210000000001</v>
      </c>
      <c r="G21" s="15">
        <v>-5.7395099999999998E-3</v>
      </c>
      <c r="H21" s="15">
        <v>0.43142900000000001</v>
      </c>
      <c r="I21" s="15">
        <v>0.42643160000000002</v>
      </c>
      <c r="J21" s="15">
        <v>4.9973999999999999E-3</v>
      </c>
      <c r="K21" s="18">
        <v>27.05</v>
      </c>
      <c r="L21" s="18">
        <v>27.06</v>
      </c>
      <c r="M21" s="18">
        <v>-0.01</v>
      </c>
      <c r="N21" s="15">
        <v>6.2876100000000004E-2</v>
      </c>
      <c r="O21" s="15">
        <v>2.759766E-2</v>
      </c>
      <c r="P21" s="15">
        <v>3.5278450000000003E-2</v>
      </c>
      <c r="Q21" s="15">
        <v>-2.6391600000000002E-3</v>
      </c>
      <c r="R21" s="15">
        <v>-7.6673000000000002E-3</v>
      </c>
      <c r="S21" s="15">
        <v>5.0281400000000004E-3</v>
      </c>
      <c r="T21" s="14"/>
      <c r="U21" s="15">
        <f t="shared" si="5"/>
        <v>2.869759999999999E-3</v>
      </c>
      <c r="V21" s="15">
        <f t="shared" si="6"/>
        <v>2.4986999999999926E-3</v>
      </c>
      <c r="W21" s="15"/>
      <c r="X21" s="15"/>
      <c r="Y21" s="16">
        <f t="shared" si="0"/>
        <v>6.2876100000000004E-2</v>
      </c>
      <c r="Z21" s="16">
        <f t="shared" si="1"/>
        <v>-2.6391600000000002E-3</v>
      </c>
      <c r="AA21" s="16">
        <f t="shared" si="2"/>
        <v>2.759766E-2</v>
      </c>
      <c r="AB21" s="16">
        <f t="shared" si="3"/>
        <v>-7.6673000000000002E-3</v>
      </c>
      <c r="AC21" s="17">
        <f t="shared" si="10"/>
        <v>3.6080915057140239</v>
      </c>
      <c r="AD21" s="17">
        <f t="shared" si="11"/>
        <v>1.6413443735151292</v>
      </c>
      <c r="AE21" s="17">
        <f t="shared" si="12"/>
        <v>357.59647910296758</v>
      </c>
      <c r="AF21" s="17">
        <f t="shared" si="4"/>
        <v>357.30533700296758</v>
      </c>
    </row>
    <row r="22" spans="1:32" x14ac:dyDescent="0.25">
      <c r="A22" s="14">
        <v>20</v>
      </c>
      <c r="B22" s="14" t="s">
        <v>68</v>
      </c>
      <c r="C22" s="14">
        <v>67.5</v>
      </c>
      <c r="D22" s="14">
        <v>14</v>
      </c>
      <c r="E22" s="15">
        <v>-0.28772500000000001</v>
      </c>
      <c r="F22" s="15">
        <v>-0.28170709999999999</v>
      </c>
      <c r="G22" s="15">
        <v>-6.0178899999999997E-3</v>
      </c>
      <c r="H22" s="15">
        <v>0.41733935999999999</v>
      </c>
      <c r="I22" s="15">
        <v>0.40912868000000002</v>
      </c>
      <c r="J22" s="15">
        <v>8.2106899999999997E-3</v>
      </c>
      <c r="K22" s="18">
        <v>27.21</v>
      </c>
      <c r="L22" s="18">
        <v>27.2</v>
      </c>
      <c r="M22" s="18">
        <v>0.02</v>
      </c>
      <c r="N22" s="15">
        <v>6.0698599999999998E-2</v>
      </c>
      <c r="O22" s="15">
        <v>2.7320730000000001E-2</v>
      </c>
      <c r="P22" s="15">
        <v>3.3377860000000002E-2</v>
      </c>
      <c r="Q22" s="15">
        <v>-9.8711300000000005E-3</v>
      </c>
      <c r="R22" s="15">
        <v>-7.1341000000000004E-4</v>
      </c>
      <c r="S22" s="15">
        <v>-9.1577199999999994E-3</v>
      </c>
      <c r="T22" s="14"/>
      <c r="U22" s="15">
        <f t="shared" si="5"/>
        <v>3.0089500000000102E-3</v>
      </c>
      <c r="V22" s="15">
        <f t="shared" si="6"/>
        <v>4.1053399999999851E-3</v>
      </c>
      <c r="W22" s="15"/>
      <c r="X22" s="15"/>
      <c r="Y22" s="16">
        <f t="shared" si="0"/>
        <v>6.0698599999999998E-2</v>
      </c>
      <c r="Z22" s="16">
        <f t="shared" si="1"/>
        <v>-9.8711300000000005E-3</v>
      </c>
      <c r="AA22" s="16">
        <f t="shared" si="2"/>
        <v>2.7320730000000001E-2</v>
      </c>
      <c r="AB22" s="16">
        <f t="shared" si="3"/>
        <v>-7.1341000000000004E-4</v>
      </c>
      <c r="AC22" s="17">
        <f t="shared" si="10"/>
        <v>3.5256864334868463</v>
      </c>
      <c r="AD22" s="17">
        <f t="shared" si="11"/>
        <v>1.5660911102365169</v>
      </c>
      <c r="AE22" s="17">
        <f t="shared" si="12"/>
        <v>350.7631176240028</v>
      </c>
      <c r="AF22" s="17">
        <f t="shared" si="4"/>
        <v>350.4814105240028</v>
      </c>
    </row>
    <row r="23" spans="1:32" x14ac:dyDescent="0.25">
      <c r="A23" s="14">
        <v>21</v>
      </c>
      <c r="B23" s="14" t="s">
        <v>68</v>
      </c>
      <c r="C23" s="14">
        <v>90</v>
      </c>
      <c r="D23" s="14">
        <v>19</v>
      </c>
      <c r="E23" s="15">
        <v>-0.29941842000000002</v>
      </c>
      <c r="F23" s="15">
        <v>-0.30256316</v>
      </c>
      <c r="G23" s="15">
        <v>3.14474E-3</v>
      </c>
      <c r="H23" s="15">
        <v>0.44121051999999999</v>
      </c>
      <c r="I23" s="15">
        <v>0.43437900000000002</v>
      </c>
      <c r="J23" s="15">
        <v>6.8315600000000004E-3</v>
      </c>
      <c r="K23" s="18">
        <v>26.99</v>
      </c>
      <c r="L23" s="18">
        <v>27.01</v>
      </c>
      <c r="M23" s="18">
        <v>-0.02</v>
      </c>
      <c r="N23" s="15">
        <v>5.8950450000000001E-2</v>
      </c>
      <c r="O23" s="15">
        <v>3.1317329999999997E-2</v>
      </c>
      <c r="P23" s="15">
        <v>2.7633120000000001E-2</v>
      </c>
      <c r="Q23" s="15">
        <v>-1.511449E-2</v>
      </c>
      <c r="R23" s="15">
        <v>5.1251500000000002E-3</v>
      </c>
      <c r="S23" s="15">
        <v>-2.0239650000000001E-2</v>
      </c>
      <c r="T23" s="14"/>
      <c r="U23" s="15">
        <f t="shared" si="5"/>
        <v>-1.5723699999999896E-3</v>
      </c>
      <c r="V23" s="15">
        <f t="shared" si="6"/>
        <v>3.4157599999999899E-3</v>
      </c>
      <c r="W23" s="15"/>
      <c r="X23" s="15"/>
      <c r="Y23" s="16">
        <f t="shared" si="0"/>
        <v>5.8950450000000001E-2</v>
      </c>
      <c r="Z23" s="16">
        <f t="shared" si="1"/>
        <v>-1.511449E-2</v>
      </c>
      <c r="AA23" s="16">
        <f t="shared" si="2"/>
        <v>3.1317329999999997E-2</v>
      </c>
      <c r="AB23" s="16">
        <f t="shared" si="3"/>
        <v>5.1251500000000002E-3</v>
      </c>
      <c r="AC23" s="17">
        <f t="shared" si="10"/>
        <v>3.4890187860983284</v>
      </c>
      <c r="AD23" s="17">
        <f t="shared" si="11"/>
        <v>1.8185255723995704</v>
      </c>
      <c r="AE23" s="17">
        <f t="shared" si="12"/>
        <v>345.61952650485551</v>
      </c>
      <c r="AF23" s="17">
        <f t="shared" si="4"/>
        <v>345.31696334485554</v>
      </c>
    </row>
    <row r="24" spans="1:32" x14ac:dyDescent="0.25">
      <c r="A24" s="14">
        <v>22</v>
      </c>
      <c r="B24" s="14" t="s">
        <v>68</v>
      </c>
      <c r="C24" s="14">
        <v>112.5</v>
      </c>
      <c r="D24" s="14">
        <v>15</v>
      </c>
      <c r="E24" s="15">
        <v>-0.28924664</v>
      </c>
      <c r="F24" s="15">
        <v>-0.29298007999999998</v>
      </c>
      <c r="G24" s="15">
        <v>3.7334299999999998E-3</v>
      </c>
      <c r="H24" s="15">
        <v>0.42703004</v>
      </c>
      <c r="I24" s="15">
        <v>0.42411335999999999</v>
      </c>
      <c r="J24" s="15">
        <v>2.9166600000000002E-3</v>
      </c>
      <c r="K24" s="18">
        <v>27.11</v>
      </c>
      <c r="L24" s="18">
        <v>27.11</v>
      </c>
      <c r="M24" s="18">
        <v>0</v>
      </c>
      <c r="N24" s="15">
        <v>5.3006360000000002E-2</v>
      </c>
      <c r="O24" s="15">
        <v>3.5494949999999997E-2</v>
      </c>
      <c r="P24" s="15">
        <v>1.75114E-2</v>
      </c>
      <c r="Q24" s="15">
        <v>-1.9895340000000001E-2</v>
      </c>
      <c r="R24" s="15">
        <v>9.7195600000000004E-3</v>
      </c>
      <c r="S24" s="15">
        <v>-2.9614910000000001E-2</v>
      </c>
      <c r="T24" s="14"/>
      <c r="U24" s="15">
        <f t="shared" si="5"/>
        <v>-1.8667199999999884E-3</v>
      </c>
      <c r="V24" s="15">
        <f t="shared" si="6"/>
        <v>1.4583400000000024E-3</v>
      </c>
      <c r="W24" s="15"/>
      <c r="X24" s="15"/>
      <c r="Y24" s="16">
        <f t="shared" si="0"/>
        <v>5.3006360000000002E-2</v>
      </c>
      <c r="Z24" s="16">
        <f t="shared" si="1"/>
        <v>-1.9895340000000001E-2</v>
      </c>
      <c r="AA24" s="16">
        <f t="shared" si="2"/>
        <v>3.5494949999999997E-2</v>
      </c>
      <c r="AB24" s="16">
        <f t="shared" si="3"/>
        <v>9.7195600000000004E-3</v>
      </c>
      <c r="AC24" s="17">
        <f t="shared" si="10"/>
        <v>3.2456578350592191</v>
      </c>
      <c r="AD24" s="17">
        <f t="shared" si="11"/>
        <v>2.1090553835359729</v>
      </c>
      <c r="AE24" s="17">
        <f t="shared" si="12"/>
        <v>339.42694147105897</v>
      </c>
      <c r="AF24" s="17">
        <f t="shared" si="4"/>
        <v>339.13396139105896</v>
      </c>
    </row>
    <row r="25" spans="1:32" x14ac:dyDescent="0.25">
      <c r="A25" s="14">
        <v>23</v>
      </c>
      <c r="B25" s="14" t="s">
        <v>68</v>
      </c>
      <c r="C25" s="14">
        <v>135</v>
      </c>
      <c r="D25" s="14">
        <v>14</v>
      </c>
      <c r="E25" s="15">
        <v>-0.29824640000000002</v>
      </c>
      <c r="F25" s="15">
        <v>-0.30047504000000003</v>
      </c>
      <c r="G25" s="15">
        <v>2.2286200000000002E-3</v>
      </c>
      <c r="H25" s="15">
        <v>0.43806427999999997</v>
      </c>
      <c r="I25" s="15">
        <v>0.43980000000000002</v>
      </c>
      <c r="J25" s="15">
        <v>-1.7357500000000001E-3</v>
      </c>
      <c r="K25" s="18">
        <v>26.95</v>
      </c>
      <c r="L25" s="18">
        <v>26.96</v>
      </c>
      <c r="M25" s="18">
        <v>-0.01</v>
      </c>
      <c r="N25" s="15">
        <v>4.731759E-2</v>
      </c>
      <c r="O25" s="15">
        <v>4.1354109999999999E-2</v>
      </c>
      <c r="P25" s="15">
        <v>5.9634800000000002E-3</v>
      </c>
      <c r="Q25" s="15">
        <v>-2.1906390000000001E-2</v>
      </c>
      <c r="R25" s="15">
        <v>1.195923E-2</v>
      </c>
      <c r="S25" s="15">
        <v>-3.3865619999999999E-2</v>
      </c>
      <c r="T25" s="14"/>
      <c r="U25" s="15">
        <f t="shared" si="5"/>
        <v>-1.114320000000002E-3</v>
      </c>
      <c r="V25" s="15">
        <f t="shared" si="6"/>
        <v>-8.6786000000002583E-4</v>
      </c>
      <c r="W25" s="15"/>
      <c r="X25" s="15"/>
      <c r="Y25" s="16">
        <f t="shared" si="0"/>
        <v>4.731759E-2</v>
      </c>
      <c r="Z25" s="16">
        <f t="shared" si="1"/>
        <v>-2.1906390000000001E-2</v>
      </c>
      <c r="AA25" s="16">
        <f t="shared" si="2"/>
        <v>4.1354109999999999E-2</v>
      </c>
      <c r="AB25" s="16">
        <f t="shared" si="3"/>
        <v>1.195923E-2</v>
      </c>
      <c r="AC25" s="17">
        <f t="shared" si="10"/>
        <v>2.9889027862780488</v>
      </c>
      <c r="AD25" s="17">
        <f t="shared" si="11"/>
        <v>2.4672679637951687</v>
      </c>
      <c r="AE25" s="17">
        <f t="shared" si="12"/>
        <v>335.15751284128748</v>
      </c>
      <c r="AF25" s="17">
        <f t="shared" si="4"/>
        <v>334.8570378012875</v>
      </c>
    </row>
    <row r="26" spans="1:32" x14ac:dyDescent="0.25">
      <c r="A26" s="14">
        <v>24</v>
      </c>
      <c r="B26" s="14" t="s">
        <v>68</v>
      </c>
      <c r="C26" s="14">
        <v>157.5</v>
      </c>
      <c r="D26" s="14">
        <v>14</v>
      </c>
      <c r="E26" s="15">
        <v>-0.28955715999999998</v>
      </c>
      <c r="F26" s="15">
        <v>-0.29158213999999999</v>
      </c>
      <c r="G26" s="15">
        <v>2.02498E-3</v>
      </c>
      <c r="H26" s="15">
        <v>0.43129284000000001</v>
      </c>
      <c r="I26" s="15">
        <v>0.43316791999999998</v>
      </c>
      <c r="J26" s="15">
        <v>-1.8751E-3</v>
      </c>
      <c r="K26" s="18">
        <v>27.06</v>
      </c>
      <c r="L26" s="18">
        <v>27.07</v>
      </c>
      <c r="M26" s="18">
        <v>-0.01</v>
      </c>
      <c r="N26" s="15">
        <v>4.0192520000000002E-2</v>
      </c>
      <c r="O26" s="15">
        <v>4.8756279999999999E-2</v>
      </c>
      <c r="P26" s="15">
        <v>-8.5637600000000001E-3</v>
      </c>
      <c r="Q26" s="15">
        <v>-2.1677769999999999E-2</v>
      </c>
      <c r="R26" s="15">
        <v>1.1548549999999999E-2</v>
      </c>
      <c r="S26" s="15">
        <v>-3.3226319999999997E-2</v>
      </c>
      <c r="T26" s="14"/>
      <c r="U26" s="15">
        <f t="shared" si="5"/>
        <v>-1.0124900000000048E-3</v>
      </c>
      <c r="V26" s="15">
        <f t="shared" si="6"/>
        <v>-9.3753999999998672E-4</v>
      </c>
      <c r="W26" s="15"/>
      <c r="X26" s="15"/>
      <c r="Y26" s="16">
        <f t="shared" si="0"/>
        <v>4.0192520000000002E-2</v>
      </c>
      <c r="Z26" s="16">
        <f t="shared" si="1"/>
        <v>-2.1677769999999999E-2</v>
      </c>
      <c r="AA26" s="16">
        <f t="shared" si="2"/>
        <v>4.8756279999999999E-2</v>
      </c>
      <c r="AB26" s="16">
        <f t="shared" si="3"/>
        <v>1.1548549999999999E-2</v>
      </c>
      <c r="AC26" s="17">
        <f t="shared" si="10"/>
        <v>2.6173672671536985</v>
      </c>
      <c r="AD26" s="17">
        <f t="shared" si="11"/>
        <v>2.8720263789995681</v>
      </c>
      <c r="AE26" s="17">
        <f t="shared" si="12"/>
        <v>331.659868255655</v>
      </c>
      <c r="AF26" s="17">
        <f t="shared" si="4"/>
        <v>331.368286115655</v>
      </c>
    </row>
    <row r="27" spans="1:32" x14ac:dyDescent="0.25">
      <c r="A27" s="14">
        <v>25</v>
      </c>
      <c r="B27" s="14" t="s">
        <v>68</v>
      </c>
      <c r="C27" s="14">
        <v>180</v>
      </c>
      <c r="D27" s="14">
        <v>17</v>
      </c>
      <c r="E27" s="15">
        <v>-0.29253825999999999</v>
      </c>
      <c r="F27" s="15">
        <v>-0.29291768000000001</v>
      </c>
      <c r="G27" s="15">
        <v>3.7941E-4</v>
      </c>
      <c r="H27" s="15">
        <v>0.42441180000000001</v>
      </c>
      <c r="I27" s="15">
        <v>0.43121472</v>
      </c>
      <c r="J27" s="15">
        <v>-6.8029199999999996E-3</v>
      </c>
      <c r="K27" s="18">
        <v>27.06</v>
      </c>
      <c r="L27" s="18">
        <v>27.07</v>
      </c>
      <c r="M27" s="18">
        <v>-0.01</v>
      </c>
      <c r="N27" s="15">
        <v>3.3978769999999998E-2</v>
      </c>
      <c r="O27" s="15">
        <v>5.4309799999999998E-2</v>
      </c>
      <c r="P27" s="15">
        <v>-2.033103E-2</v>
      </c>
      <c r="Q27" s="15">
        <v>-1.8810319999999998E-2</v>
      </c>
      <c r="R27" s="15">
        <v>8.6550700000000008E-3</v>
      </c>
      <c r="S27" s="15">
        <v>-2.7465389999999999E-2</v>
      </c>
      <c r="T27" s="14"/>
      <c r="U27" s="15">
        <f t="shared" si="5"/>
        <v>-1.8971000000000959E-4</v>
      </c>
      <c r="V27" s="15">
        <f t="shared" si="6"/>
        <v>-3.401459999999995E-3</v>
      </c>
      <c r="W27" s="15"/>
      <c r="X27" s="15"/>
      <c r="Y27" s="16">
        <f t="shared" si="0"/>
        <v>3.3978769999999998E-2</v>
      </c>
      <c r="Z27" s="16">
        <f t="shared" si="1"/>
        <v>-1.8810319999999998E-2</v>
      </c>
      <c r="AA27" s="16">
        <f t="shared" si="2"/>
        <v>5.4309799999999998E-2</v>
      </c>
      <c r="AB27" s="16">
        <f t="shared" si="3"/>
        <v>8.6550700000000008E-3</v>
      </c>
      <c r="AC27" s="17">
        <f t="shared" si="10"/>
        <v>2.2258093813830451</v>
      </c>
      <c r="AD27" s="17">
        <f t="shared" si="11"/>
        <v>3.152579501432029</v>
      </c>
      <c r="AE27" s="17">
        <f t="shared" si="12"/>
        <v>331.03150847294285</v>
      </c>
      <c r="AF27" s="17">
        <f t="shared" si="4"/>
        <v>330.73859079294283</v>
      </c>
    </row>
    <row r="28" spans="1:32" x14ac:dyDescent="0.25">
      <c r="A28" s="14">
        <v>26</v>
      </c>
      <c r="B28" s="14" t="s">
        <v>68</v>
      </c>
      <c r="C28" s="14">
        <v>202.5</v>
      </c>
      <c r="D28" s="14">
        <v>19</v>
      </c>
      <c r="E28" s="15">
        <v>-0.28408159999999999</v>
      </c>
      <c r="F28" s="15">
        <v>-0.28991309999999998</v>
      </c>
      <c r="G28" s="15">
        <v>5.83148E-3</v>
      </c>
      <c r="H28" s="15">
        <v>0.42025795999999999</v>
      </c>
      <c r="I28" s="15">
        <v>0.42233167999999999</v>
      </c>
      <c r="J28" s="15">
        <v>-2.0737099999999999E-3</v>
      </c>
      <c r="K28" s="18">
        <v>27.19</v>
      </c>
      <c r="L28" s="18">
        <v>27.19</v>
      </c>
      <c r="M28" s="18">
        <v>0</v>
      </c>
      <c r="N28" s="15">
        <v>2.951647E-2</v>
      </c>
      <c r="O28" s="15">
        <v>5.9222990000000003E-2</v>
      </c>
      <c r="P28" s="15">
        <v>-2.970652E-2</v>
      </c>
      <c r="Q28" s="15">
        <v>-1.3675730000000001E-2</v>
      </c>
      <c r="R28" s="15">
        <v>3.5184499999999998E-3</v>
      </c>
      <c r="S28" s="15">
        <v>-1.719418E-2</v>
      </c>
      <c r="T28" s="14"/>
      <c r="U28" s="15">
        <f t="shared" si="5"/>
        <v>-2.9157499999999947E-3</v>
      </c>
      <c r="V28" s="15">
        <f t="shared" si="6"/>
        <v>-1.0368600000000006E-3</v>
      </c>
      <c r="W28" s="15"/>
      <c r="X28" s="15"/>
      <c r="Y28" s="16">
        <f t="shared" si="0"/>
        <v>2.951647E-2</v>
      </c>
      <c r="Z28" s="16">
        <f t="shared" si="1"/>
        <v>-1.3675730000000001E-2</v>
      </c>
      <c r="AA28" s="16">
        <f t="shared" si="2"/>
        <v>5.9222990000000003E-2</v>
      </c>
      <c r="AB28" s="16">
        <f t="shared" si="3"/>
        <v>3.5184499999999998E-3</v>
      </c>
      <c r="AC28" s="17">
        <f t="shared" si="10"/>
        <v>1.8642017236413715</v>
      </c>
      <c r="AD28" s="17">
        <f t="shared" si="11"/>
        <v>3.4012076457141305</v>
      </c>
      <c r="AE28" s="17">
        <f t="shared" si="12"/>
        <v>335.14051287359149</v>
      </c>
      <c r="AF28" s="17">
        <f t="shared" si="4"/>
        <v>334.85059977359151</v>
      </c>
    </row>
    <row r="29" spans="1:32" x14ac:dyDescent="0.25">
      <c r="A29" s="14">
        <v>27</v>
      </c>
      <c r="B29" s="14" t="s">
        <v>68</v>
      </c>
      <c r="C29" s="14">
        <v>225</v>
      </c>
      <c r="D29" s="14">
        <v>16</v>
      </c>
      <c r="E29" s="15">
        <v>-0.28522493999999998</v>
      </c>
      <c r="F29" s="15">
        <v>-0.28741559999999999</v>
      </c>
      <c r="G29" s="15">
        <v>2.1906500000000001E-3</v>
      </c>
      <c r="H29" s="15">
        <v>0.41355947999999998</v>
      </c>
      <c r="I29" s="15">
        <v>0.41993444000000002</v>
      </c>
      <c r="J29" s="15">
        <v>-6.3749799999999997E-3</v>
      </c>
      <c r="K29" s="18">
        <v>27.19</v>
      </c>
      <c r="L29" s="18">
        <v>27.2</v>
      </c>
      <c r="M29" s="18">
        <v>0</v>
      </c>
      <c r="N29" s="15">
        <v>2.7260739999999999E-2</v>
      </c>
      <c r="O29" s="15">
        <v>6.0891420000000002E-2</v>
      </c>
      <c r="P29" s="15">
        <v>-3.3630680000000003E-2</v>
      </c>
      <c r="Q29" s="15">
        <v>-7.2950699999999999E-3</v>
      </c>
      <c r="R29" s="15">
        <v>-2.6582300000000001E-3</v>
      </c>
      <c r="S29" s="15">
        <v>-4.6368399999999997E-3</v>
      </c>
      <c r="T29" s="14"/>
      <c r="U29" s="15">
        <f t="shared" si="5"/>
        <v>-1.0953300000000055E-3</v>
      </c>
      <c r="V29" s="15">
        <f t="shared" si="6"/>
        <v>-3.1874800000000203E-3</v>
      </c>
      <c r="W29" s="15"/>
      <c r="X29" s="15"/>
      <c r="Y29" s="16">
        <f t="shared" si="0"/>
        <v>2.7260739999999999E-2</v>
      </c>
      <c r="Z29" s="16">
        <f t="shared" si="1"/>
        <v>-7.2950699999999999E-3</v>
      </c>
      <c r="AA29" s="16">
        <f t="shared" si="2"/>
        <v>6.0891420000000002E-2</v>
      </c>
      <c r="AB29" s="16">
        <f t="shared" si="3"/>
        <v>-2.6582300000000001E-3</v>
      </c>
      <c r="AC29" s="17">
        <f t="shared" si="10"/>
        <v>1.6170991352348278</v>
      </c>
      <c r="AD29" s="17">
        <f t="shared" si="11"/>
        <v>3.4943099996769997</v>
      </c>
      <c r="AE29" s="17">
        <f t="shared" si="12"/>
        <v>345.01848041039977</v>
      </c>
      <c r="AF29" s="17">
        <f t="shared" si="4"/>
        <v>344.7310648103998</v>
      </c>
    </row>
    <row r="30" spans="1:32" x14ac:dyDescent="0.25">
      <c r="A30" s="14">
        <v>28</v>
      </c>
      <c r="B30" s="14" t="s">
        <v>68</v>
      </c>
      <c r="C30" s="14">
        <v>247.5</v>
      </c>
      <c r="D30" s="14">
        <v>11</v>
      </c>
      <c r="E30" s="15">
        <v>-0.28830908</v>
      </c>
      <c r="F30" s="15">
        <v>-0.28657272</v>
      </c>
      <c r="G30" s="15">
        <v>-1.7363400000000001E-3</v>
      </c>
      <c r="H30" s="15">
        <v>0.41885467999999998</v>
      </c>
      <c r="I30" s="15">
        <v>0.42488643999999998</v>
      </c>
      <c r="J30" s="15">
        <v>-6.0317499999999998E-3</v>
      </c>
      <c r="K30" s="18">
        <v>27.11</v>
      </c>
      <c r="L30" s="18">
        <v>27.11</v>
      </c>
      <c r="M30" s="18">
        <v>0</v>
      </c>
      <c r="N30" s="15">
        <v>2.775213E-2</v>
      </c>
      <c r="O30" s="15">
        <v>6.1082209999999998E-2</v>
      </c>
      <c r="P30" s="15">
        <v>-3.3330079999999998E-2</v>
      </c>
      <c r="Q30" s="15">
        <v>-7.8746000000000003E-4</v>
      </c>
      <c r="R30" s="15">
        <v>-9.3206199999999999E-3</v>
      </c>
      <c r="S30" s="15">
        <v>8.5331599999999997E-3</v>
      </c>
      <c r="T30" s="14"/>
      <c r="U30" s="15">
        <f t="shared" si="5"/>
        <v>8.6817999999999618E-4</v>
      </c>
      <c r="V30" s="15">
        <f t="shared" si="6"/>
        <v>-3.0158799999999986E-3</v>
      </c>
      <c r="W30" s="15"/>
      <c r="X30" s="15"/>
      <c r="Y30" s="16">
        <f t="shared" si="0"/>
        <v>2.775213E-2</v>
      </c>
      <c r="Z30" s="16">
        <f t="shared" si="1"/>
        <v>-7.8746000000000003E-4</v>
      </c>
      <c r="AA30" s="16">
        <f t="shared" si="2"/>
        <v>6.1082209999999998E-2</v>
      </c>
      <c r="AB30" s="16">
        <f t="shared" si="3"/>
        <v>-9.3206199999999999E-3</v>
      </c>
      <c r="AC30" s="17">
        <f t="shared" si="10"/>
        <v>1.5909243264185859</v>
      </c>
      <c r="AD30" s="17">
        <f t="shared" si="11"/>
        <v>3.5425193570350086</v>
      </c>
      <c r="AE30" s="17">
        <f t="shared" si="12"/>
        <v>358.37468216772015</v>
      </c>
      <c r="AF30" s="17">
        <f t="shared" si="4"/>
        <v>358.08810944772017</v>
      </c>
    </row>
    <row r="31" spans="1:32" x14ac:dyDescent="0.25">
      <c r="A31" s="14">
        <v>29</v>
      </c>
      <c r="B31" s="14" t="s">
        <v>68</v>
      </c>
      <c r="C31" s="14">
        <v>270</v>
      </c>
      <c r="D31" s="14">
        <v>11</v>
      </c>
      <c r="E31" s="15">
        <v>-0.29598184</v>
      </c>
      <c r="F31" s="15">
        <v>-0.29402728</v>
      </c>
      <c r="G31" s="15">
        <v>-1.95459E-3</v>
      </c>
      <c r="H31" s="15">
        <v>0.43159544</v>
      </c>
      <c r="I31" s="15">
        <v>0.43922728</v>
      </c>
      <c r="J31" s="15">
        <v>-7.63184E-3</v>
      </c>
      <c r="K31" s="18">
        <v>26.98</v>
      </c>
      <c r="L31" s="18">
        <v>26.99</v>
      </c>
      <c r="M31" s="18">
        <v>0</v>
      </c>
      <c r="N31" s="15">
        <v>3.1063790000000001E-2</v>
      </c>
      <c r="O31" s="15">
        <v>6.0400389999999998E-2</v>
      </c>
      <c r="P31" s="15">
        <v>-2.9336600000000001E-2</v>
      </c>
      <c r="Q31" s="15">
        <v>4.9369699999999997E-3</v>
      </c>
      <c r="R31" s="15">
        <v>-1.487394E-2</v>
      </c>
      <c r="S31" s="15">
        <v>1.9810899999999999E-2</v>
      </c>
      <c r="T31" s="14"/>
      <c r="U31" s="15">
        <f t="shared" si="5"/>
        <v>9.7727999999999704E-4</v>
      </c>
      <c r="V31" s="15">
        <f t="shared" si="6"/>
        <v>-3.8159200000000004E-3</v>
      </c>
      <c r="W31" s="15"/>
      <c r="X31" s="15"/>
      <c r="Y31" s="16">
        <f t="shared" si="0"/>
        <v>3.1063790000000001E-2</v>
      </c>
      <c r="Z31" s="16">
        <f t="shared" si="1"/>
        <v>4.9369699999999997E-3</v>
      </c>
      <c r="AA31" s="16">
        <f t="shared" si="2"/>
        <v>6.0400389999999998E-2</v>
      </c>
      <c r="AB31" s="16">
        <f t="shared" si="3"/>
        <v>-1.487394E-2</v>
      </c>
      <c r="AC31" s="17">
        <f t="shared" si="10"/>
        <v>1.8024592519470157</v>
      </c>
      <c r="AD31" s="17">
        <f t="shared" si="11"/>
        <v>3.5663768828970848</v>
      </c>
      <c r="AE31" s="17">
        <f t="shared" si="12"/>
        <v>9.0304940872969794</v>
      </c>
      <c r="AF31" s="17">
        <f t="shared" si="4"/>
        <v>8.7364668072969796</v>
      </c>
    </row>
    <row r="32" spans="1:32" x14ac:dyDescent="0.25">
      <c r="A32" s="14">
        <v>30</v>
      </c>
      <c r="B32" s="14" t="s">
        <v>68</v>
      </c>
      <c r="C32" s="14">
        <v>292.5</v>
      </c>
      <c r="D32" s="14">
        <v>16</v>
      </c>
      <c r="E32" s="15">
        <v>-0.29371249999999999</v>
      </c>
      <c r="F32" s="15">
        <v>-0.28830314000000001</v>
      </c>
      <c r="G32" s="15">
        <v>-5.4093600000000002E-3</v>
      </c>
      <c r="H32" s="15">
        <v>0.42008760000000001</v>
      </c>
      <c r="I32" s="15">
        <v>0.42554375999999999</v>
      </c>
      <c r="J32" s="15">
        <v>-5.4561799999999997E-3</v>
      </c>
      <c r="K32" s="18">
        <v>27.12</v>
      </c>
      <c r="L32" s="18">
        <v>27.13</v>
      </c>
      <c r="M32" s="18">
        <v>-0.01</v>
      </c>
      <c r="N32" s="15">
        <v>3.5847469999999999E-2</v>
      </c>
      <c r="O32" s="15">
        <v>5.3449249999999997E-2</v>
      </c>
      <c r="P32" s="15">
        <v>-1.7601780000000001E-2</v>
      </c>
      <c r="Q32" s="15">
        <v>9.6263100000000008E-3</v>
      </c>
      <c r="R32" s="15">
        <v>-1.9705050000000002E-2</v>
      </c>
      <c r="S32" s="15">
        <v>2.9331360000000001E-2</v>
      </c>
      <c r="T32" s="14"/>
      <c r="U32" s="15">
        <f t="shared" si="5"/>
        <v>2.7046799999999871E-3</v>
      </c>
      <c r="V32" s="15">
        <f t="shared" si="6"/>
        <v>-2.7280799999999938E-3</v>
      </c>
      <c r="W32" s="15"/>
      <c r="X32" s="15"/>
      <c r="Y32" s="16">
        <f t="shared" si="0"/>
        <v>3.5847469999999999E-2</v>
      </c>
      <c r="Z32" s="16">
        <f t="shared" si="1"/>
        <v>9.6263100000000008E-3</v>
      </c>
      <c r="AA32" s="16">
        <f t="shared" si="2"/>
        <v>5.3449249999999997E-2</v>
      </c>
      <c r="AB32" s="16">
        <f t="shared" si="3"/>
        <v>-1.9705050000000002E-2</v>
      </c>
      <c r="AC32" s="17">
        <f t="shared" si="10"/>
        <v>2.1271632885001459</v>
      </c>
      <c r="AD32" s="17">
        <f t="shared" si="11"/>
        <v>3.265672289926711</v>
      </c>
      <c r="AE32" s="17">
        <f t="shared" si="12"/>
        <v>15.031325707493012</v>
      </c>
      <c r="AF32" s="17">
        <f t="shared" si="4"/>
        <v>14.743022567493012</v>
      </c>
    </row>
    <row r="33" spans="1:32" x14ac:dyDescent="0.25">
      <c r="A33" s="14">
        <v>31</v>
      </c>
      <c r="B33" s="14" t="s">
        <v>68</v>
      </c>
      <c r="C33" s="14">
        <v>315</v>
      </c>
      <c r="D33" s="14">
        <v>14</v>
      </c>
      <c r="E33" s="15">
        <v>-0.28881783999999999</v>
      </c>
      <c r="F33" s="15">
        <v>-0.28746070000000001</v>
      </c>
      <c r="G33" s="15">
        <v>-1.35714E-3</v>
      </c>
      <c r="H33" s="15">
        <v>0.42305724</v>
      </c>
      <c r="I33" s="15">
        <v>0.42348930000000001</v>
      </c>
      <c r="J33" s="15">
        <v>-4.3204000000000002E-4</v>
      </c>
      <c r="K33" s="18">
        <v>27.12</v>
      </c>
      <c r="L33" s="18">
        <v>27.12</v>
      </c>
      <c r="M33" s="18">
        <v>0</v>
      </c>
      <c r="N33" s="15">
        <v>4.2540460000000002E-2</v>
      </c>
      <c r="O33" s="15">
        <v>4.899746E-2</v>
      </c>
      <c r="P33" s="15">
        <v>-6.4570000000000001E-3</v>
      </c>
      <c r="Q33" s="15">
        <v>1.169765E-2</v>
      </c>
      <c r="R33" s="15">
        <v>-2.192819E-2</v>
      </c>
      <c r="S33" s="15">
        <v>3.3625839999999997E-2</v>
      </c>
      <c r="T33" s="14"/>
      <c r="U33" s="15">
        <f t="shared" si="5"/>
        <v>6.7856999999998946E-4</v>
      </c>
      <c r="V33" s="15">
        <f t="shared" si="6"/>
        <v>-2.1603000000000594E-4</v>
      </c>
      <c r="W33" s="15"/>
      <c r="X33" s="15"/>
      <c r="Y33" s="16">
        <f t="shared" si="0"/>
        <v>4.2540460000000002E-2</v>
      </c>
      <c r="Z33" s="16">
        <f t="shared" si="1"/>
        <v>1.169765E-2</v>
      </c>
      <c r="AA33" s="16">
        <f t="shared" si="2"/>
        <v>4.899746E-2</v>
      </c>
      <c r="AB33" s="16">
        <f t="shared" si="3"/>
        <v>-2.192819E-2</v>
      </c>
      <c r="AC33" s="17">
        <f t="shared" si="10"/>
        <v>2.5286790136297075</v>
      </c>
      <c r="AD33" s="17">
        <f t="shared" si="11"/>
        <v>3.0771454282172486</v>
      </c>
      <c r="AE33" s="17">
        <f t="shared" si="12"/>
        <v>15.375028508151512</v>
      </c>
      <c r="AF33" s="17">
        <f t="shared" si="4"/>
        <v>15.087567808151512</v>
      </c>
    </row>
    <row r="34" spans="1:32" x14ac:dyDescent="0.25">
      <c r="A34" s="14">
        <v>32</v>
      </c>
      <c r="B34" s="14" t="s">
        <v>68</v>
      </c>
      <c r="C34" s="14">
        <v>337.5</v>
      </c>
      <c r="D34" s="14">
        <v>16</v>
      </c>
      <c r="E34" s="15">
        <v>-0.29310004000000001</v>
      </c>
      <c r="F34" s="15">
        <v>-0.28992190000000001</v>
      </c>
      <c r="G34" s="15">
        <v>-3.17812E-3</v>
      </c>
      <c r="H34" s="15">
        <v>0.42594071999999999</v>
      </c>
      <c r="I34" s="15">
        <v>0.42735627999999998</v>
      </c>
      <c r="J34" s="15">
        <v>-1.41555E-3</v>
      </c>
      <c r="K34" s="18">
        <v>27.09</v>
      </c>
      <c r="L34" s="18">
        <v>27.09</v>
      </c>
      <c r="M34" s="18">
        <v>0</v>
      </c>
      <c r="N34" s="15">
        <v>4.8707880000000002E-2</v>
      </c>
      <c r="O34" s="15">
        <v>4.0663900000000003E-2</v>
      </c>
      <c r="P34" s="15">
        <v>8.0439799999999992E-3</v>
      </c>
      <c r="Q34" s="15">
        <v>1.1394039999999999E-2</v>
      </c>
      <c r="R34" s="15">
        <v>-2.1721799999999999E-2</v>
      </c>
      <c r="S34" s="15">
        <v>3.3115840000000001E-2</v>
      </c>
      <c r="T34" s="14"/>
      <c r="U34" s="15">
        <f t="shared" si="5"/>
        <v>1.589069999999998E-3</v>
      </c>
      <c r="V34" s="15">
        <f t="shared" si="6"/>
        <v>-7.0777999999999119E-4</v>
      </c>
      <c r="W34" s="15"/>
      <c r="X34" s="15"/>
      <c r="Y34" s="16">
        <f t="shared" si="0"/>
        <v>4.8707880000000002E-2</v>
      </c>
      <c r="Z34" s="16">
        <f t="shared" si="1"/>
        <v>1.1394039999999999E-2</v>
      </c>
      <c r="AA34" s="16">
        <f t="shared" si="2"/>
        <v>4.0663900000000003E-2</v>
      </c>
      <c r="AB34" s="16">
        <f t="shared" si="3"/>
        <v>-2.1721799999999999E-2</v>
      </c>
      <c r="AC34" s="17">
        <f t="shared" si="10"/>
        <v>2.8672926522328659</v>
      </c>
      <c r="AD34" s="17">
        <f t="shared" si="11"/>
        <v>2.6423834716916708</v>
      </c>
      <c r="AE34" s="17">
        <f t="shared" si="12"/>
        <v>13.166222567895858</v>
      </c>
      <c r="AF34" s="17">
        <f t="shared" si="4"/>
        <v>12.876300667895858</v>
      </c>
    </row>
    <row r="37" spans="1:32" x14ac:dyDescent="0.25">
      <c r="A37">
        <v>1</v>
      </c>
      <c r="C37">
        <v>0</v>
      </c>
      <c r="K37">
        <f>(K3+K19)/2</f>
        <v>27.07</v>
      </c>
      <c r="L37">
        <f>(L3+L19)/2</f>
        <v>27.08</v>
      </c>
      <c r="M37">
        <f>K37-L37</f>
        <v>-9.9999999999980105E-3</v>
      </c>
      <c r="U37">
        <f>(U3+U19)/2</f>
        <v>3.711275E-3</v>
      </c>
      <c r="V37">
        <f>(V3+V19)/2</f>
        <v>5.5889499999998982E-4</v>
      </c>
      <c r="AC37">
        <f>(AC3+AC19)/2</f>
        <v>3.1555876534703389</v>
      </c>
      <c r="AD37">
        <f>(AD3+AD19)/2</f>
        <v>2.306870483176521</v>
      </c>
    </row>
    <row r="38" spans="1:32" x14ac:dyDescent="0.25">
      <c r="A38">
        <v>2</v>
      </c>
      <c r="C38">
        <v>22.5</v>
      </c>
      <c r="K38">
        <f t="shared" ref="K38:L52" si="13">(K4+K20)/2</f>
        <v>27.085000000000001</v>
      </c>
      <c r="L38">
        <f t="shared" si="13"/>
        <v>27.09</v>
      </c>
      <c r="M38">
        <f t="shared" ref="M38:M52" si="14">K38-L38</f>
        <v>-4.9999999999990052E-3</v>
      </c>
      <c r="U38">
        <f t="shared" ref="U38:V52" si="15">(U4+U20)/2</f>
        <v>1.518179999999994E-3</v>
      </c>
      <c r="V38">
        <f t="shared" si="15"/>
        <v>1.4026199999999933E-3</v>
      </c>
      <c r="AC38">
        <f t="shared" ref="AC38:AD52" si="16">(AC4+AC20)/2</f>
        <v>3.3835675592985925</v>
      </c>
      <c r="AD38">
        <f t="shared" si="16"/>
        <v>1.872188935399421</v>
      </c>
    </row>
    <row r="39" spans="1:32" x14ac:dyDescent="0.25">
      <c r="A39">
        <v>3</v>
      </c>
      <c r="C39">
        <v>45</v>
      </c>
      <c r="K39">
        <f t="shared" si="13"/>
        <v>27.064999999999998</v>
      </c>
      <c r="L39">
        <f t="shared" si="13"/>
        <v>27.074999999999999</v>
      </c>
      <c r="M39">
        <f t="shared" si="14"/>
        <v>-1.0000000000001563E-2</v>
      </c>
      <c r="U39">
        <f t="shared" si="15"/>
        <v>1.7390600000000006E-3</v>
      </c>
      <c r="V39">
        <f t="shared" si="15"/>
        <v>2.9918399999999956E-3</v>
      </c>
      <c r="AC39">
        <f t="shared" si="16"/>
        <v>3.5670243886233406</v>
      </c>
      <c r="AD39">
        <f t="shared" si="16"/>
        <v>1.6401943852285921</v>
      </c>
    </row>
    <row r="40" spans="1:32" x14ac:dyDescent="0.25">
      <c r="A40">
        <v>4</v>
      </c>
      <c r="C40">
        <v>67.5</v>
      </c>
      <c r="K40">
        <f t="shared" si="13"/>
        <v>27.07</v>
      </c>
      <c r="L40">
        <f t="shared" si="13"/>
        <v>27.060000000000002</v>
      </c>
      <c r="M40">
        <f t="shared" si="14"/>
        <v>9.9999999999980105E-3</v>
      </c>
      <c r="U40">
        <f t="shared" si="15"/>
        <v>1.673220000000003E-3</v>
      </c>
      <c r="V40">
        <f t="shared" si="15"/>
        <v>3.8160599999999961E-3</v>
      </c>
      <c r="AC40">
        <f t="shared" si="16"/>
        <v>3.5363666236035689</v>
      </c>
      <c r="AD40">
        <f t="shared" si="16"/>
        <v>1.5855846334713319</v>
      </c>
    </row>
    <row r="41" spans="1:32" x14ac:dyDescent="0.25">
      <c r="A41">
        <v>5</v>
      </c>
      <c r="C41">
        <v>90</v>
      </c>
      <c r="K41">
        <f t="shared" si="13"/>
        <v>27.045000000000002</v>
      </c>
      <c r="L41">
        <f t="shared" si="13"/>
        <v>27.055</v>
      </c>
      <c r="M41">
        <f t="shared" si="14"/>
        <v>-9.9999999999980105E-3</v>
      </c>
      <c r="U41">
        <f t="shared" si="15"/>
        <v>-8.3764999999999534E-4</v>
      </c>
      <c r="V41">
        <f t="shared" si="15"/>
        <v>2.3586099999999971E-3</v>
      </c>
      <c r="AC41">
        <f t="shared" si="16"/>
        <v>3.4631995449665567</v>
      </c>
      <c r="AD41">
        <f t="shared" si="16"/>
        <v>1.7977223905111552</v>
      </c>
    </row>
    <row r="42" spans="1:32" x14ac:dyDescent="0.25">
      <c r="A42">
        <v>6</v>
      </c>
      <c r="C42">
        <v>112.5</v>
      </c>
      <c r="K42">
        <f t="shared" si="13"/>
        <v>27.134999999999998</v>
      </c>
      <c r="L42">
        <f t="shared" si="13"/>
        <v>27.13</v>
      </c>
      <c r="M42">
        <f t="shared" si="14"/>
        <v>4.9999999999990052E-3</v>
      </c>
      <c r="U42">
        <f t="shared" si="15"/>
        <v>-2.378649999999996E-3</v>
      </c>
      <c r="V42">
        <f t="shared" si="15"/>
        <v>1.9572800000000057E-3</v>
      </c>
      <c r="AC42">
        <f t="shared" si="16"/>
        <v>3.238516720951802</v>
      </c>
      <c r="AD42">
        <f t="shared" si="16"/>
        <v>2.1195809943644566</v>
      </c>
    </row>
    <row r="43" spans="1:32" x14ac:dyDescent="0.25">
      <c r="A43">
        <v>7</v>
      </c>
      <c r="C43">
        <v>135</v>
      </c>
      <c r="K43">
        <f t="shared" si="13"/>
        <v>27.085000000000001</v>
      </c>
      <c r="L43">
        <f t="shared" si="13"/>
        <v>27.09</v>
      </c>
      <c r="M43">
        <f t="shared" si="14"/>
        <v>-4.9999999999990052E-3</v>
      </c>
      <c r="U43">
        <f t="shared" si="15"/>
        <v>-2.0393099999999886E-3</v>
      </c>
      <c r="V43">
        <f t="shared" si="15"/>
        <v>-4.857200000000228E-4</v>
      </c>
      <c r="AC43">
        <f t="shared" si="16"/>
        <v>2.9679420205853848</v>
      </c>
      <c r="AD43">
        <f t="shared" si="16"/>
        <v>2.5036765791550959</v>
      </c>
    </row>
    <row r="44" spans="1:32" x14ac:dyDescent="0.25">
      <c r="A44">
        <v>8</v>
      </c>
      <c r="C44">
        <v>157.5</v>
      </c>
      <c r="K44">
        <f t="shared" si="13"/>
        <v>27.064999999999998</v>
      </c>
      <c r="L44">
        <f t="shared" si="13"/>
        <v>27.064999999999998</v>
      </c>
      <c r="M44">
        <f t="shared" si="14"/>
        <v>0</v>
      </c>
      <c r="U44">
        <f t="shared" si="15"/>
        <v>-1.9195850000000014E-3</v>
      </c>
      <c r="V44">
        <f t="shared" si="15"/>
        <v>-1.5179199999999921E-3</v>
      </c>
      <c r="AC44">
        <f t="shared" si="16"/>
        <v>2.61418833044576</v>
      </c>
      <c r="AD44">
        <f t="shared" si="16"/>
        <v>2.8709219971937303</v>
      </c>
    </row>
    <row r="45" spans="1:32" x14ac:dyDescent="0.25">
      <c r="A45">
        <v>9</v>
      </c>
      <c r="C45">
        <v>180</v>
      </c>
      <c r="K45">
        <f t="shared" si="13"/>
        <v>27.08</v>
      </c>
      <c r="L45">
        <f t="shared" si="13"/>
        <v>27.09</v>
      </c>
      <c r="M45">
        <f t="shared" si="14"/>
        <v>-1.0000000000001563E-2</v>
      </c>
      <c r="U45">
        <f t="shared" si="15"/>
        <v>-1.6104850000000087E-3</v>
      </c>
      <c r="V45">
        <f t="shared" si="15"/>
        <v>-2.5194799999999906E-3</v>
      </c>
      <c r="AC45">
        <f t="shared" si="16"/>
        <v>2.2342473475462614</v>
      </c>
      <c r="AD45">
        <f t="shared" si="16"/>
        <v>3.1725521216239159</v>
      </c>
    </row>
    <row r="46" spans="1:32" x14ac:dyDescent="0.25">
      <c r="A46">
        <v>10</v>
      </c>
      <c r="C46">
        <v>202.5</v>
      </c>
      <c r="K46">
        <f t="shared" si="13"/>
        <v>27.075000000000003</v>
      </c>
      <c r="L46">
        <f t="shared" si="13"/>
        <v>27.08</v>
      </c>
      <c r="M46">
        <f t="shared" si="14"/>
        <v>-4.9999999999954525E-3</v>
      </c>
      <c r="U46">
        <f t="shared" si="15"/>
        <v>-3.3158199999999971E-3</v>
      </c>
      <c r="V46">
        <f t="shared" si="15"/>
        <v>-1.6581899999999899E-3</v>
      </c>
      <c r="AC46">
        <f t="shared" si="16"/>
        <v>1.8717582590251483</v>
      </c>
      <c r="AD46">
        <f t="shared" si="16"/>
        <v>3.3983642745404836</v>
      </c>
    </row>
    <row r="47" spans="1:32" x14ac:dyDescent="0.25">
      <c r="A47">
        <v>11</v>
      </c>
      <c r="C47">
        <v>225</v>
      </c>
      <c r="K47">
        <f t="shared" si="13"/>
        <v>27.145000000000003</v>
      </c>
      <c r="L47">
        <f t="shared" si="13"/>
        <v>27.16</v>
      </c>
      <c r="M47">
        <f t="shared" si="14"/>
        <v>-1.4999999999997016E-2</v>
      </c>
      <c r="U47">
        <f t="shared" si="15"/>
        <v>-6.1284999999999812E-4</v>
      </c>
      <c r="V47">
        <f t="shared" si="15"/>
        <v>-2.4919400000000119E-3</v>
      </c>
      <c r="AC47">
        <f t="shared" si="16"/>
        <v>1.6226846249493669</v>
      </c>
      <c r="AD47">
        <f t="shared" si="16"/>
        <v>3.5426124417322997</v>
      </c>
    </row>
    <row r="48" spans="1:32" x14ac:dyDescent="0.25">
      <c r="A48">
        <v>12</v>
      </c>
      <c r="C48">
        <v>247.5</v>
      </c>
      <c r="K48">
        <f t="shared" si="13"/>
        <v>27.105</v>
      </c>
      <c r="L48">
        <f t="shared" si="13"/>
        <v>27.105</v>
      </c>
      <c r="M48">
        <f t="shared" si="14"/>
        <v>0</v>
      </c>
      <c r="U48">
        <f t="shared" si="15"/>
        <v>3.111699999999995E-4</v>
      </c>
      <c r="V48">
        <f t="shared" si="15"/>
        <v>-2.9155700000000062E-3</v>
      </c>
      <c r="AC48">
        <f t="shared" si="16"/>
        <v>1.5891579276806118</v>
      </c>
      <c r="AD48">
        <f t="shared" si="16"/>
        <v>3.5430051220672576</v>
      </c>
    </row>
    <row r="49" spans="1:30" x14ac:dyDescent="0.25">
      <c r="A49">
        <v>13</v>
      </c>
      <c r="C49">
        <v>270</v>
      </c>
      <c r="K49">
        <f t="shared" si="13"/>
        <v>27.094999999999999</v>
      </c>
      <c r="L49">
        <f t="shared" si="13"/>
        <v>27.09</v>
      </c>
      <c r="M49">
        <f t="shared" si="14"/>
        <v>4.9999999999990052E-3</v>
      </c>
      <c r="U49">
        <f t="shared" si="15"/>
        <v>2.5987999999999012E-4</v>
      </c>
      <c r="V49">
        <f t="shared" si="15"/>
        <v>-4.0417300000000073E-3</v>
      </c>
      <c r="AC49">
        <f t="shared" si="16"/>
        <v>1.8211479057892155</v>
      </c>
      <c r="AD49">
        <f t="shared" si="16"/>
        <v>3.5238116354536175</v>
      </c>
    </row>
    <row r="50" spans="1:30" x14ac:dyDescent="0.25">
      <c r="A50">
        <v>14</v>
      </c>
      <c r="C50">
        <v>292.5</v>
      </c>
      <c r="K50">
        <f t="shared" si="13"/>
        <v>27.105</v>
      </c>
      <c r="L50">
        <f t="shared" si="13"/>
        <v>27.104999999999997</v>
      </c>
      <c r="M50">
        <f t="shared" si="14"/>
        <v>0</v>
      </c>
      <c r="U50">
        <f t="shared" si="15"/>
        <v>1.9010250000000006E-3</v>
      </c>
      <c r="V50">
        <f t="shared" si="15"/>
        <v>-2.8304849999999937E-3</v>
      </c>
      <c r="AC50">
        <f t="shared" si="16"/>
        <v>2.1140897990077017</v>
      </c>
      <c r="AD50">
        <f t="shared" si="16"/>
        <v>3.2655092846018148</v>
      </c>
    </row>
    <row r="51" spans="1:30" x14ac:dyDescent="0.25">
      <c r="A51">
        <v>15</v>
      </c>
      <c r="C51">
        <v>315</v>
      </c>
      <c r="K51">
        <f t="shared" si="13"/>
        <v>27.075000000000003</v>
      </c>
      <c r="L51">
        <f t="shared" si="13"/>
        <v>27.075000000000003</v>
      </c>
      <c r="M51">
        <f t="shared" si="14"/>
        <v>0</v>
      </c>
      <c r="U51">
        <f t="shared" si="15"/>
        <v>1.4635000000000065E-3</v>
      </c>
      <c r="V51">
        <f t="shared" si="15"/>
        <v>-1.3111449999999997E-3</v>
      </c>
      <c r="AC51">
        <f t="shared" si="16"/>
        <v>2.5246020851346085</v>
      </c>
      <c r="AD51">
        <f t="shared" si="16"/>
        <v>3.0242888262276475</v>
      </c>
    </row>
    <row r="52" spans="1:30" x14ac:dyDescent="0.25">
      <c r="A52">
        <v>16</v>
      </c>
      <c r="C52">
        <v>337.5</v>
      </c>
      <c r="K52">
        <f t="shared" si="13"/>
        <v>27.125</v>
      </c>
      <c r="L52">
        <f t="shared" si="13"/>
        <v>27.130000000000003</v>
      </c>
      <c r="M52">
        <f t="shared" si="14"/>
        <v>-5.000000000002558E-3</v>
      </c>
      <c r="U52">
        <f t="shared" si="15"/>
        <v>1.8002900000000099E-3</v>
      </c>
      <c r="V52">
        <f t="shared" si="15"/>
        <v>-8.8271999999998962E-4</v>
      </c>
      <c r="AC52">
        <f t="shared" si="16"/>
        <v>2.8553755402153729</v>
      </c>
      <c r="AD52">
        <f t="shared" si="16"/>
        <v>2.6268935971565002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2026-08-02T16:48:12Z</dcterms:modified>
</cp:coreProperties>
</file>