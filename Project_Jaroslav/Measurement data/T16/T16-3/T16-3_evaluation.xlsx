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ros\Desktop\Rotace země pokus 1\Finální report 1\T16\T16-3\"/>
    </mc:Choice>
  </mc:AlternateContent>
  <xr:revisionPtr revIDLastSave="0" documentId="13_ncr:1_{A47C6A2F-7F3B-4141-B88C-E863C97D5EDE}" xr6:coauthVersionLast="47" xr6:coauthVersionMax="47" xr10:uidLastSave="{00000000-0000-0000-0000-000000000000}"/>
  <bookViews>
    <workbookView xWindow="3750" yWindow="3870" windowWidth="28800" windowHeight="15345" xr2:uid="{0C4992B2-34A0-4179-B002-07A58BC14391}"/>
  </bookViews>
  <sheets>
    <sheet name="Main" sheetId="2" r:id="rId1"/>
    <sheet name="T16-3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2" l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L52" i="1"/>
  <c r="K52" i="1"/>
  <c r="L51" i="1"/>
  <c r="K51" i="1"/>
  <c r="L50" i="1"/>
  <c r="K50" i="1"/>
  <c r="L49" i="1"/>
  <c r="K49" i="1"/>
  <c r="L48" i="1"/>
  <c r="K48" i="1"/>
  <c r="L47" i="1"/>
  <c r="K47" i="1"/>
  <c r="L46" i="1"/>
  <c r="K46" i="1"/>
  <c r="L45" i="1"/>
  <c r="K45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AD52" i="1"/>
  <c r="AC52" i="1"/>
  <c r="V52" i="1"/>
  <c r="U52" i="1"/>
  <c r="AD51" i="1"/>
  <c r="AC51" i="1"/>
  <c r="V51" i="1"/>
  <c r="U51" i="1"/>
  <c r="AD50" i="1"/>
  <c r="AC50" i="1"/>
  <c r="V50" i="1"/>
  <c r="U50" i="1"/>
  <c r="AD49" i="1"/>
  <c r="AC49" i="1"/>
  <c r="V49" i="1"/>
  <c r="U49" i="1"/>
  <c r="AD48" i="1"/>
  <c r="AC48" i="1"/>
  <c r="V48" i="1"/>
  <c r="U48" i="1"/>
  <c r="AD47" i="1"/>
  <c r="AC47" i="1"/>
  <c r="V47" i="1"/>
  <c r="U47" i="1"/>
  <c r="AD46" i="1"/>
  <c r="AC46" i="1"/>
  <c r="V46" i="1"/>
  <c r="U46" i="1"/>
  <c r="AD45" i="1"/>
  <c r="AC45" i="1"/>
  <c r="V45" i="1"/>
  <c r="U45" i="1"/>
  <c r="AD44" i="1"/>
  <c r="AC44" i="1"/>
  <c r="V44" i="1"/>
  <c r="U44" i="1"/>
  <c r="AD43" i="1"/>
  <c r="AC43" i="1"/>
  <c r="V43" i="1"/>
  <c r="U43" i="1"/>
  <c r="AD42" i="1"/>
  <c r="AC42" i="1"/>
  <c r="V42" i="1"/>
  <c r="U42" i="1"/>
  <c r="AD41" i="1"/>
  <c r="AC41" i="1"/>
  <c r="V41" i="1"/>
  <c r="U41" i="1"/>
  <c r="AD40" i="1"/>
  <c r="AC40" i="1"/>
  <c r="V40" i="1"/>
  <c r="U40" i="1"/>
  <c r="AD39" i="1"/>
  <c r="AC39" i="1"/>
  <c r="V39" i="1"/>
  <c r="U39" i="1"/>
  <c r="AD38" i="1"/>
  <c r="AC38" i="1"/>
  <c r="V38" i="1"/>
  <c r="U38" i="1"/>
  <c r="AD37" i="1"/>
  <c r="AC37" i="1"/>
  <c r="V37" i="1"/>
  <c r="U37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G18" i="2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AB14" i="1"/>
  <c r="AA14" i="1"/>
  <c r="Z14" i="1"/>
  <c r="Y14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3" i="1"/>
  <c r="AB12" i="1"/>
  <c r="AB11" i="1"/>
  <c r="AB10" i="1"/>
  <c r="AB9" i="1"/>
  <c r="AB8" i="1"/>
  <c r="AB7" i="1"/>
  <c r="AB6" i="1"/>
  <c r="AB5" i="1"/>
  <c r="AB4" i="1"/>
  <c r="AD4" i="1" s="1"/>
  <c r="AB3" i="1"/>
  <c r="AA34" i="1"/>
  <c r="AD34" i="1" s="1"/>
  <c r="AA33" i="1"/>
  <c r="AD33" i="1" s="1"/>
  <c r="AA32" i="1"/>
  <c r="AA31" i="1"/>
  <c r="AA30" i="1"/>
  <c r="AA29" i="1"/>
  <c r="AA28" i="1"/>
  <c r="AA27" i="1"/>
  <c r="AD27" i="1" s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3" i="1"/>
  <c r="AA12" i="1"/>
  <c r="AA11" i="1"/>
  <c r="AA10" i="1"/>
  <c r="AA9" i="1"/>
  <c r="AA8" i="1"/>
  <c r="AD8" i="1" s="1"/>
  <c r="AA7" i="1"/>
  <c r="AA6" i="1"/>
  <c r="AA5" i="1"/>
  <c r="AA4" i="1"/>
  <c r="AA3" i="1"/>
  <c r="Z34" i="1"/>
  <c r="Z33" i="1"/>
  <c r="Z32" i="1"/>
  <c r="Z31" i="1"/>
  <c r="Z30" i="1"/>
  <c r="Z29" i="1"/>
  <c r="Z28" i="1"/>
  <c r="AE28" i="1" s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3" i="1"/>
  <c r="Z12" i="1"/>
  <c r="Z11" i="1"/>
  <c r="Z10" i="1"/>
  <c r="Z9" i="1"/>
  <c r="Z8" i="1"/>
  <c r="Z7" i="1"/>
  <c r="Z6" i="1"/>
  <c r="Z5" i="1"/>
  <c r="Z4" i="1"/>
  <c r="Z3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3" i="1"/>
  <c r="Y12" i="1"/>
  <c r="Y11" i="1"/>
  <c r="Y10" i="1"/>
  <c r="Y9" i="1"/>
  <c r="Y8" i="1"/>
  <c r="Y7" i="1"/>
  <c r="Y6" i="1"/>
  <c r="Y5" i="1"/>
  <c r="Y4" i="1"/>
  <c r="Y3" i="1"/>
  <c r="G12" i="2"/>
  <c r="G10" i="2"/>
  <c r="AC34" i="1" l="1"/>
  <c r="AD28" i="1"/>
  <c r="AD19" i="1"/>
  <c r="AE25" i="1"/>
  <c r="AE31" i="1"/>
  <c r="AE21" i="1"/>
  <c r="AF21" i="1" s="1"/>
  <c r="AD32" i="1"/>
  <c r="AD18" i="1"/>
  <c r="AD24" i="1"/>
  <c r="AD22" i="1"/>
  <c r="AD11" i="1"/>
  <c r="AD14" i="1"/>
  <c r="AD23" i="1"/>
  <c r="AD26" i="1"/>
  <c r="AC24" i="1"/>
  <c r="AC27" i="1"/>
  <c r="AD3" i="1"/>
  <c r="AD6" i="1"/>
  <c r="AD9" i="1"/>
  <c r="AD12" i="1"/>
  <c r="AD15" i="1"/>
  <c r="AD21" i="1"/>
  <c r="AC18" i="1"/>
  <c r="AE30" i="1"/>
  <c r="AF30" i="1" s="1"/>
  <c r="AD30" i="1"/>
  <c r="AD25" i="1"/>
  <c r="AF31" i="1"/>
  <c r="AE22" i="1"/>
  <c r="AF22" i="1" s="1"/>
  <c r="AD31" i="1"/>
  <c r="AD20" i="1"/>
  <c r="AE3" i="1"/>
  <c r="AF3" i="1" s="1"/>
  <c r="AC6" i="1"/>
  <c r="AC12" i="1"/>
  <c r="AC15" i="1"/>
  <c r="AC21" i="1"/>
  <c r="AE29" i="1"/>
  <c r="AF29" i="1" s="1"/>
  <c r="AE34" i="1"/>
  <c r="AF34" i="1" s="1"/>
  <c r="AE23" i="1"/>
  <c r="AF23" i="1" s="1"/>
  <c r="AE33" i="1"/>
  <c r="AF33" i="1" s="1"/>
  <c r="AF28" i="1"/>
  <c r="AE26" i="1"/>
  <c r="AF26" i="1" s="1"/>
  <c r="AE18" i="1"/>
  <c r="AF18" i="1" s="1"/>
  <c r="AE19" i="1"/>
  <c r="AF19" i="1" s="1"/>
  <c r="AE27" i="1"/>
  <c r="AF27" i="1" s="1"/>
  <c r="AD29" i="1"/>
  <c r="AE24" i="1"/>
  <c r="AF24" i="1" s="1"/>
  <c r="AC19" i="1"/>
  <c r="AF25" i="1"/>
  <c r="AE20" i="1"/>
  <c r="AF20" i="1" s="1"/>
  <c r="AC30" i="1"/>
  <c r="AE32" i="1"/>
  <c r="AF32" i="1" s="1"/>
  <c r="AC33" i="1"/>
  <c r="AC20" i="1"/>
  <c r="AC23" i="1"/>
  <c r="AC26" i="1"/>
  <c r="AC29" i="1"/>
  <c r="AC32" i="1"/>
  <c r="AC22" i="1"/>
  <c r="AC25" i="1"/>
  <c r="AC28" i="1"/>
  <c r="AC31" i="1"/>
  <c r="AD13" i="1"/>
  <c r="AD16" i="1"/>
  <c r="AD7" i="1"/>
  <c r="AD10" i="1"/>
  <c r="AD5" i="1"/>
  <c r="AC9" i="1"/>
  <c r="AD17" i="1"/>
  <c r="AC5" i="1"/>
  <c r="AC8" i="1"/>
  <c r="AC11" i="1"/>
  <c r="AC14" i="1"/>
  <c r="AC17" i="1"/>
  <c r="AE5" i="1"/>
  <c r="AF5" i="1" s="1"/>
  <c r="AE8" i="1"/>
  <c r="AF8" i="1" s="1"/>
  <c r="AE11" i="1"/>
  <c r="AF11" i="1" s="1"/>
  <c r="AE14" i="1"/>
  <c r="AF14" i="1" s="1"/>
  <c r="AE17" i="1"/>
  <c r="AF17" i="1" s="1"/>
  <c r="AC4" i="1"/>
  <c r="AC7" i="1"/>
  <c r="AC10" i="1"/>
  <c r="AC13" i="1"/>
  <c r="AC16" i="1"/>
  <c r="AE4" i="1"/>
  <c r="AF4" i="1" s="1"/>
  <c r="AE7" i="1"/>
  <c r="AF7" i="1" s="1"/>
  <c r="AE10" i="1"/>
  <c r="AF10" i="1" s="1"/>
  <c r="AE13" i="1"/>
  <c r="AF13" i="1" s="1"/>
  <c r="AE16" i="1"/>
  <c r="AF16" i="1" s="1"/>
  <c r="AE6" i="1"/>
  <c r="AF6" i="1" s="1"/>
  <c r="AE9" i="1"/>
  <c r="AF9" i="1" s="1"/>
  <c r="AE12" i="1"/>
  <c r="AF12" i="1" s="1"/>
  <c r="AE15" i="1"/>
  <c r="AF15" i="1" s="1"/>
  <c r="AC3" i="1"/>
  <c r="R17" i="2" l="1"/>
  <c r="V17" i="2"/>
  <c r="T17" i="2"/>
  <c r="X17" i="2"/>
</calcChain>
</file>

<file path=xl/sharedStrings.xml><?xml version="1.0" encoding="utf-8"?>
<sst xmlns="http://schemas.openxmlformats.org/spreadsheetml/2006/main" count="113" uniqueCount="67">
  <si>
    <t>azimut</t>
  </si>
  <si>
    <t>n</t>
  </si>
  <si>
    <t>xA_prumer</t>
  </si>
  <si>
    <t>xC_prumer</t>
  </si>
  <si>
    <t>diffx_prumer</t>
  </si>
  <si>
    <t>yA_prumer</t>
  </si>
  <si>
    <t>yC_prumer</t>
  </si>
  <si>
    <t>diffy_prumer</t>
  </si>
  <si>
    <t>axA_prumer</t>
  </si>
  <si>
    <t>axC_prumer</t>
  </si>
  <si>
    <t>diffax_prumer</t>
  </si>
  <si>
    <t>ayA_prumer</t>
  </si>
  <si>
    <t>ayC_prumer</t>
  </si>
  <si>
    <t>diffay_prumer</t>
  </si>
  <si>
    <t>(yA-yC)/2</t>
  </si>
  <si>
    <t>Theoretical earth rotation rate</t>
  </si>
  <si>
    <t>°/s</t>
  </si>
  <si>
    <t>Latitude</t>
  </si>
  <si>
    <t>°</t>
  </si>
  <si>
    <t>Theoretical earth rotation rate at latitude cos(lat)</t>
  </si>
  <si>
    <t>Rotation direction</t>
  </si>
  <si>
    <t>Cycles</t>
  </si>
  <si>
    <t>Samples per position</t>
  </si>
  <si>
    <t>Trim</t>
  </si>
  <si>
    <t>°/°</t>
  </si>
  <si>
    <t>min X</t>
  </si>
  <si>
    <t>min Y</t>
  </si>
  <si>
    <t>max X</t>
  </si>
  <si>
    <t>max Y</t>
  </si>
  <si>
    <t>Test ID</t>
  </si>
  <si>
    <t>Mount azimuth</t>
  </si>
  <si>
    <t>Arm start azimuth</t>
  </si>
  <si>
    <t>Measuring plane deviation/slope azimuth</t>
  </si>
  <si>
    <t>Azimuth step</t>
  </si>
  <si>
    <t>Azimuth step count</t>
  </si>
  <si>
    <t>Total samples</t>
  </si>
  <si>
    <t>Cable protection</t>
  </si>
  <si>
    <t>axA</t>
  </si>
  <si>
    <t>ayA</t>
  </si>
  <si>
    <t>axC</t>
  </si>
  <si>
    <t>ayC</t>
  </si>
  <si>
    <t>tiltA</t>
  </si>
  <si>
    <t>tiltC</t>
  </si>
  <si>
    <t>směr náklonu A</t>
  </si>
  <si>
    <t>kontrola azimut+směr</t>
  </si>
  <si>
    <t>Description/title:</t>
  </si>
  <si>
    <t>Code:</t>
  </si>
  <si>
    <t>CC/CCW</t>
  </si>
  <si>
    <t>HORIZONTAL slepý test 360-kontrola accel-lepší csv-azimut parametr-fixed trim settle-s navratem do A-antibacklash-CW-CCW-I2Coprava-název testu-teplota-oprava2</t>
  </si>
  <si>
    <t>|</t>
  </si>
  <si>
    <t>↗</t>
  </si>
  <si>
    <t>Location</t>
  </si>
  <si>
    <t>Orientation</t>
  </si>
  <si>
    <t>smer</t>
  </si>
  <si>
    <t>tA_prumer</t>
  </si>
  <si>
    <t>tC_prumer</t>
  </si>
  <si>
    <t>difft_prumer</t>
  </si>
  <si>
    <t>cyklus</t>
  </si>
  <si>
    <t>N</t>
  </si>
  <si>
    <t>Azimuth-Dependence Test (Randomized 360° Step Scan)</t>
  </si>
  <si>
    <t>living room</t>
  </si>
  <si>
    <t>90°</t>
  </si>
  <si>
    <t>T16-3</t>
  </si>
  <si>
    <t>CCW</t>
  </si>
  <si>
    <t>CW</t>
  </si>
  <si>
    <t>(xC-xA)/2</t>
  </si>
  <si>
    <t>- Test v různých místnostech
- Rotace ramene CW/CCW
- Náhodné azimuty pro celých 360°
- Různý azimut měřicí sestavy
- Různý azimut ramene při startu
- Různý náklon měřicí sestavy
- Oprava xA-xC na správný směr xC-xA
- POZOR, POKUD JE STARTOVNÍ POZICE RAMENE JINÁ, NEŽ 0°(SEVER), AZIMUT V GRAFECH NENÍ AZIMUT. HODNOTY SE VZTAHUJÍ KE STARTOVNÍ POZICI RAMENE!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</si>
</sst>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"/>
  </numFmts>
  <fonts count="9" x14ac:knownFonts="1"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22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30"/>
      <color theme="1"/>
      <name val="Calibri"/>
      <family val="2"/>
      <charset val="238"/>
      <scheme val="minor"/>
    </font>
    <font>
      <b/>
      <sz val="30"/>
      <color rgb="FFFF0000"/>
      <name val="Calibri"/>
      <family val="2"/>
      <charset val="238"/>
      <scheme val="minor"/>
    </font>
    <font>
      <b/>
      <sz val="26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1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49" fontId="1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0" fontId="1" fillId="0" borderId="0" xfId="0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vertical="top" wrapText="1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4" fontId="5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/>
    </xf>
    <xf numFmtId="0" fontId="6" fillId="0" borderId="0" xfId="0" applyFont="1" applyAlignment="1">
      <alignment horizontal="left" vertical="center" textRotation="45"/>
    </xf>
    <xf numFmtId="0" fontId="6" fillId="0" borderId="0" xfId="0" applyFont="1" applyAlignment="1">
      <alignment horizontal="center" textRotation="90"/>
    </xf>
    <xf numFmtId="0" fontId="1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textRotation="45"/>
    </xf>
    <xf numFmtId="0" fontId="6" fillId="0" borderId="0" xfId="0" applyFont="1" applyAlignment="1">
      <alignment vertical="center" textRotation="45"/>
    </xf>
    <xf numFmtId="0" fontId="6" fillId="0" borderId="0" xfId="0" applyFont="1" applyAlignment="1">
      <alignment textRotation="90"/>
    </xf>
    <xf numFmtId="0" fontId="6" fillId="0" borderId="0" xfId="0" applyFont="1" applyAlignment="1">
      <alignment vertical="center" textRotation="135"/>
    </xf>
    <xf numFmtId="0" fontId="0" fillId="2" borderId="0" xfId="0" applyFill="1" applyAlignment="1">
      <alignment horizontal="right"/>
    </xf>
    <xf numFmtId="164" fontId="0" fillId="2" borderId="0" xfId="0" applyNumberFormat="1" applyFill="1" applyAlignment="1">
      <alignment horizontal="right"/>
    </xf>
    <xf numFmtId="2" fontId="0" fillId="2" borderId="0" xfId="0" applyNumberForma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2" fontId="5" fillId="2" borderId="0" xfId="0" applyNumberFormat="1" applyFont="1" applyFill="1" applyAlignment="1">
      <alignment horizontal="right"/>
    </xf>
    <xf numFmtId="165" fontId="0" fillId="0" borderId="0" xfId="0" applyNumberFormat="1"/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6" fillId="0" borderId="0" xfId="0" applyFont="1" applyAlignment="1">
      <alignment horizontal="right" vertical="center"/>
    </xf>
    <xf numFmtId="0" fontId="1" fillId="0" borderId="3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7" fillId="0" borderId="7" xfId="0" applyFont="1" applyBorder="1" applyAlignment="1">
      <alignment horizontal="center" vertical="center" textRotation="135"/>
    </xf>
    <xf numFmtId="0" fontId="7" fillId="0" borderId="14" xfId="0" applyFont="1" applyBorder="1" applyAlignment="1">
      <alignment horizontal="center" vertical="center" textRotation="135"/>
    </xf>
    <xf numFmtId="0" fontId="7" fillId="0" borderId="15" xfId="0" applyFont="1" applyBorder="1" applyAlignment="1">
      <alignment horizontal="center" vertical="center" textRotation="135"/>
    </xf>
    <xf numFmtId="0" fontId="6" fillId="0" borderId="0" xfId="0" applyFont="1" applyAlignment="1">
      <alignment horizontal="left" vertical="center"/>
    </xf>
    <xf numFmtId="49" fontId="1" fillId="0" borderId="5" xfId="0" applyNumberFormat="1" applyFon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 wrapText="1"/>
    </xf>
    <xf numFmtId="49" fontId="1" fillId="0" borderId="6" xfId="0" applyNumberFormat="1" applyFont="1" applyBorder="1" applyAlignment="1">
      <alignment horizontal="left" vertical="top" wrapText="1"/>
    </xf>
    <xf numFmtId="49" fontId="1" fillId="0" borderId="9" xfId="0" applyNumberFormat="1" applyFont="1" applyBorder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49" fontId="1" fillId="0" borderId="10" xfId="0" applyNumberFormat="1" applyFont="1" applyBorder="1" applyAlignment="1">
      <alignment horizontal="left" vertical="top" wrapText="1"/>
    </xf>
    <xf numFmtId="49" fontId="1" fillId="0" borderId="11" xfId="0" applyNumberFormat="1" applyFont="1" applyBorder="1" applyAlignment="1">
      <alignment horizontal="left" vertical="top" wrapText="1"/>
    </xf>
    <xf numFmtId="49" fontId="1" fillId="0" borderId="12" xfId="0" applyNumberFormat="1" applyFont="1" applyBorder="1" applyAlignment="1">
      <alignment horizontal="left" vertical="top" wrapText="1"/>
    </xf>
    <xf numFmtId="49" fontId="1" fillId="0" borderId="13" xfId="0" applyNumberFormat="1" applyFont="1" applyBorder="1" applyAlignment="1">
      <alignment horizontal="left" vertical="top" wrapText="1"/>
    </xf>
    <xf numFmtId="0" fontId="1" fillId="0" borderId="3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6" fillId="0" borderId="0" xfId="0" applyFont="1" applyAlignment="1">
      <alignment horizontal="right" vertical="center" textRotation="135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textRotation="45"/>
    </xf>
    <xf numFmtId="0" fontId="6" fillId="0" borderId="0" xfId="0" applyFont="1" applyAlignment="1">
      <alignment horizontal="center" vertical="top" textRotation="90"/>
    </xf>
    <xf numFmtId="0" fontId="6" fillId="0" borderId="7" xfId="0" applyFont="1" applyBorder="1" applyAlignment="1">
      <alignment horizontal="center" vertical="center" textRotation="180"/>
    </xf>
    <xf numFmtId="0" fontId="6" fillId="0" borderId="14" xfId="0" applyFont="1" applyBorder="1" applyAlignment="1">
      <alignment horizontal="center" vertical="center" textRotation="180"/>
    </xf>
    <xf numFmtId="0" fontId="6" fillId="0" borderId="15" xfId="0" applyFont="1" applyBorder="1" applyAlignment="1">
      <alignment horizontal="center" vertical="center" textRotation="180"/>
    </xf>
    <xf numFmtId="0" fontId="8" fillId="0" borderId="7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textRotation="45"/>
    </xf>
    <xf numFmtId="0" fontId="6" fillId="0" borderId="14" xfId="0" applyFont="1" applyBorder="1" applyAlignment="1">
      <alignment horizontal="center" vertical="center" textRotation="45"/>
    </xf>
    <xf numFmtId="0" fontId="6" fillId="0" borderId="15" xfId="0" applyFont="1" applyBorder="1" applyAlignment="1">
      <alignment horizontal="center" vertical="center" textRotation="45"/>
    </xf>
    <xf numFmtId="0" fontId="6" fillId="0" borderId="7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left" vertical="center"/>
    </xf>
    <xf numFmtId="164" fontId="2" fillId="0" borderId="6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left"/>
    </xf>
    <xf numFmtId="3" fontId="2" fillId="0" borderId="4" xfId="0" applyNumberFormat="1" applyFont="1" applyBorder="1" applyAlignment="1">
      <alignment horizontal="left"/>
    </xf>
    <xf numFmtId="0" fontId="6" fillId="0" borderId="0" xfId="0" applyFont="1" applyAlignment="1">
      <alignment horizontal="left" vertical="center" textRotation="45"/>
    </xf>
    <xf numFmtId="0" fontId="6" fillId="0" borderId="0" xfId="0" applyFont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Earth rotation rate gyroscope raw data CW-CCW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'T16-3'!$U$2</c:f>
              <c:strCache>
                <c:ptCount val="1"/>
                <c:pt idx="0">
                  <c:v>(xC-xA)/2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'T16-3'!$C$3:$C$18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'T16-3'!$U$3:$U$18</c:f>
              <c:numCache>
                <c:formatCode>0.000000</c:formatCode>
                <c:ptCount val="16"/>
                <c:pt idx="0">
                  <c:v>1.0500000000024379E-5</c:v>
                </c:pt>
                <c:pt idx="1">
                  <c:v>-5.8498000000001271E-4</c:v>
                </c:pt>
                <c:pt idx="2">
                  <c:v>-3.2567000000000013E-3</c:v>
                </c:pt>
                <c:pt idx="3">
                  <c:v>-4.2083400000000049E-3</c:v>
                </c:pt>
                <c:pt idx="4">
                  <c:v>-4.5827100000000176E-3</c:v>
                </c:pt>
                <c:pt idx="5">
                  <c:v>-4.2188000000000225E-3</c:v>
                </c:pt>
                <c:pt idx="6">
                  <c:v>-4.7285600000000205E-3</c:v>
                </c:pt>
                <c:pt idx="7">
                  <c:v>-2.0541700000000218E-3</c:v>
                </c:pt>
                <c:pt idx="8">
                  <c:v>1.0015399999999952E-3</c:v>
                </c:pt>
                <c:pt idx="9">
                  <c:v>1.2132299999999818E-3</c:v>
                </c:pt>
                <c:pt idx="10">
                  <c:v>8.8237999999998817E-4</c:v>
                </c:pt>
                <c:pt idx="11">
                  <c:v>7.8845999999999083E-4</c:v>
                </c:pt>
                <c:pt idx="12">
                  <c:v>3.7094000000000016E-3</c:v>
                </c:pt>
                <c:pt idx="13">
                  <c:v>2.5617599999999963E-3</c:v>
                </c:pt>
                <c:pt idx="14">
                  <c:v>2.9031100000000143E-3</c:v>
                </c:pt>
                <c:pt idx="15">
                  <c:v>-1.6921999999999771E-4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1AB7-49A3-B47D-D9EEBD6F287D}"/>
            </c:ext>
          </c:extLst>
        </c:ser>
        <c:ser>
          <c:idx val="1"/>
          <c:order val="1"/>
          <c:tx>
            <c:strRef>
              <c:f>'T16-3'!$V$2</c:f>
              <c:strCache>
                <c:ptCount val="1"/>
                <c:pt idx="0">
                  <c:v>(yA-yC)/2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extLst xmlns:c15="http://schemas.microsoft.com/office/drawing/2012/chart">
              <c:ext xmlns:c16="http://schemas.microsoft.com/office/drawing/2014/chart" uri="{C3380CC4-5D6E-409C-BE32-E72D297353CC}">
                <c16:uniqueId val="{00000001-1839-4B3C-9E09-FB5901B765D7}"/>
              </c:ext>
            </c:extLst>
          </c:dPt>
          <c:cat>
            <c:numRef>
              <c:f>'T16-3'!$C$3:$C$18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'T16-3'!$V$3:$V$18</c:f>
              <c:numCache>
                <c:formatCode>0.000000</c:formatCode>
                <c:ptCount val="16"/>
                <c:pt idx="0">
                  <c:v>5.0105200000000183E-3</c:v>
                </c:pt>
                <c:pt idx="1">
                  <c:v>3.7582999999999922E-3</c:v>
                </c:pt>
                <c:pt idx="2">
                  <c:v>4.225050000000008E-3</c:v>
                </c:pt>
                <c:pt idx="3">
                  <c:v>8.0837999999999743E-4</c:v>
                </c:pt>
                <c:pt idx="4">
                  <c:v>2.2038500000000072E-3</c:v>
                </c:pt>
                <c:pt idx="5">
                  <c:v>-2.1416400000000002E-3</c:v>
                </c:pt>
                <c:pt idx="6">
                  <c:v>-3.4964499999999843E-3</c:v>
                </c:pt>
                <c:pt idx="7">
                  <c:v>-5.4103999999999819E-3</c:v>
                </c:pt>
                <c:pt idx="8">
                  <c:v>-3.7234300000000276E-3</c:v>
                </c:pt>
                <c:pt idx="9">
                  <c:v>-4.2573499999999931E-3</c:v>
                </c:pt>
                <c:pt idx="10">
                  <c:v>-4.3206399999999867E-3</c:v>
                </c:pt>
                <c:pt idx="11">
                  <c:v>-1.5652999999999917E-3</c:v>
                </c:pt>
                <c:pt idx="12">
                  <c:v>-2.6187300000000135E-3</c:v>
                </c:pt>
                <c:pt idx="13">
                  <c:v>7.5050000000020933E-5</c:v>
                </c:pt>
                <c:pt idx="14">
                  <c:v>3.015549999999978E-3</c:v>
                </c:pt>
                <c:pt idx="15">
                  <c:v>1.398049999999984E-3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1AB7-49A3-B47D-D9EEBD6F287D}"/>
            </c:ext>
          </c:extLst>
        </c:ser>
        <c:ser>
          <c:idx val="2"/>
          <c:order val="2"/>
          <c:tx>
            <c:strRef>
              <c:f>'T16-3'!$U$2</c:f>
              <c:strCache>
                <c:ptCount val="1"/>
                <c:pt idx="0">
                  <c:v>(xC-xA)/2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'T16-3'!$U$19:$U$34</c:f>
              <c:numCache>
                <c:formatCode>0.000000</c:formatCode>
                <c:ptCount val="16"/>
                <c:pt idx="0">
                  <c:v>3.9234000000001878E-4</c:v>
                </c:pt>
                <c:pt idx="1">
                  <c:v>-1.3386499999999968E-3</c:v>
                </c:pt>
                <c:pt idx="2">
                  <c:v>-3.0000200000000199E-3</c:v>
                </c:pt>
                <c:pt idx="3">
                  <c:v>-3.5662000000000194E-3</c:v>
                </c:pt>
                <c:pt idx="4">
                  <c:v>-3.0434299999999859E-3</c:v>
                </c:pt>
                <c:pt idx="5">
                  <c:v>-4.5874599999999877E-3</c:v>
                </c:pt>
                <c:pt idx="6">
                  <c:v>-2.0921899999999938E-3</c:v>
                </c:pt>
                <c:pt idx="7">
                  <c:v>-2.0952600000000154E-3</c:v>
                </c:pt>
                <c:pt idx="8">
                  <c:v>1.1091999999998658E-4</c:v>
                </c:pt>
                <c:pt idx="9">
                  <c:v>-2.2273999999999905E-4</c:v>
                </c:pt>
                <c:pt idx="10">
                  <c:v>1.1531100000000127E-3</c:v>
                </c:pt>
                <c:pt idx="11">
                  <c:v>3.1333599999999739E-3</c:v>
                </c:pt>
                <c:pt idx="12">
                  <c:v>3.5333200000000065E-3</c:v>
                </c:pt>
                <c:pt idx="13">
                  <c:v>4.6733200000000086E-3</c:v>
                </c:pt>
                <c:pt idx="14">
                  <c:v>4.4333400000000078E-3</c:v>
                </c:pt>
                <c:pt idx="15">
                  <c:v>5.4314999999999225E-4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02-4EB6-8A8C-0982F40768CE}"/>
            </c:ext>
          </c:extLst>
        </c:ser>
        <c:ser>
          <c:idx val="3"/>
          <c:order val="3"/>
          <c:tx>
            <c:strRef>
              <c:f>'T16-3'!$V$2</c:f>
              <c:strCache>
                <c:ptCount val="1"/>
                <c:pt idx="0">
                  <c:v>(yA-yC)/2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'T16-3'!$V$19:$V$34</c:f>
              <c:numCache>
                <c:formatCode>0.000000</c:formatCode>
                <c:ptCount val="16"/>
                <c:pt idx="0">
                  <c:v>5.0134199999999907E-3</c:v>
                </c:pt>
                <c:pt idx="1">
                  <c:v>4.2499800000000421E-3</c:v>
                </c:pt>
                <c:pt idx="2">
                  <c:v>3.4011700000000089E-3</c:v>
                </c:pt>
                <c:pt idx="3">
                  <c:v>1.417669999999982E-3</c:v>
                </c:pt>
                <c:pt idx="4">
                  <c:v>1.3118699999999928E-3</c:v>
                </c:pt>
                <c:pt idx="5">
                  <c:v>-1.9208399999999792E-3</c:v>
                </c:pt>
                <c:pt idx="6">
                  <c:v>-3.1874800000000203E-3</c:v>
                </c:pt>
                <c:pt idx="7">
                  <c:v>-3.8046600000000153E-3</c:v>
                </c:pt>
                <c:pt idx="8">
                  <c:v>-3.9297400000000149E-3</c:v>
                </c:pt>
                <c:pt idx="9">
                  <c:v>-3.4181499999999532E-3</c:v>
                </c:pt>
                <c:pt idx="10">
                  <c:v>-3.7687299999999979E-3</c:v>
                </c:pt>
                <c:pt idx="11">
                  <c:v>-3.0949800000000249E-3</c:v>
                </c:pt>
                <c:pt idx="12">
                  <c:v>-6.9587999999998207E-4</c:v>
                </c:pt>
                <c:pt idx="13">
                  <c:v>2.5150300000000292E-3</c:v>
                </c:pt>
                <c:pt idx="14">
                  <c:v>4.0987699999999738E-3</c:v>
                </c:pt>
                <c:pt idx="15">
                  <c:v>7.1454099999999632E-3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402-4EB6-8A8C-0982F4076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  <c:extLst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8.0000000000000019E-3"/>
          <c:min val="-8.0000000000000019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Measuret rotation rate (°/s)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Arm measuring plane deviation accelerometer raw data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'T16-3'!$AC$2</c:f>
              <c:strCache>
                <c:ptCount val="1"/>
                <c:pt idx="0">
                  <c:v>tiltA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'T16-3'!$C$37:$C$52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'T16-3'!$AC$37:$AC$52</c:f>
              <c:numCache>
                <c:formatCode>General</c:formatCode>
                <c:ptCount val="16"/>
                <c:pt idx="0">
                  <c:v>3.32407253682215</c:v>
                </c:pt>
                <c:pt idx="1">
                  <c:v>3.5363831522471783</c:v>
                </c:pt>
                <c:pt idx="2">
                  <c:v>3.7272495792281637</c:v>
                </c:pt>
                <c:pt idx="3">
                  <c:v>3.760243321335424</c:v>
                </c:pt>
                <c:pt idx="4">
                  <c:v>3.7299059613956715</c:v>
                </c:pt>
                <c:pt idx="5">
                  <c:v>3.5333393715755332</c:v>
                </c:pt>
                <c:pt idx="6">
                  <c:v>3.2646101233598874</c:v>
                </c:pt>
                <c:pt idx="7">
                  <c:v>2.9004836859020671</c:v>
                </c:pt>
                <c:pt idx="8">
                  <c:v>2.5114037849198549</c:v>
                </c:pt>
                <c:pt idx="9">
                  <c:v>2.1283898337393214</c:v>
                </c:pt>
                <c:pt idx="10">
                  <c:v>1.8362500366740271</c:v>
                </c:pt>
                <c:pt idx="11">
                  <c:v>1.7082824924419731</c:v>
                </c:pt>
                <c:pt idx="12">
                  <c:v>1.8884885528264799</c:v>
                </c:pt>
                <c:pt idx="13">
                  <c:v>2.1713506505831246</c:v>
                </c:pt>
                <c:pt idx="14">
                  <c:v>2.5789758116187587</c:v>
                </c:pt>
                <c:pt idx="15">
                  <c:v>2.9399741251774154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BF-4B9A-9620-C4562C1024A1}"/>
            </c:ext>
          </c:extLst>
        </c:ser>
        <c:ser>
          <c:idx val="1"/>
          <c:order val="1"/>
          <c:tx>
            <c:strRef>
              <c:f>'T16-3'!$AD$2</c:f>
              <c:strCache>
                <c:ptCount val="1"/>
                <c:pt idx="0">
                  <c:v>tiltC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'T16-3'!$C$37:$C$52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'T16-3'!$AD$37:$AD$52</c:f>
              <c:numCache>
                <c:formatCode>General</c:formatCode>
                <c:ptCount val="16"/>
                <c:pt idx="0">
                  <c:v>2.58381340493847</c:v>
                </c:pt>
                <c:pt idx="1">
                  <c:v>2.1670021044687768</c:v>
                </c:pt>
                <c:pt idx="2">
                  <c:v>1.8746288709854131</c:v>
                </c:pt>
                <c:pt idx="3">
                  <c:v>1.7283327568284428</c:v>
                </c:pt>
                <c:pt idx="4">
                  <c:v>1.8755262510595982</c:v>
                </c:pt>
                <c:pt idx="5">
                  <c:v>2.1795167956658714</c:v>
                </c:pt>
                <c:pt idx="6">
                  <c:v>2.5840132528921176</c:v>
                </c:pt>
                <c:pt idx="7">
                  <c:v>2.961324785932395</c:v>
                </c:pt>
                <c:pt idx="8">
                  <c:v>3.3069120290020937</c:v>
                </c:pt>
                <c:pt idx="9">
                  <c:v>3.5854414881094794</c:v>
                </c:pt>
                <c:pt idx="10">
                  <c:v>3.8012200718471894</c:v>
                </c:pt>
                <c:pt idx="11">
                  <c:v>3.7880664017584227</c:v>
                </c:pt>
                <c:pt idx="12">
                  <c:v>3.8058839138658942</c:v>
                </c:pt>
                <c:pt idx="13">
                  <c:v>3.5745057343491933</c:v>
                </c:pt>
                <c:pt idx="14">
                  <c:v>3.3220968538073445</c:v>
                </c:pt>
                <c:pt idx="15">
                  <c:v>2.9498794919471818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BF-4B9A-9620-C4562C102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Tilt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MEMS temperature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'T16-3'!$K$2</c:f>
              <c:strCache>
                <c:ptCount val="1"/>
                <c:pt idx="0">
                  <c:v>tA_prumer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'T16-3'!$C$37:$C$52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'T16-3'!$K$37:$K$52</c:f>
              <c:numCache>
                <c:formatCode>0.00000</c:formatCode>
                <c:ptCount val="16"/>
                <c:pt idx="0">
                  <c:v>24.924999999999997</c:v>
                </c:pt>
                <c:pt idx="1">
                  <c:v>24.984999999999999</c:v>
                </c:pt>
                <c:pt idx="2">
                  <c:v>24.96</c:v>
                </c:pt>
                <c:pt idx="3">
                  <c:v>24.97</c:v>
                </c:pt>
                <c:pt idx="4">
                  <c:v>25.049999999999997</c:v>
                </c:pt>
                <c:pt idx="5">
                  <c:v>25.07</c:v>
                </c:pt>
                <c:pt idx="6">
                  <c:v>24.98</c:v>
                </c:pt>
                <c:pt idx="7">
                  <c:v>25</c:v>
                </c:pt>
                <c:pt idx="8">
                  <c:v>25.11</c:v>
                </c:pt>
                <c:pt idx="9">
                  <c:v>24.939999999999998</c:v>
                </c:pt>
                <c:pt idx="10">
                  <c:v>24.91</c:v>
                </c:pt>
                <c:pt idx="11">
                  <c:v>25.1</c:v>
                </c:pt>
                <c:pt idx="12">
                  <c:v>24.82</c:v>
                </c:pt>
                <c:pt idx="13">
                  <c:v>25.005000000000003</c:v>
                </c:pt>
                <c:pt idx="14">
                  <c:v>24.96</c:v>
                </c:pt>
                <c:pt idx="15">
                  <c:v>24.925000000000001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87-441A-9F88-8F6BC251192B}"/>
            </c:ext>
          </c:extLst>
        </c:ser>
        <c:ser>
          <c:idx val="1"/>
          <c:order val="1"/>
          <c:tx>
            <c:strRef>
              <c:f>'T16-3'!$L$2</c:f>
              <c:strCache>
                <c:ptCount val="1"/>
                <c:pt idx="0">
                  <c:v>tC_prumer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'T16-3'!$C$37:$C$52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'T16-3'!$L$37:$L$52</c:f>
              <c:numCache>
                <c:formatCode>0.00000</c:formatCode>
                <c:ptCount val="16"/>
                <c:pt idx="0">
                  <c:v>24.92</c:v>
                </c:pt>
                <c:pt idx="1">
                  <c:v>24.984999999999999</c:v>
                </c:pt>
                <c:pt idx="2">
                  <c:v>24.975000000000001</c:v>
                </c:pt>
                <c:pt idx="3">
                  <c:v>24.954999999999998</c:v>
                </c:pt>
                <c:pt idx="4">
                  <c:v>25.05</c:v>
                </c:pt>
                <c:pt idx="5">
                  <c:v>25.065000000000001</c:v>
                </c:pt>
                <c:pt idx="6">
                  <c:v>24.97</c:v>
                </c:pt>
                <c:pt idx="7">
                  <c:v>25</c:v>
                </c:pt>
                <c:pt idx="8">
                  <c:v>25.1</c:v>
                </c:pt>
                <c:pt idx="9">
                  <c:v>24.94</c:v>
                </c:pt>
                <c:pt idx="10">
                  <c:v>24.91</c:v>
                </c:pt>
                <c:pt idx="11">
                  <c:v>25.094999999999999</c:v>
                </c:pt>
                <c:pt idx="12">
                  <c:v>24.82</c:v>
                </c:pt>
                <c:pt idx="13">
                  <c:v>25</c:v>
                </c:pt>
                <c:pt idx="14">
                  <c:v>24.96</c:v>
                </c:pt>
                <c:pt idx="15">
                  <c:v>24.914999999999999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187-441A-9F88-8F6BC2511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Cycles per azimuth CW-CCW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'T16-3'!$D$2</c:f>
              <c:strCache>
                <c:ptCount val="1"/>
                <c:pt idx="0">
                  <c:v>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'T16-3'!$C$19:$C$34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'T16-3'!$D$3:$D$18</c:f>
              <c:numCache>
                <c:formatCode>General</c:formatCode>
                <c:ptCount val="16"/>
                <c:pt idx="0">
                  <c:v>19</c:v>
                </c:pt>
                <c:pt idx="1">
                  <c:v>15</c:v>
                </c:pt>
                <c:pt idx="2">
                  <c:v>15</c:v>
                </c:pt>
                <c:pt idx="3">
                  <c:v>9</c:v>
                </c:pt>
                <c:pt idx="4">
                  <c:v>13</c:v>
                </c:pt>
                <c:pt idx="5">
                  <c:v>12</c:v>
                </c:pt>
                <c:pt idx="6">
                  <c:v>14</c:v>
                </c:pt>
                <c:pt idx="7">
                  <c:v>12</c:v>
                </c:pt>
                <c:pt idx="8">
                  <c:v>16</c:v>
                </c:pt>
                <c:pt idx="9">
                  <c:v>17</c:v>
                </c:pt>
                <c:pt idx="10">
                  <c:v>17</c:v>
                </c:pt>
                <c:pt idx="11">
                  <c:v>13</c:v>
                </c:pt>
                <c:pt idx="12">
                  <c:v>16</c:v>
                </c:pt>
                <c:pt idx="13">
                  <c:v>15</c:v>
                </c:pt>
                <c:pt idx="14">
                  <c:v>16</c:v>
                </c:pt>
                <c:pt idx="15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1E-49D6-8B3F-0FACE8E94F88}"/>
            </c:ext>
          </c:extLst>
        </c:ser>
        <c:ser>
          <c:idx val="1"/>
          <c:order val="1"/>
          <c:tx>
            <c:strRef>
              <c:f>'T16-3'!$D$2</c:f>
              <c:strCache>
                <c:ptCount val="1"/>
                <c:pt idx="0">
                  <c:v>n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'T16-3'!$C$19:$C$34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'T16-3'!$D$19:$D$34</c:f>
              <c:numCache>
                <c:formatCode>General</c:formatCode>
                <c:ptCount val="16"/>
                <c:pt idx="0">
                  <c:v>13</c:v>
                </c:pt>
                <c:pt idx="1">
                  <c:v>11</c:v>
                </c:pt>
                <c:pt idx="2">
                  <c:v>21</c:v>
                </c:pt>
                <c:pt idx="3">
                  <c:v>17</c:v>
                </c:pt>
                <c:pt idx="4">
                  <c:v>19</c:v>
                </c:pt>
                <c:pt idx="5">
                  <c:v>18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11</c:v>
                </c:pt>
                <c:pt idx="10">
                  <c:v>16</c:v>
                </c:pt>
                <c:pt idx="11">
                  <c:v>15</c:v>
                </c:pt>
                <c:pt idx="12">
                  <c:v>12</c:v>
                </c:pt>
                <c:pt idx="13">
                  <c:v>15</c:v>
                </c:pt>
                <c:pt idx="14">
                  <c:v>21</c:v>
                </c:pt>
                <c:pt idx="15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F7-4C3C-B8A6-A4656891A2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Cycles per azimuth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MEMS temperature diff (A-C)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'T16-3'!$M$2</c:f>
              <c:strCache>
                <c:ptCount val="1"/>
                <c:pt idx="0">
                  <c:v>difft_prumer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'T16-3'!$C$37:$C$52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'T16-3'!$M$37:$M$52</c:f>
              <c:numCache>
                <c:formatCode>0.00000</c:formatCode>
                <c:ptCount val="16"/>
                <c:pt idx="0">
                  <c:v>4.9999999999954525E-3</c:v>
                </c:pt>
                <c:pt idx="1">
                  <c:v>0</c:v>
                </c:pt>
                <c:pt idx="2">
                  <c:v>-1.5000000000000568E-2</c:v>
                </c:pt>
                <c:pt idx="3">
                  <c:v>1.5000000000000568E-2</c:v>
                </c:pt>
                <c:pt idx="4">
                  <c:v>0</c:v>
                </c:pt>
                <c:pt idx="5">
                  <c:v>4.9999999999990052E-3</c:v>
                </c:pt>
                <c:pt idx="6">
                  <c:v>1.0000000000001563E-2</c:v>
                </c:pt>
                <c:pt idx="7">
                  <c:v>0</c:v>
                </c:pt>
                <c:pt idx="8">
                  <c:v>9.9999999999980105E-3</c:v>
                </c:pt>
                <c:pt idx="9">
                  <c:v>0</c:v>
                </c:pt>
                <c:pt idx="10">
                  <c:v>0</c:v>
                </c:pt>
                <c:pt idx="11">
                  <c:v>5.000000000002558E-3</c:v>
                </c:pt>
                <c:pt idx="12">
                  <c:v>0</c:v>
                </c:pt>
                <c:pt idx="13">
                  <c:v>5.000000000002558E-3</c:v>
                </c:pt>
                <c:pt idx="14">
                  <c:v>0</c:v>
                </c:pt>
                <c:pt idx="15">
                  <c:v>1.0000000000001563E-2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AF-4A15-9E6B-BB4AE3751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5.000000000000001E-2"/>
          <c:min val="-5.00000000000000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Earth rotation rate gyroscope raw data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'T16-3'!$U$2</c:f>
              <c:strCache>
                <c:ptCount val="1"/>
                <c:pt idx="0">
                  <c:v>(xC-xA)/2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'T16-3'!$C$37:$C$52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'T16-3'!$U$37:$U$52</c:f>
              <c:numCache>
                <c:formatCode>General</c:formatCode>
                <c:ptCount val="16"/>
                <c:pt idx="0">
                  <c:v>2.0142000000002158E-4</c:v>
                </c:pt>
                <c:pt idx="1">
                  <c:v>-9.6181500000000475E-4</c:v>
                </c:pt>
                <c:pt idx="2">
                  <c:v>-3.1283600000000106E-3</c:v>
                </c:pt>
                <c:pt idx="3">
                  <c:v>-3.8872700000000121E-3</c:v>
                </c:pt>
                <c:pt idx="4">
                  <c:v>-3.8130700000000017E-3</c:v>
                </c:pt>
                <c:pt idx="5">
                  <c:v>-4.4031300000000051E-3</c:v>
                </c:pt>
                <c:pt idx="6">
                  <c:v>-3.4103750000000072E-3</c:v>
                </c:pt>
                <c:pt idx="7">
                  <c:v>-2.0747150000000186E-3</c:v>
                </c:pt>
                <c:pt idx="8">
                  <c:v>5.562299999999909E-4</c:v>
                </c:pt>
                <c:pt idx="9">
                  <c:v>4.9524499999999139E-4</c:v>
                </c:pt>
                <c:pt idx="10">
                  <c:v>1.0177450000000005E-3</c:v>
                </c:pt>
                <c:pt idx="11">
                  <c:v>1.9609099999999824E-3</c:v>
                </c:pt>
                <c:pt idx="12">
                  <c:v>3.621360000000004E-3</c:v>
                </c:pt>
                <c:pt idx="13">
                  <c:v>3.6175400000000024E-3</c:v>
                </c:pt>
                <c:pt idx="14">
                  <c:v>3.6682250000000111E-3</c:v>
                </c:pt>
                <c:pt idx="15">
                  <c:v>1.8696499999999727E-4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08B-45A7-8A7D-F14BB225DD01}"/>
            </c:ext>
          </c:extLst>
        </c:ser>
        <c:ser>
          <c:idx val="1"/>
          <c:order val="1"/>
          <c:tx>
            <c:strRef>
              <c:f>'T16-3'!$V$2</c:f>
              <c:strCache>
                <c:ptCount val="1"/>
                <c:pt idx="0">
                  <c:v>(yA-yC)/2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'T16-3'!$C$37:$C$52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'T16-3'!$V$37:$V$52</c:f>
              <c:numCache>
                <c:formatCode>General</c:formatCode>
                <c:ptCount val="16"/>
                <c:pt idx="0">
                  <c:v>5.0119700000000045E-3</c:v>
                </c:pt>
                <c:pt idx="1">
                  <c:v>4.0041400000000171E-3</c:v>
                </c:pt>
                <c:pt idx="2">
                  <c:v>3.8131100000000084E-3</c:v>
                </c:pt>
                <c:pt idx="3">
                  <c:v>1.1130249999999897E-3</c:v>
                </c:pt>
                <c:pt idx="4">
                  <c:v>1.75786E-3</c:v>
                </c:pt>
                <c:pt idx="5">
                  <c:v>-2.0312399999999897E-3</c:v>
                </c:pt>
                <c:pt idx="6">
                  <c:v>-3.3419650000000023E-3</c:v>
                </c:pt>
                <c:pt idx="7">
                  <c:v>-4.6075299999999986E-3</c:v>
                </c:pt>
                <c:pt idx="8">
                  <c:v>-3.8265850000000212E-3</c:v>
                </c:pt>
                <c:pt idx="9">
                  <c:v>-3.8377499999999731E-3</c:v>
                </c:pt>
                <c:pt idx="10">
                  <c:v>-4.0446849999999923E-3</c:v>
                </c:pt>
                <c:pt idx="11">
                  <c:v>-2.3301400000000083E-3</c:v>
                </c:pt>
                <c:pt idx="12">
                  <c:v>-1.6573049999999978E-3</c:v>
                </c:pt>
                <c:pt idx="13">
                  <c:v>1.2950400000000251E-3</c:v>
                </c:pt>
                <c:pt idx="14">
                  <c:v>3.5571599999999759E-3</c:v>
                </c:pt>
                <c:pt idx="15">
                  <c:v>4.2717299999999736E-3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08B-45A7-8A7D-F14BB225D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  <c:extLst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8.0000000000000019E-3"/>
          <c:min val="-8.0000000000000019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Measuret rotation rate (°/s)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200024</xdr:rowOff>
    </xdr:from>
    <xdr:to>
      <xdr:col>12</xdr:col>
      <xdr:colOff>0</xdr:colOff>
      <xdr:row>52</xdr:row>
      <xdr:rowOff>200024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3BDD5E-DDA6-CAAF-FB4B-E8CED9E2BA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24</xdr:row>
      <xdr:rowOff>0</xdr:rowOff>
    </xdr:from>
    <xdr:to>
      <xdr:col>38</xdr:col>
      <xdr:colOff>0</xdr:colOff>
      <xdr:row>53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C7438E-0EB4-F6E9-C9D9-2732312FF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</xdr:colOff>
      <xdr:row>55</xdr:row>
      <xdr:rowOff>1</xdr:rowOff>
    </xdr:from>
    <xdr:to>
      <xdr:col>25</xdr:col>
      <xdr:colOff>1</xdr:colOff>
      <xdr:row>84</xdr:row>
      <xdr:rowOff>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6D7221-8ABD-41CE-B4A0-C455AE77B6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11207</xdr:colOff>
      <xdr:row>55</xdr:row>
      <xdr:rowOff>0</xdr:rowOff>
    </xdr:from>
    <xdr:to>
      <xdr:col>12</xdr:col>
      <xdr:colOff>1</xdr:colOff>
      <xdr:row>83</xdr:row>
      <xdr:rowOff>190499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8BA4AE-CB7E-458B-AC82-EDB6A55BC6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0</xdr:colOff>
      <xdr:row>55</xdr:row>
      <xdr:rowOff>0</xdr:rowOff>
    </xdr:from>
    <xdr:to>
      <xdr:col>38</xdr:col>
      <xdr:colOff>0</xdr:colOff>
      <xdr:row>83</xdr:row>
      <xdr:rowOff>201704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61ED1E-5DC5-4628-BB95-ACD6F96093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0</xdr:colOff>
      <xdr:row>24</xdr:row>
      <xdr:rowOff>0</xdr:rowOff>
    </xdr:from>
    <xdr:to>
      <xdr:col>25</xdr:col>
      <xdr:colOff>0</xdr:colOff>
      <xdr:row>53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F882731-631D-4966-9CC4-5A1C0E5AB6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8FE68-A055-4662-A0AD-4DC09BF30950}">
  <dimension ref="A1:AO22"/>
  <sheetViews>
    <sheetView tabSelected="1" zoomScale="70" zoomScaleNormal="70" workbookViewId="0">
      <selection activeCell="G9" sqref="G9:H9"/>
    </sheetView>
  </sheetViews>
  <sheetFormatPr defaultRowHeight="15.75" x14ac:dyDescent="0.25"/>
  <cols>
    <col min="1" max="4" width="9.140625" style="1"/>
    <col min="5" max="6" width="9.140625" style="1" customWidth="1"/>
    <col min="7" max="16384" width="9.140625" style="1"/>
  </cols>
  <sheetData>
    <row r="1" spans="1:41" ht="15.75" customHeight="1" x14ac:dyDescent="0.25">
      <c r="A1" s="88" t="s">
        <v>29</v>
      </c>
      <c r="B1" s="88"/>
      <c r="C1" s="88" t="s">
        <v>62</v>
      </c>
      <c r="D1" s="88"/>
      <c r="E1" s="88" t="s">
        <v>59</v>
      </c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AC1" s="34" t="s">
        <v>52</v>
      </c>
      <c r="AD1" s="35"/>
      <c r="AE1" s="35"/>
      <c r="AF1" s="35"/>
      <c r="AG1" s="36"/>
    </row>
    <row r="2" spans="1:41" ht="15.75" customHeight="1" x14ac:dyDescent="0.25">
      <c r="A2" s="88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AC2" s="37"/>
      <c r="AD2" s="38"/>
      <c r="AE2" s="38"/>
      <c r="AF2" s="38"/>
      <c r="AG2" s="39"/>
    </row>
    <row r="4" spans="1:41" ht="15.75" customHeight="1" x14ac:dyDescent="0.25">
      <c r="A4" s="87" t="s">
        <v>30</v>
      </c>
      <c r="B4" s="87"/>
      <c r="C4" s="87"/>
      <c r="D4" s="87"/>
      <c r="E4" s="87"/>
      <c r="F4" s="87"/>
      <c r="G4" s="44">
        <v>90</v>
      </c>
      <c r="H4" s="45"/>
      <c r="I4" s="2" t="s">
        <v>18</v>
      </c>
      <c r="K4" s="89" t="s">
        <v>45</v>
      </c>
      <c r="L4" s="89"/>
      <c r="M4" s="89"/>
      <c r="N4" s="89"/>
      <c r="O4" s="89"/>
      <c r="P4" s="89"/>
      <c r="R4" s="89" t="s">
        <v>46</v>
      </c>
      <c r="S4" s="89"/>
      <c r="T4" s="89"/>
      <c r="U4" s="89"/>
      <c r="V4" s="89"/>
      <c r="W4" s="89"/>
      <c r="X4" s="89"/>
      <c r="Y4" s="89"/>
      <c r="AC4" s="63"/>
      <c r="AD4" s="64"/>
      <c r="AE4" s="65" t="s">
        <v>58</v>
      </c>
      <c r="AF4" s="64"/>
      <c r="AG4" s="63"/>
      <c r="AK4" s="22"/>
      <c r="AM4" s="23"/>
      <c r="AO4" s="22"/>
    </row>
    <row r="5" spans="1:41" ht="15.75" customHeight="1" x14ac:dyDescent="0.25">
      <c r="A5" s="41" t="s">
        <v>31</v>
      </c>
      <c r="B5" s="42"/>
      <c r="C5" s="42"/>
      <c r="D5" s="42"/>
      <c r="E5" s="42"/>
      <c r="F5" s="43"/>
      <c r="G5" s="44">
        <v>90</v>
      </c>
      <c r="H5" s="45"/>
      <c r="I5" s="2" t="s">
        <v>18</v>
      </c>
      <c r="K5" s="50" t="s">
        <v>66</v>
      </c>
      <c r="L5" s="51"/>
      <c r="M5" s="51"/>
      <c r="N5" s="51"/>
      <c r="O5" s="51"/>
      <c r="P5" s="52"/>
      <c r="R5" s="91" t="s">
        <v>48</v>
      </c>
      <c r="S5" s="91"/>
      <c r="T5" s="91"/>
      <c r="U5" s="91"/>
      <c r="V5" s="91"/>
      <c r="W5" s="91"/>
      <c r="X5" s="91"/>
      <c r="Y5" s="91"/>
      <c r="AC5" s="63"/>
      <c r="AD5" s="64"/>
      <c r="AE5" s="65"/>
      <c r="AF5" s="64"/>
      <c r="AG5" s="63"/>
      <c r="AK5" s="22"/>
      <c r="AM5" s="23"/>
      <c r="AO5" s="22"/>
    </row>
    <row r="6" spans="1:41" ht="15.75" customHeight="1" x14ac:dyDescent="0.25">
      <c r="A6" s="87" t="s">
        <v>32</v>
      </c>
      <c r="B6" s="87"/>
      <c r="C6" s="87"/>
      <c r="D6" s="87"/>
      <c r="E6" s="87"/>
      <c r="F6" s="87"/>
      <c r="G6" s="86">
        <v>0</v>
      </c>
      <c r="H6" s="86"/>
      <c r="I6" s="2" t="s">
        <v>24</v>
      </c>
      <c r="K6" s="53"/>
      <c r="L6" s="54"/>
      <c r="M6" s="54"/>
      <c r="N6" s="54"/>
      <c r="O6" s="54"/>
      <c r="P6" s="55"/>
      <c r="R6" s="91"/>
      <c r="S6" s="91"/>
      <c r="T6" s="91"/>
      <c r="U6" s="91"/>
      <c r="V6" s="91"/>
      <c r="W6" s="91"/>
      <c r="X6" s="91"/>
      <c r="Y6" s="91"/>
      <c r="AC6" s="63"/>
      <c r="AD6" s="64"/>
      <c r="AE6" s="65"/>
      <c r="AF6" s="64"/>
      <c r="AG6" s="63"/>
      <c r="AK6" s="22"/>
      <c r="AM6" s="23"/>
      <c r="AO6" s="22"/>
    </row>
    <row r="7" spans="1:41" ht="15.75" customHeight="1" x14ac:dyDescent="0.25">
      <c r="A7" s="41" t="s">
        <v>51</v>
      </c>
      <c r="B7" s="42"/>
      <c r="C7" s="42"/>
      <c r="D7" s="42"/>
      <c r="E7" s="42"/>
      <c r="F7" s="43"/>
      <c r="G7" s="44" t="s">
        <v>60</v>
      </c>
      <c r="H7" s="45"/>
      <c r="I7" s="2"/>
      <c r="K7" s="53"/>
      <c r="L7" s="54"/>
      <c r="M7" s="54"/>
      <c r="N7" s="54"/>
      <c r="O7" s="54"/>
      <c r="P7" s="55"/>
      <c r="R7" s="91"/>
      <c r="S7" s="91"/>
      <c r="T7" s="91"/>
      <c r="U7" s="91"/>
      <c r="V7" s="91"/>
      <c r="W7" s="91"/>
      <c r="X7" s="91"/>
      <c r="Y7" s="91"/>
      <c r="AC7" s="62" t="s">
        <v>49</v>
      </c>
      <c r="AD7" s="68" t="s">
        <v>49</v>
      </c>
      <c r="AE7" s="68" t="s">
        <v>49</v>
      </c>
      <c r="AF7" s="68" t="s">
        <v>49</v>
      </c>
      <c r="AG7" s="40"/>
      <c r="AK7" s="22"/>
      <c r="AL7" s="22"/>
      <c r="AM7" s="24"/>
      <c r="AN7" s="22"/>
      <c r="AO7" s="22"/>
    </row>
    <row r="8" spans="1:41" ht="15.75" customHeight="1" x14ac:dyDescent="0.25">
      <c r="A8" s="87" t="s">
        <v>15</v>
      </c>
      <c r="B8" s="87"/>
      <c r="C8" s="87"/>
      <c r="D8" s="87"/>
      <c r="E8" s="87"/>
      <c r="F8" s="87"/>
      <c r="G8" s="92">
        <f>360/((23*60*60)+(56*60)+4.09)</f>
        <v>4.1780746480349299E-3</v>
      </c>
      <c r="H8" s="92"/>
      <c r="I8" s="2" t="s">
        <v>16</v>
      </c>
      <c r="K8" s="53"/>
      <c r="L8" s="54"/>
      <c r="M8" s="54"/>
      <c r="N8" s="54"/>
      <c r="O8" s="54"/>
      <c r="P8" s="55"/>
      <c r="R8" s="91"/>
      <c r="S8" s="91"/>
      <c r="T8" s="91"/>
      <c r="U8" s="91"/>
      <c r="V8" s="91"/>
      <c r="W8" s="91"/>
      <c r="X8" s="91"/>
      <c r="Y8" s="91"/>
      <c r="AC8" s="62"/>
      <c r="AD8" s="68"/>
      <c r="AE8" s="68"/>
      <c r="AF8" s="68"/>
      <c r="AG8" s="40"/>
      <c r="AK8" s="22"/>
      <c r="AL8" s="22"/>
      <c r="AM8" s="24"/>
      <c r="AN8" s="22"/>
      <c r="AO8" s="22"/>
    </row>
    <row r="9" spans="1:41" ht="15.75" customHeight="1" x14ac:dyDescent="0.25">
      <c r="A9" s="87" t="s">
        <v>17</v>
      </c>
      <c r="B9" s="87"/>
      <c r="C9" s="87"/>
      <c r="D9" s="87"/>
      <c r="E9" s="87"/>
      <c r="F9" s="87"/>
      <c r="G9" s="86">
        <v>49</v>
      </c>
      <c r="H9" s="86"/>
      <c r="I9" s="2" t="s">
        <v>18</v>
      </c>
      <c r="K9" s="53"/>
      <c r="L9" s="54"/>
      <c r="M9" s="54"/>
      <c r="N9" s="54"/>
      <c r="O9" s="54"/>
      <c r="P9" s="55"/>
      <c r="R9" s="91"/>
      <c r="S9" s="91"/>
      <c r="T9" s="91"/>
      <c r="U9" s="91"/>
      <c r="V9" s="91"/>
      <c r="W9" s="91"/>
      <c r="X9" s="91"/>
      <c r="Y9" s="91"/>
      <c r="AC9" s="62"/>
      <c r="AD9" s="68"/>
      <c r="AE9" s="68"/>
      <c r="AF9" s="68"/>
      <c r="AG9" s="40"/>
      <c r="AK9" s="22"/>
      <c r="AL9" s="22"/>
      <c r="AM9" s="24"/>
      <c r="AN9" s="22"/>
      <c r="AO9" s="22"/>
    </row>
    <row r="10" spans="1:41" ht="15.75" customHeight="1" x14ac:dyDescent="0.25">
      <c r="A10" s="81" t="s">
        <v>19</v>
      </c>
      <c r="B10" s="82"/>
      <c r="C10" s="82"/>
      <c r="D10" s="82"/>
      <c r="E10" s="82"/>
      <c r="F10" s="83"/>
      <c r="G10" s="84">
        <f>(COS(RADIANS(G9))*G8)</f>
        <v>2.7410635966396515E-3</v>
      </c>
      <c r="H10" s="85"/>
      <c r="I10" s="3" t="s">
        <v>16</v>
      </c>
      <c r="K10" s="53"/>
      <c r="L10" s="54"/>
      <c r="M10" s="54"/>
      <c r="N10" s="54"/>
      <c r="O10" s="54"/>
      <c r="P10" s="55"/>
      <c r="R10" s="13"/>
      <c r="S10" s="13"/>
      <c r="T10" s="13"/>
      <c r="U10" s="13"/>
      <c r="V10" s="13"/>
      <c r="W10" s="13"/>
      <c r="X10" s="13"/>
      <c r="Y10" s="13"/>
      <c r="AC10" s="49" t="s">
        <v>49</v>
      </c>
      <c r="AD10" s="66"/>
      <c r="AE10" s="67"/>
      <c r="AF10" s="66"/>
      <c r="AG10" s="40"/>
      <c r="AK10" s="22"/>
      <c r="AL10" s="22"/>
      <c r="AM10" s="22"/>
      <c r="AN10" s="22"/>
      <c r="AO10" s="22"/>
    </row>
    <row r="11" spans="1:41" ht="15.75" customHeight="1" x14ac:dyDescent="0.25">
      <c r="A11" s="87" t="s">
        <v>33</v>
      </c>
      <c r="B11" s="87"/>
      <c r="C11" s="87"/>
      <c r="D11" s="87"/>
      <c r="E11" s="87"/>
      <c r="F11" s="87"/>
      <c r="G11" s="86">
        <v>22.5</v>
      </c>
      <c r="H11" s="86"/>
      <c r="I11" s="2" t="s">
        <v>18</v>
      </c>
      <c r="K11" s="53"/>
      <c r="L11" s="54"/>
      <c r="M11" s="54"/>
      <c r="N11" s="54"/>
      <c r="O11" s="54"/>
      <c r="P11" s="55"/>
      <c r="R11" s="13"/>
      <c r="S11" s="13"/>
      <c r="T11" s="13"/>
      <c r="U11" s="13"/>
      <c r="V11" s="13"/>
      <c r="W11" s="13"/>
      <c r="X11" s="13"/>
      <c r="Y11" s="13"/>
      <c r="AC11" s="49"/>
      <c r="AD11" s="66"/>
      <c r="AE11" s="67"/>
      <c r="AF11" s="66"/>
      <c r="AG11" s="40"/>
      <c r="AK11" s="22"/>
      <c r="AL11" s="22"/>
      <c r="AM11" s="22"/>
      <c r="AN11" s="22"/>
      <c r="AO11" s="22"/>
    </row>
    <row r="12" spans="1:41" ht="15.75" customHeight="1" x14ac:dyDescent="0.25">
      <c r="A12" s="41" t="s">
        <v>34</v>
      </c>
      <c r="B12" s="42"/>
      <c r="C12" s="42"/>
      <c r="D12" s="42"/>
      <c r="E12" s="42"/>
      <c r="F12" s="43"/>
      <c r="G12" s="44">
        <f>360/G11</f>
        <v>16</v>
      </c>
      <c r="H12" s="45"/>
      <c r="I12" s="2"/>
      <c r="K12" s="53"/>
      <c r="L12" s="54"/>
      <c r="M12" s="54"/>
      <c r="N12" s="54"/>
      <c r="O12" s="54"/>
      <c r="P12" s="55"/>
      <c r="R12" s="8"/>
      <c r="S12" s="8"/>
      <c r="T12" s="8"/>
      <c r="U12" s="8"/>
      <c r="V12" s="8"/>
      <c r="W12" s="8"/>
      <c r="X12" s="8"/>
      <c r="Y12" s="8"/>
      <c r="AC12" s="49"/>
      <c r="AD12" s="66"/>
      <c r="AE12" s="67"/>
      <c r="AF12" s="66"/>
      <c r="AG12" s="40"/>
      <c r="AK12" s="22"/>
      <c r="AL12" s="22"/>
      <c r="AM12" s="22"/>
      <c r="AN12" s="22"/>
      <c r="AO12" s="22"/>
    </row>
    <row r="13" spans="1:41" ht="15.75" customHeight="1" x14ac:dyDescent="0.25">
      <c r="A13" s="87" t="s">
        <v>20</v>
      </c>
      <c r="B13" s="87"/>
      <c r="C13" s="87"/>
      <c r="D13" s="87"/>
      <c r="E13" s="87"/>
      <c r="F13" s="87"/>
      <c r="G13" s="86" t="s">
        <v>47</v>
      </c>
      <c r="H13" s="86"/>
      <c r="I13" s="2"/>
      <c r="K13" s="53"/>
      <c r="L13" s="54"/>
      <c r="M13" s="54"/>
      <c r="N13" s="54"/>
      <c r="O13" s="54"/>
      <c r="P13" s="55"/>
      <c r="R13" s="93" t="s">
        <v>25</v>
      </c>
      <c r="S13" s="93"/>
      <c r="T13" s="93" t="s">
        <v>26</v>
      </c>
      <c r="U13" s="93"/>
      <c r="V13" s="93" t="s">
        <v>27</v>
      </c>
      <c r="W13" s="93"/>
      <c r="X13" s="93" t="s">
        <v>28</v>
      </c>
      <c r="Y13" s="93"/>
      <c r="AC13" s="49" t="s">
        <v>49</v>
      </c>
      <c r="AD13" s="69" t="s">
        <v>49</v>
      </c>
      <c r="AE13" s="72" t="s">
        <v>61</v>
      </c>
      <c r="AF13" s="46" t="s">
        <v>50</v>
      </c>
      <c r="AG13" s="40"/>
      <c r="AK13" s="22"/>
      <c r="AL13" s="25"/>
      <c r="AM13" s="22"/>
      <c r="AN13" s="22"/>
      <c r="AO13" s="22"/>
    </row>
    <row r="14" spans="1:41" ht="15.75" customHeight="1" x14ac:dyDescent="0.25">
      <c r="A14" s="41" t="s">
        <v>21</v>
      </c>
      <c r="B14" s="42"/>
      <c r="C14" s="42"/>
      <c r="D14" s="42"/>
      <c r="E14" s="42"/>
      <c r="F14" s="43"/>
      <c r="G14" s="44">
        <v>480</v>
      </c>
      <c r="H14" s="45"/>
      <c r="I14" s="2"/>
      <c r="K14" s="53"/>
      <c r="L14" s="54"/>
      <c r="M14" s="54"/>
      <c r="N14" s="54"/>
      <c r="O14" s="54"/>
      <c r="P14" s="55"/>
      <c r="R14" s="93"/>
      <c r="S14" s="93"/>
      <c r="T14" s="93"/>
      <c r="U14" s="93"/>
      <c r="V14" s="93"/>
      <c r="W14" s="93"/>
      <c r="X14" s="93"/>
      <c r="Y14" s="93"/>
      <c r="AC14" s="49"/>
      <c r="AD14" s="70"/>
      <c r="AE14" s="73"/>
      <c r="AF14" s="47"/>
      <c r="AG14" s="40"/>
      <c r="AK14" s="22"/>
      <c r="AL14" s="25"/>
      <c r="AM14" s="22"/>
      <c r="AN14" s="22"/>
      <c r="AO14" s="22"/>
    </row>
    <row r="15" spans="1:41" ht="15.75" customHeight="1" x14ac:dyDescent="0.25">
      <c r="A15" s="41" t="s">
        <v>22</v>
      </c>
      <c r="B15" s="42"/>
      <c r="C15" s="42"/>
      <c r="D15" s="42"/>
      <c r="E15" s="42"/>
      <c r="F15" s="43"/>
      <c r="G15" s="44">
        <v>200</v>
      </c>
      <c r="H15" s="45"/>
      <c r="I15" s="2"/>
      <c r="K15" s="53"/>
      <c r="L15" s="54"/>
      <c r="M15" s="54"/>
      <c r="N15" s="54"/>
      <c r="O15" s="54"/>
      <c r="P15" s="55"/>
      <c r="R15" s="93"/>
      <c r="S15" s="93"/>
      <c r="T15" s="93"/>
      <c r="U15" s="93"/>
      <c r="V15" s="93"/>
      <c r="W15" s="93"/>
      <c r="X15" s="93"/>
      <c r="Y15" s="93"/>
      <c r="AC15" s="49"/>
      <c r="AD15" s="71"/>
      <c r="AE15" s="74"/>
      <c r="AF15" s="48"/>
      <c r="AG15" s="40"/>
      <c r="AK15" s="22"/>
      <c r="AL15" s="25"/>
      <c r="AM15" s="22"/>
      <c r="AN15" s="22"/>
      <c r="AO15" s="22"/>
    </row>
    <row r="16" spans="1:41" ht="15.75" customHeight="1" x14ac:dyDescent="0.25">
      <c r="A16" s="41" t="s">
        <v>23</v>
      </c>
      <c r="B16" s="42"/>
      <c r="C16" s="42"/>
      <c r="D16" s="42"/>
      <c r="E16" s="42"/>
      <c r="F16" s="43"/>
      <c r="G16" s="44">
        <v>50</v>
      </c>
      <c r="H16" s="45"/>
      <c r="I16" s="2"/>
      <c r="K16" s="53"/>
      <c r="L16" s="54"/>
      <c r="M16" s="54"/>
      <c r="N16" s="54"/>
      <c r="O16" s="54"/>
      <c r="P16" s="55"/>
      <c r="R16" s="93"/>
      <c r="S16" s="93"/>
      <c r="T16" s="93"/>
      <c r="U16" s="93"/>
      <c r="V16" s="93"/>
      <c r="W16" s="93"/>
      <c r="X16" s="93"/>
      <c r="Y16" s="93"/>
      <c r="AC16" s="49" t="s">
        <v>49</v>
      </c>
      <c r="AD16" s="75"/>
      <c r="AE16" s="78"/>
      <c r="AF16" s="78"/>
      <c r="AG16" s="62"/>
      <c r="AK16" s="25"/>
      <c r="AL16" s="26"/>
      <c r="AM16" s="26"/>
      <c r="AN16" s="26"/>
      <c r="AO16" s="27"/>
    </row>
    <row r="17" spans="1:41" ht="15.75" customHeight="1" x14ac:dyDescent="0.25">
      <c r="A17" s="59" t="s">
        <v>36</v>
      </c>
      <c r="B17" s="60"/>
      <c r="C17" s="60"/>
      <c r="D17" s="60"/>
      <c r="E17" s="60"/>
      <c r="F17" s="61"/>
      <c r="G17" s="94">
        <v>400</v>
      </c>
      <c r="H17" s="95"/>
      <c r="I17" s="4" t="s">
        <v>18</v>
      </c>
      <c r="K17" s="53"/>
      <c r="L17" s="54"/>
      <c r="M17" s="54"/>
      <c r="N17" s="54"/>
      <c r="O17" s="54"/>
      <c r="P17" s="55"/>
      <c r="R17" s="90">
        <f>MIN('T16-3'!U3:U18)</f>
        <v>-4.7285600000000205E-3</v>
      </c>
      <c r="S17" s="90"/>
      <c r="T17" s="90">
        <f>MIN('T16-3'!V3:V18)</f>
        <v>-5.4103999999999819E-3</v>
      </c>
      <c r="U17" s="90"/>
      <c r="V17" s="90">
        <f>MAX('T16-3'!U3:U18)</f>
        <v>3.7094000000000016E-3</v>
      </c>
      <c r="W17" s="90"/>
      <c r="X17" s="90">
        <f>MAX('T16-3'!V3:V18)</f>
        <v>5.0105200000000183E-3</v>
      </c>
      <c r="Y17" s="90"/>
      <c r="AC17" s="49"/>
      <c r="AD17" s="76"/>
      <c r="AE17" s="79"/>
      <c r="AF17" s="79"/>
      <c r="AG17" s="62"/>
      <c r="AK17" s="25"/>
      <c r="AL17" s="26"/>
      <c r="AM17" s="26"/>
      <c r="AN17" s="26"/>
      <c r="AO17" s="27"/>
    </row>
    <row r="18" spans="1:41" ht="15.75" customHeight="1" x14ac:dyDescent="0.25">
      <c r="A18" s="59" t="s">
        <v>35</v>
      </c>
      <c r="B18" s="60"/>
      <c r="C18" s="60"/>
      <c r="D18" s="60"/>
      <c r="E18" s="60"/>
      <c r="F18" s="61"/>
      <c r="G18" s="94">
        <f>(G14*G15)*2</f>
        <v>192000</v>
      </c>
      <c r="H18" s="95"/>
      <c r="I18" s="2"/>
      <c r="K18" s="56"/>
      <c r="L18" s="57"/>
      <c r="M18" s="57"/>
      <c r="N18" s="57"/>
      <c r="O18" s="57"/>
      <c r="P18" s="58"/>
      <c r="R18" s="90"/>
      <c r="S18" s="90"/>
      <c r="T18" s="90"/>
      <c r="U18" s="90"/>
      <c r="V18" s="90"/>
      <c r="W18" s="90"/>
      <c r="X18" s="90"/>
      <c r="Y18" s="90"/>
      <c r="AC18" s="49"/>
      <c r="AD18" s="77"/>
      <c r="AE18" s="80"/>
      <c r="AF18" s="80"/>
      <c r="AG18" s="62"/>
      <c r="AK18" s="25"/>
      <c r="AL18" s="26"/>
      <c r="AM18" s="26"/>
      <c r="AN18" s="26"/>
      <c r="AO18" s="27"/>
    </row>
    <row r="19" spans="1:41" ht="15.75" customHeight="1" x14ac:dyDescent="0.25">
      <c r="A19" s="9"/>
      <c r="B19" s="9"/>
      <c r="C19" s="9"/>
      <c r="D19" s="9"/>
      <c r="E19" s="9"/>
      <c r="F19" s="9"/>
      <c r="G19" s="10"/>
      <c r="H19" s="10"/>
      <c r="I19" s="11"/>
      <c r="K19" s="7"/>
      <c r="L19" s="7"/>
      <c r="M19" s="7"/>
      <c r="N19" s="7"/>
      <c r="O19" s="7"/>
      <c r="P19" s="7"/>
      <c r="R19" s="12"/>
      <c r="S19" s="12"/>
      <c r="T19" s="12"/>
      <c r="U19" s="12"/>
      <c r="V19" s="12"/>
      <c r="W19" s="12"/>
      <c r="X19" s="12"/>
      <c r="Y19" s="12"/>
      <c r="AC19" s="96" t="s">
        <v>49</v>
      </c>
      <c r="AD19" s="97" t="s">
        <v>49</v>
      </c>
      <c r="AE19" s="97" t="s">
        <v>49</v>
      </c>
      <c r="AF19" s="97" t="s">
        <v>49</v>
      </c>
      <c r="AG19" s="64"/>
    </row>
    <row r="20" spans="1:41" ht="15.75" customHeight="1" x14ac:dyDescent="0.25">
      <c r="A20" s="9"/>
      <c r="B20" s="9"/>
      <c r="C20" s="9"/>
      <c r="D20" s="9"/>
      <c r="E20" s="9"/>
      <c r="F20" s="9"/>
      <c r="G20" s="10"/>
      <c r="H20" s="10"/>
      <c r="I20" s="11"/>
      <c r="K20" s="7"/>
      <c r="L20" s="7"/>
      <c r="M20" s="7"/>
      <c r="N20" s="7"/>
      <c r="O20" s="7"/>
      <c r="P20" s="7"/>
      <c r="R20" s="12"/>
      <c r="S20" s="12"/>
      <c r="T20" s="12"/>
      <c r="U20" s="12"/>
      <c r="V20" s="12"/>
      <c r="W20" s="12"/>
      <c r="X20" s="12"/>
      <c r="Y20" s="12"/>
      <c r="AC20" s="96"/>
      <c r="AD20" s="97"/>
      <c r="AE20" s="97"/>
      <c r="AF20" s="97"/>
      <c r="AG20" s="64"/>
    </row>
    <row r="21" spans="1:41" ht="15.75" customHeight="1" x14ac:dyDescent="0.25">
      <c r="A21" s="9"/>
      <c r="B21" s="9"/>
      <c r="C21" s="9"/>
      <c r="D21" s="9"/>
      <c r="E21" s="9"/>
      <c r="F21" s="9"/>
      <c r="G21" s="10"/>
      <c r="H21" s="10"/>
      <c r="I21" s="11"/>
      <c r="K21" s="7"/>
      <c r="L21" s="7"/>
      <c r="M21" s="7"/>
      <c r="N21" s="7"/>
      <c r="O21" s="7"/>
      <c r="P21" s="7"/>
      <c r="R21" s="12"/>
      <c r="S21" s="12"/>
      <c r="T21" s="12"/>
      <c r="U21" s="12"/>
      <c r="V21" s="12"/>
      <c r="W21" s="12"/>
      <c r="X21" s="12"/>
      <c r="Y21" s="12"/>
      <c r="AC21" s="96"/>
      <c r="AD21" s="97"/>
      <c r="AE21" s="97"/>
      <c r="AF21" s="97"/>
      <c r="AG21" s="64"/>
    </row>
    <row r="22" spans="1:41" ht="15.75" customHeight="1" x14ac:dyDescent="0.25">
      <c r="A22" s="9"/>
      <c r="B22" s="9"/>
      <c r="C22" s="9"/>
      <c r="D22" s="9"/>
      <c r="E22" s="9"/>
      <c r="F22" s="9"/>
      <c r="G22" s="10"/>
      <c r="H22" s="10"/>
      <c r="I22" s="11"/>
      <c r="K22" s="7"/>
      <c r="L22" s="7"/>
      <c r="M22" s="7"/>
      <c r="N22" s="7"/>
      <c r="O22" s="7"/>
      <c r="P22" s="7"/>
      <c r="R22" s="12"/>
      <c r="S22" s="12"/>
      <c r="T22" s="12"/>
      <c r="U22" s="12"/>
      <c r="V22" s="12"/>
      <c r="W22" s="12"/>
      <c r="X22" s="12"/>
      <c r="Y22" s="12"/>
      <c r="AC22" s="19"/>
      <c r="AD22" s="20"/>
      <c r="AE22" s="20"/>
      <c r="AF22" s="20"/>
      <c r="AG22" s="21"/>
    </row>
  </sheetData>
  <mergeCells count="76">
    <mergeCell ref="AC19:AC21"/>
    <mergeCell ref="AD19:AD21"/>
    <mergeCell ref="AE19:AE21"/>
    <mergeCell ref="AF19:AF21"/>
    <mergeCell ref="AC16:AC18"/>
    <mergeCell ref="AG19:AG21"/>
    <mergeCell ref="A18:F18"/>
    <mergeCell ref="A14:F14"/>
    <mergeCell ref="A15:F15"/>
    <mergeCell ref="A16:F16"/>
    <mergeCell ref="R17:S18"/>
    <mergeCell ref="R13:S16"/>
    <mergeCell ref="A13:F13"/>
    <mergeCell ref="G17:H17"/>
    <mergeCell ref="G16:H16"/>
    <mergeCell ref="G15:H15"/>
    <mergeCell ref="G14:H14"/>
    <mergeCell ref="G18:H18"/>
    <mergeCell ref="T13:U16"/>
    <mergeCell ref="V13:W16"/>
    <mergeCell ref="X13:Y16"/>
    <mergeCell ref="T17:U18"/>
    <mergeCell ref="V17:W18"/>
    <mergeCell ref="X17:Y18"/>
    <mergeCell ref="R5:Y9"/>
    <mergeCell ref="G8:H8"/>
    <mergeCell ref="A5:F5"/>
    <mergeCell ref="G5:H5"/>
    <mergeCell ref="A6:F6"/>
    <mergeCell ref="G6:H6"/>
    <mergeCell ref="A8:F8"/>
    <mergeCell ref="G4:H4"/>
    <mergeCell ref="A1:B2"/>
    <mergeCell ref="C1:D2"/>
    <mergeCell ref="E1:Y2"/>
    <mergeCell ref="K4:P4"/>
    <mergeCell ref="A4:F4"/>
    <mergeCell ref="R4:Y4"/>
    <mergeCell ref="A10:F10"/>
    <mergeCell ref="G10:H10"/>
    <mergeCell ref="G9:H9"/>
    <mergeCell ref="G11:H11"/>
    <mergeCell ref="G13:H13"/>
    <mergeCell ref="A9:F9"/>
    <mergeCell ref="A11:F11"/>
    <mergeCell ref="AD13:AD15"/>
    <mergeCell ref="AE13:AE15"/>
    <mergeCell ref="AF10:AF12"/>
    <mergeCell ref="AD16:AD18"/>
    <mergeCell ref="AE16:AE18"/>
    <mergeCell ref="AF16:AF18"/>
    <mergeCell ref="AD4:AD6"/>
    <mergeCell ref="AE4:AE6"/>
    <mergeCell ref="AF4:AF6"/>
    <mergeCell ref="AC7:AC9"/>
    <mergeCell ref="AD10:AD12"/>
    <mergeCell ref="AE10:AE12"/>
    <mergeCell ref="AD7:AD9"/>
    <mergeCell ref="AE7:AE9"/>
    <mergeCell ref="AF7:AF9"/>
    <mergeCell ref="AC1:AG2"/>
    <mergeCell ref="AG7:AG9"/>
    <mergeCell ref="AG10:AG12"/>
    <mergeCell ref="AG13:AG15"/>
    <mergeCell ref="A7:F7"/>
    <mergeCell ref="G7:H7"/>
    <mergeCell ref="AF13:AF15"/>
    <mergeCell ref="AC10:AC12"/>
    <mergeCell ref="AC13:AC15"/>
    <mergeCell ref="A12:F12"/>
    <mergeCell ref="G12:H12"/>
    <mergeCell ref="K5:P18"/>
    <mergeCell ref="A17:F17"/>
    <mergeCell ref="AG16:AG18"/>
    <mergeCell ref="AC4:AC6"/>
    <mergeCell ref="AG4:AG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13B5D-C28B-4F1E-93CC-398852228A2C}">
  <dimension ref="A1:AF52"/>
  <sheetViews>
    <sheetView topLeftCell="A15" zoomScale="85" zoomScaleNormal="85" workbookViewId="0">
      <selection activeCell="A37" sqref="A37:AD52"/>
    </sheetView>
  </sheetViews>
  <sheetFormatPr defaultRowHeight="15" x14ac:dyDescent="0.25"/>
  <cols>
    <col min="2" max="2" width="5.85546875" customWidth="1"/>
    <col min="3" max="3" width="7.7109375" customWidth="1"/>
    <col min="4" max="4" width="3.5703125" customWidth="1"/>
    <col min="5" max="5" width="10.7109375" customWidth="1"/>
    <col min="6" max="6" width="10.85546875" customWidth="1"/>
    <col min="7" max="7" width="12.7109375" customWidth="1"/>
    <col min="8" max="9" width="10.85546875" customWidth="1"/>
    <col min="10" max="10" width="12.28515625" customWidth="1"/>
    <col min="11" max="11" width="10.42578125" customWidth="1"/>
    <col min="12" max="12" width="10.28515625" customWidth="1"/>
    <col min="13" max="13" width="12.42578125" customWidth="1"/>
    <col min="14" max="14" width="11.85546875" customWidth="1"/>
    <col min="15" max="15" width="11.7109375" customWidth="1"/>
    <col min="16" max="16" width="13.7109375" customWidth="1"/>
    <col min="17" max="18" width="11.7109375" customWidth="1"/>
    <col min="19" max="19" width="13.42578125" customWidth="1"/>
    <col min="20" max="20" width="2.7109375" customWidth="1"/>
    <col min="23" max="23" width="3.5703125" customWidth="1"/>
    <col min="24" max="24" width="3.28515625" customWidth="1"/>
    <col min="25" max="25" width="9.42578125" customWidth="1"/>
    <col min="26" max="26" width="11" customWidth="1"/>
    <col min="27" max="27" width="10.42578125" customWidth="1"/>
    <col min="28" max="28" width="10.28515625" customWidth="1"/>
    <col min="29" max="29" width="7" customWidth="1"/>
    <col min="30" max="30" width="7.140625" customWidth="1"/>
    <col min="31" max="31" width="15" customWidth="1"/>
    <col min="32" max="32" width="20.85546875" customWidth="1"/>
  </cols>
  <sheetData>
    <row r="1" spans="1:32" x14ac:dyDescent="0.25">
      <c r="Y1" s="5"/>
      <c r="Z1" s="5"/>
      <c r="AA1" s="5"/>
      <c r="AB1" s="5"/>
      <c r="AC1" s="5"/>
      <c r="AD1" s="5"/>
      <c r="AE1" s="5"/>
      <c r="AF1" s="5"/>
    </row>
    <row r="2" spans="1:32" x14ac:dyDescent="0.25">
      <c r="A2" t="s">
        <v>57</v>
      </c>
      <c r="B2" t="s">
        <v>53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54</v>
      </c>
      <c r="L2" t="s">
        <v>55</v>
      </c>
      <c r="M2" t="s">
        <v>56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U2" t="s">
        <v>65</v>
      </c>
      <c r="V2" t="s">
        <v>14</v>
      </c>
      <c r="Y2" s="6" t="s">
        <v>37</v>
      </c>
      <c r="Z2" s="6" t="s">
        <v>38</v>
      </c>
      <c r="AA2" s="6" t="s">
        <v>39</v>
      </c>
      <c r="AB2" s="6" t="s">
        <v>40</v>
      </c>
      <c r="AC2" s="6" t="s">
        <v>41</v>
      </c>
      <c r="AD2" s="5" t="s">
        <v>42</v>
      </c>
      <c r="AE2" s="5" t="s">
        <v>43</v>
      </c>
      <c r="AF2" s="5" t="s">
        <v>44</v>
      </c>
    </row>
    <row r="3" spans="1:32" x14ac:dyDescent="0.25">
      <c r="A3" s="14">
        <v>1</v>
      </c>
      <c r="B3" s="14" t="s">
        <v>63</v>
      </c>
      <c r="C3" s="14">
        <v>0</v>
      </c>
      <c r="D3" s="14">
        <v>19</v>
      </c>
      <c r="E3" s="15">
        <v>-0.37078680000000003</v>
      </c>
      <c r="F3" s="15">
        <v>-0.37076579999999998</v>
      </c>
      <c r="G3" s="15">
        <v>-2.1039999999999998E-5</v>
      </c>
      <c r="H3" s="15">
        <v>0.55947363999999999</v>
      </c>
      <c r="I3" s="15">
        <v>0.54945259999999996</v>
      </c>
      <c r="J3" s="15">
        <v>1.002103E-2</v>
      </c>
      <c r="K3" s="18">
        <v>24.88</v>
      </c>
      <c r="L3" s="18">
        <v>24.88</v>
      </c>
      <c r="M3" s="18">
        <v>0</v>
      </c>
      <c r="N3" s="15">
        <v>5.6492859999999999E-2</v>
      </c>
      <c r="O3" s="15">
        <v>4.0368399999999999E-2</v>
      </c>
      <c r="P3" s="15">
        <v>1.612446E-2</v>
      </c>
      <c r="Q3" s="15">
        <v>1.217182E-2</v>
      </c>
      <c r="R3" s="15">
        <v>-1.9205900000000001E-2</v>
      </c>
      <c r="S3" s="15">
        <v>3.1377719999999998E-2</v>
      </c>
      <c r="T3" s="14"/>
      <c r="U3" s="15">
        <f>(F3-E3)/2</f>
        <v>1.0500000000024379E-5</v>
      </c>
      <c r="V3" s="15">
        <f>(H3-I3)/2</f>
        <v>5.0105200000000183E-3</v>
      </c>
      <c r="W3" s="15"/>
      <c r="X3" s="15"/>
      <c r="Y3" s="16">
        <f t="shared" ref="Y3:Y34" si="0">N3</f>
        <v>5.6492859999999999E-2</v>
      </c>
      <c r="Z3" s="16">
        <f t="shared" ref="Z3:Z34" si="1">Q3</f>
        <v>1.217182E-2</v>
      </c>
      <c r="AA3" s="16">
        <f t="shared" ref="AA3:AA34" si="2">O3</f>
        <v>4.0368399999999999E-2</v>
      </c>
      <c r="AB3" s="16">
        <f t="shared" ref="AB3:AB34" si="3">R3</f>
        <v>-1.9205900000000001E-2</v>
      </c>
      <c r="AC3" s="17">
        <f>IF(Y3="","",DEGREES(ASIN(SQRT(Y3^2+Z3^2))))</f>
        <v>3.3129253592743333</v>
      </c>
      <c r="AD3" s="17">
        <f>IF(AA3="","",DEGREES(ASIN(SQRT(AA3^2+AB3^2))))</f>
        <v>2.562221541962828</v>
      </c>
      <c r="AE3" s="17">
        <f>IF(Y3="","",MOD(DEGREES(ATAN2(Y3,Z3)),360))</f>
        <v>12.158941801392253</v>
      </c>
      <c r="AF3" s="17">
        <f t="shared" ref="AF3:AF34" si="4">IF(Y3="","",MOD(F3+AE3,360))</f>
        <v>11.788176001392253</v>
      </c>
    </row>
    <row r="4" spans="1:32" x14ac:dyDescent="0.25">
      <c r="A4" s="14">
        <v>2</v>
      </c>
      <c r="B4" s="14" t="s">
        <v>63</v>
      </c>
      <c r="C4" s="14">
        <v>22.5</v>
      </c>
      <c r="D4" s="14">
        <v>15</v>
      </c>
      <c r="E4" s="15">
        <v>-0.36419667999999999</v>
      </c>
      <c r="F4" s="15">
        <v>-0.36536664000000002</v>
      </c>
      <c r="G4" s="15">
        <v>1.1699799999999999E-3</v>
      </c>
      <c r="H4" s="15">
        <v>0.54459659999999999</v>
      </c>
      <c r="I4" s="15">
        <v>0.53708</v>
      </c>
      <c r="J4" s="15">
        <v>7.5166199999999999E-3</v>
      </c>
      <c r="K4" s="18">
        <v>25.06</v>
      </c>
      <c r="L4" s="18">
        <v>25.07</v>
      </c>
      <c r="M4" s="18">
        <v>-0.01</v>
      </c>
      <c r="N4" s="15">
        <v>6.0915690000000002E-2</v>
      </c>
      <c r="O4" s="15">
        <v>3.4078940000000002E-2</v>
      </c>
      <c r="P4" s="15">
        <v>2.6836749999999999E-2</v>
      </c>
      <c r="Q4" s="15">
        <v>7.7418599999999997E-3</v>
      </c>
      <c r="R4" s="15">
        <v>-1.515853E-2</v>
      </c>
      <c r="S4" s="15">
        <v>2.290039E-2</v>
      </c>
      <c r="T4" s="14"/>
      <c r="U4" s="15">
        <f t="shared" ref="U4:U34" si="5">(F4-E4)/2</f>
        <v>-5.8498000000001271E-4</v>
      </c>
      <c r="V4" s="15">
        <f t="shared" ref="V4:V34" si="6">(H4-I4)/2</f>
        <v>3.7582999999999922E-3</v>
      </c>
      <c r="W4" s="15"/>
      <c r="X4" s="15"/>
      <c r="Y4" s="16">
        <f t="shared" si="0"/>
        <v>6.0915690000000002E-2</v>
      </c>
      <c r="Z4" s="16">
        <f t="shared" si="1"/>
        <v>7.7418599999999997E-3</v>
      </c>
      <c r="AA4" s="16">
        <f t="shared" si="2"/>
        <v>3.4078940000000002E-2</v>
      </c>
      <c r="AB4" s="16">
        <f t="shared" si="3"/>
        <v>-1.515853E-2</v>
      </c>
      <c r="AC4" s="17">
        <f t="shared" ref="AC4:AC18" si="7">IF(Y4="","",DEGREES(ASIN(SQRT(Y4^2+Z4^2))))</f>
        <v>3.5205011736455361</v>
      </c>
      <c r="AD4" s="17">
        <f t="shared" ref="AD4:AD18" si="8">IF(AA4="","",DEGREES(ASIN(SQRT(AA4^2+AB4^2))))</f>
        <v>2.1375248289859856</v>
      </c>
      <c r="AE4" s="17">
        <f t="shared" ref="AE4:AE18" si="9">IF(Y4="","",MOD(DEGREES(ATAN2(Y4,Z4)),360))</f>
        <v>7.2429703999748796</v>
      </c>
      <c r="AF4" s="17">
        <f t="shared" si="4"/>
        <v>6.8776037599748792</v>
      </c>
    </row>
    <row r="5" spans="1:32" x14ac:dyDescent="0.25">
      <c r="A5" s="14">
        <v>3</v>
      </c>
      <c r="B5" s="14" t="s">
        <v>63</v>
      </c>
      <c r="C5" s="14">
        <v>45</v>
      </c>
      <c r="D5" s="14">
        <v>15</v>
      </c>
      <c r="E5" s="15">
        <v>-0.36526663999999998</v>
      </c>
      <c r="F5" s="15">
        <v>-0.37178003999999998</v>
      </c>
      <c r="G5" s="15">
        <v>6.51339E-3</v>
      </c>
      <c r="H5" s="15">
        <v>0.55341680000000004</v>
      </c>
      <c r="I5" s="15">
        <v>0.54496670000000003</v>
      </c>
      <c r="J5" s="15">
        <v>8.4500900000000004E-3</v>
      </c>
      <c r="K5" s="18">
        <v>24.93</v>
      </c>
      <c r="L5" s="18">
        <v>24.95</v>
      </c>
      <c r="M5" s="18">
        <v>-0.02</v>
      </c>
      <c r="N5" s="15">
        <v>6.4291180000000003E-2</v>
      </c>
      <c r="O5" s="15">
        <v>3.1760740000000003E-2</v>
      </c>
      <c r="P5" s="15">
        <v>3.2530440000000001E-2</v>
      </c>
      <c r="Q5" s="15">
        <v>1.6468100000000001E-3</v>
      </c>
      <c r="R5" s="15">
        <v>-8.6302099999999993E-3</v>
      </c>
      <c r="S5" s="15">
        <v>1.027702E-2</v>
      </c>
      <c r="T5" s="14"/>
      <c r="U5" s="15">
        <f t="shared" si="5"/>
        <v>-3.2567000000000013E-3</v>
      </c>
      <c r="V5" s="15">
        <f t="shared" si="6"/>
        <v>4.225050000000008E-3</v>
      </c>
      <c r="W5" s="15"/>
      <c r="X5" s="15"/>
      <c r="Y5" s="16">
        <f t="shared" si="0"/>
        <v>6.4291180000000003E-2</v>
      </c>
      <c r="Z5" s="16">
        <f t="shared" si="1"/>
        <v>1.6468100000000001E-3</v>
      </c>
      <c r="AA5" s="16">
        <f t="shared" si="2"/>
        <v>3.1760740000000003E-2</v>
      </c>
      <c r="AB5" s="16">
        <f t="shared" si="3"/>
        <v>-8.6302099999999993E-3</v>
      </c>
      <c r="AC5" s="17">
        <f t="shared" si="7"/>
        <v>3.6873663758465498</v>
      </c>
      <c r="AD5" s="17">
        <f t="shared" si="8"/>
        <v>1.8860814051909218</v>
      </c>
      <c r="AE5" s="17">
        <f t="shared" si="9"/>
        <v>1.4673028961560193</v>
      </c>
      <c r="AF5" s="17">
        <f t="shared" si="4"/>
        <v>1.0955228561560193</v>
      </c>
    </row>
    <row r="6" spans="1:32" x14ac:dyDescent="0.25">
      <c r="A6" s="14">
        <v>4</v>
      </c>
      <c r="B6" s="14" t="s">
        <v>63</v>
      </c>
      <c r="C6" s="14">
        <v>67.5</v>
      </c>
      <c r="D6" s="14">
        <v>9</v>
      </c>
      <c r="E6" s="15">
        <v>-0.35905556</v>
      </c>
      <c r="F6" s="15">
        <v>-0.36747224000000001</v>
      </c>
      <c r="G6" s="15">
        <v>8.4166799999999993E-3</v>
      </c>
      <c r="H6" s="15">
        <v>0.53693340000000001</v>
      </c>
      <c r="I6" s="15">
        <v>0.53531664000000001</v>
      </c>
      <c r="J6" s="15">
        <v>1.61678E-3</v>
      </c>
      <c r="K6" s="18">
        <v>25.15</v>
      </c>
      <c r="L6" s="18">
        <v>25.12</v>
      </c>
      <c r="M6" s="18">
        <v>0.02</v>
      </c>
      <c r="N6" s="15">
        <v>6.5100909999999998E-2</v>
      </c>
      <c r="O6" s="15">
        <v>2.976318E-2</v>
      </c>
      <c r="P6" s="15">
        <v>3.5337720000000003E-2</v>
      </c>
      <c r="Q6" s="15">
        <v>-5.2612300000000004E-3</v>
      </c>
      <c r="R6" s="15">
        <v>-2.0765499999999999E-3</v>
      </c>
      <c r="S6" s="15">
        <v>-3.1846800000000001E-3</v>
      </c>
      <c r="T6" s="14"/>
      <c r="U6" s="15">
        <f t="shared" si="5"/>
        <v>-4.2083400000000049E-3</v>
      </c>
      <c r="V6" s="15">
        <f t="shared" si="6"/>
        <v>8.0837999999999743E-4</v>
      </c>
      <c r="W6" s="15"/>
      <c r="X6" s="15"/>
      <c r="Y6" s="16">
        <f t="shared" si="0"/>
        <v>6.5100909999999998E-2</v>
      </c>
      <c r="Z6" s="16">
        <f t="shared" si="1"/>
        <v>-5.2612300000000004E-3</v>
      </c>
      <c r="AA6" s="16">
        <f t="shared" si="2"/>
        <v>2.976318E-2</v>
      </c>
      <c r="AB6" s="16">
        <f t="shared" si="3"/>
        <v>-2.0765499999999999E-3</v>
      </c>
      <c r="AC6" s="17">
        <f t="shared" si="7"/>
        <v>3.7448341654818442</v>
      </c>
      <c r="AD6" s="17">
        <f t="shared" si="8"/>
        <v>1.7097037534096193</v>
      </c>
      <c r="AE6" s="17">
        <f t="shared" si="9"/>
        <v>355.37959524678763</v>
      </c>
      <c r="AF6" s="17">
        <f t="shared" si="4"/>
        <v>355.01212300678765</v>
      </c>
    </row>
    <row r="7" spans="1:32" x14ac:dyDescent="0.25">
      <c r="A7" s="14">
        <v>5</v>
      </c>
      <c r="B7" s="14" t="s">
        <v>63</v>
      </c>
      <c r="C7" s="14">
        <v>90</v>
      </c>
      <c r="D7" s="14">
        <v>13</v>
      </c>
      <c r="E7" s="15">
        <v>-0.35804609999999998</v>
      </c>
      <c r="F7" s="15">
        <v>-0.36721152000000001</v>
      </c>
      <c r="G7" s="15">
        <v>9.1654100000000006E-3</v>
      </c>
      <c r="H7" s="15">
        <v>0.54084620000000005</v>
      </c>
      <c r="I7" s="15">
        <v>0.53643850000000004</v>
      </c>
      <c r="J7" s="15">
        <v>4.4076999999999996E-3</v>
      </c>
      <c r="K7" s="18">
        <v>25.15</v>
      </c>
      <c r="L7" s="18">
        <v>25.16</v>
      </c>
      <c r="M7" s="18">
        <v>-0.01</v>
      </c>
      <c r="N7" s="15">
        <v>6.324275E-2</v>
      </c>
      <c r="O7" s="15">
        <v>3.22876E-2</v>
      </c>
      <c r="P7" s="15">
        <v>3.0955150000000001E-2</v>
      </c>
      <c r="Q7" s="15">
        <v>-1.215726E-2</v>
      </c>
      <c r="R7" s="15">
        <v>5.0751199999999998E-3</v>
      </c>
      <c r="S7" s="15">
        <v>-1.7232379999999999E-2</v>
      </c>
      <c r="T7" s="14"/>
      <c r="U7" s="15">
        <f t="shared" si="5"/>
        <v>-4.5827100000000176E-3</v>
      </c>
      <c r="V7" s="15">
        <f t="shared" si="6"/>
        <v>2.2038500000000072E-3</v>
      </c>
      <c r="W7" s="15"/>
      <c r="X7" s="15"/>
      <c r="Y7" s="16">
        <f t="shared" si="0"/>
        <v>6.324275E-2</v>
      </c>
      <c r="Z7" s="16">
        <f t="shared" si="1"/>
        <v>-1.215726E-2</v>
      </c>
      <c r="AA7" s="16">
        <f t="shared" si="2"/>
        <v>3.22876E-2</v>
      </c>
      <c r="AB7" s="16">
        <f t="shared" si="3"/>
        <v>5.0751199999999998E-3</v>
      </c>
      <c r="AC7" s="17">
        <f t="shared" si="7"/>
        <v>3.6924411158548618</v>
      </c>
      <c r="AD7" s="17">
        <f t="shared" si="8"/>
        <v>1.8729906690614877</v>
      </c>
      <c r="AE7" s="17">
        <f t="shared" si="9"/>
        <v>349.11867293871904</v>
      </c>
      <c r="AF7" s="17">
        <f t="shared" si="4"/>
        <v>348.75146141871903</v>
      </c>
    </row>
    <row r="8" spans="1:32" x14ac:dyDescent="0.25">
      <c r="A8" s="14">
        <v>6</v>
      </c>
      <c r="B8" s="14" t="s">
        <v>63</v>
      </c>
      <c r="C8" s="14">
        <v>112.5</v>
      </c>
      <c r="D8" s="14">
        <v>12</v>
      </c>
      <c r="E8" s="15">
        <v>-0.35784159999999998</v>
      </c>
      <c r="F8" s="15">
        <v>-0.36627920000000003</v>
      </c>
      <c r="G8" s="15">
        <v>8.4376E-3</v>
      </c>
      <c r="H8" s="15">
        <v>0.53714176000000002</v>
      </c>
      <c r="I8" s="15">
        <v>0.54142504000000002</v>
      </c>
      <c r="J8" s="15">
        <v>-4.2833100000000002E-3</v>
      </c>
      <c r="K8" s="18">
        <v>25.12</v>
      </c>
      <c r="L8" s="18">
        <v>25.12</v>
      </c>
      <c r="M8" s="18">
        <v>0</v>
      </c>
      <c r="N8" s="15">
        <v>5.907105E-2</v>
      </c>
      <c r="O8" s="15">
        <v>3.6541949999999997E-2</v>
      </c>
      <c r="P8" s="15">
        <v>2.25291E-2</v>
      </c>
      <c r="Q8" s="15">
        <v>-1.7331949999999999E-2</v>
      </c>
      <c r="R8" s="15">
        <v>1.0206099999999999E-2</v>
      </c>
      <c r="S8" s="15">
        <v>-2.7538050000000001E-2</v>
      </c>
      <c r="T8" s="14"/>
      <c r="U8" s="15">
        <f t="shared" si="5"/>
        <v>-4.2188000000000225E-3</v>
      </c>
      <c r="V8" s="15">
        <f t="shared" si="6"/>
        <v>-2.1416400000000002E-3</v>
      </c>
      <c r="W8" s="15"/>
      <c r="X8" s="15"/>
      <c r="Y8" s="16">
        <f t="shared" si="0"/>
        <v>5.907105E-2</v>
      </c>
      <c r="Z8" s="16">
        <f t="shared" si="1"/>
        <v>-1.7331949999999999E-2</v>
      </c>
      <c r="AA8" s="16">
        <f t="shared" si="2"/>
        <v>3.6541949999999997E-2</v>
      </c>
      <c r="AB8" s="16">
        <f t="shared" si="3"/>
        <v>1.0206099999999999E-2</v>
      </c>
      <c r="AC8" s="17">
        <f t="shared" si="7"/>
        <v>3.5294305425252857</v>
      </c>
      <c r="AD8" s="17">
        <f t="shared" si="8"/>
        <v>2.174350160700345</v>
      </c>
      <c r="AE8" s="17">
        <f t="shared" si="9"/>
        <v>343.64786138070667</v>
      </c>
      <c r="AF8" s="17">
        <f t="shared" si="4"/>
        <v>343.28158218070666</v>
      </c>
    </row>
    <row r="9" spans="1:32" x14ac:dyDescent="0.25">
      <c r="A9" s="14">
        <v>7</v>
      </c>
      <c r="B9" s="14" t="s">
        <v>63</v>
      </c>
      <c r="C9" s="14">
        <v>135</v>
      </c>
      <c r="D9" s="14">
        <v>14</v>
      </c>
      <c r="E9" s="15">
        <v>-0.36337503999999998</v>
      </c>
      <c r="F9" s="15">
        <v>-0.37283216000000002</v>
      </c>
      <c r="G9" s="15">
        <v>9.4571099999999995E-3</v>
      </c>
      <c r="H9" s="15">
        <v>0.55203570000000002</v>
      </c>
      <c r="I9" s="15">
        <v>0.55902859999999999</v>
      </c>
      <c r="J9" s="15">
        <v>-6.9929399999999996E-3</v>
      </c>
      <c r="K9" s="18">
        <v>24.91</v>
      </c>
      <c r="L9" s="18">
        <v>24.9</v>
      </c>
      <c r="M9" s="18">
        <v>0.01</v>
      </c>
      <c r="N9" s="15">
        <v>5.273158E-2</v>
      </c>
      <c r="O9" s="15">
        <v>4.3430000000000003E-2</v>
      </c>
      <c r="P9" s="15">
        <v>9.3015800000000003E-3</v>
      </c>
      <c r="Q9" s="15">
        <v>-2.0700159999999999E-2</v>
      </c>
      <c r="R9" s="15">
        <v>1.3767440000000001E-2</v>
      </c>
      <c r="S9" s="15">
        <v>-3.4467600000000001E-2</v>
      </c>
      <c r="T9" s="14"/>
      <c r="U9" s="15">
        <f t="shared" si="5"/>
        <v>-4.7285600000000205E-3</v>
      </c>
      <c r="V9" s="15">
        <f t="shared" si="6"/>
        <v>-3.4964499999999843E-3</v>
      </c>
      <c r="W9" s="15"/>
      <c r="X9" s="15"/>
      <c r="Y9" s="16">
        <f t="shared" si="0"/>
        <v>5.273158E-2</v>
      </c>
      <c r="Z9" s="16">
        <f t="shared" si="1"/>
        <v>-2.0700159999999999E-2</v>
      </c>
      <c r="AA9" s="16">
        <f t="shared" si="2"/>
        <v>4.3430000000000003E-2</v>
      </c>
      <c r="AB9" s="16">
        <f t="shared" si="3"/>
        <v>1.3767440000000001E-2</v>
      </c>
      <c r="AC9" s="17">
        <f t="shared" si="7"/>
        <v>3.2474906405085848</v>
      </c>
      <c r="AD9" s="17">
        <f t="shared" si="8"/>
        <v>2.6112956685945021</v>
      </c>
      <c r="AE9" s="17">
        <f t="shared" si="9"/>
        <v>338.56715424245397</v>
      </c>
      <c r="AF9" s="17">
        <f t="shared" si="4"/>
        <v>338.19432208245399</v>
      </c>
    </row>
    <row r="10" spans="1:32" x14ac:dyDescent="0.25">
      <c r="A10" s="14">
        <v>8</v>
      </c>
      <c r="B10" s="14" t="s">
        <v>63</v>
      </c>
      <c r="C10" s="14">
        <v>157.5</v>
      </c>
      <c r="D10" s="14">
        <v>12</v>
      </c>
      <c r="E10" s="15">
        <v>-0.35980415999999998</v>
      </c>
      <c r="F10" s="15">
        <v>-0.36391250000000003</v>
      </c>
      <c r="G10" s="15">
        <v>4.1083400000000003E-3</v>
      </c>
      <c r="H10" s="15">
        <v>0.53314170000000005</v>
      </c>
      <c r="I10" s="15">
        <v>0.54396250000000002</v>
      </c>
      <c r="J10" s="15">
        <v>-1.082081E-2</v>
      </c>
      <c r="K10" s="18">
        <v>25.13</v>
      </c>
      <c r="L10" s="18">
        <v>25.13</v>
      </c>
      <c r="M10" s="18">
        <v>0</v>
      </c>
      <c r="N10" s="15">
        <v>4.5053099999999999E-2</v>
      </c>
      <c r="O10" s="15">
        <v>4.9830729999999997E-2</v>
      </c>
      <c r="P10" s="15">
        <v>-4.7776299999999997E-3</v>
      </c>
      <c r="Q10" s="15">
        <v>-2.1414590000000001E-2</v>
      </c>
      <c r="R10" s="15">
        <v>1.426961E-2</v>
      </c>
      <c r="S10" s="15">
        <v>-3.5684210000000001E-2</v>
      </c>
      <c r="T10" s="14"/>
      <c r="U10" s="15">
        <f t="shared" si="5"/>
        <v>-2.0541700000000218E-3</v>
      </c>
      <c r="V10" s="15">
        <f t="shared" si="6"/>
        <v>-5.4103999999999819E-3</v>
      </c>
      <c r="W10" s="15"/>
      <c r="X10" s="15"/>
      <c r="Y10" s="16">
        <f t="shared" si="0"/>
        <v>4.5053099999999999E-2</v>
      </c>
      <c r="Z10" s="16">
        <f t="shared" si="1"/>
        <v>-2.1414590000000001E-2</v>
      </c>
      <c r="AA10" s="16">
        <f t="shared" si="2"/>
        <v>4.9830729999999997E-2</v>
      </c>
      <c r="AB10" s="16">
        <f t="shared" si="3"/>
        <v>1.426961E-2</v>
      </c>
      <c r="AC10" s="17">
        <f t="shared" si="7"/>
        <v>2.8593023589742206</v>
      </c>
      <c r="AD10" s="17">
        <f t="shared" si="8"/>
        <v>2.9711787237692824</v>
      </c>
      <c r="AE10" s="17">
        <f t="shared" si="9"/>
        <v>334.57737565940522</v>
      </c>
      <c r="AF10" s="17">
        <f t="shared" si="4"/>
        <v>334.21346315940519</v>
      </c>
    </row>
    <row r="11" spans="1:32" x14ac:dyDescent="0.25">
      <c r="A11" s="14">
        <v>9</v>
      </c>
      <c r="B11" s="14" t="s">
        <v>63</v>
      </c>
      <c r="C11" s="14">
        <v>180</v>
      </c>
      <c r="D11" s="14">
        <v>16</v>
      </c>
      <c r="E11" s="15">
        <v>-0.36030308</v>
      </c>
      <c r="F11" s="15">
        <v>-0.35830000000000001</v>
      </c>
      <c r="G11" s="15">
        <v>-2.00307E-3</v>
      </c>
      <c r="H11" s="15">
        <v>0.53329689999999996</v>
      </c>
      <c r="I11" s="15">
        <v>0.54074376000000002</v>
      </c>
      <c r="J11" s="15">
        <v>-7.4468800000000003E-3</v>
      </c>
      <c r="K11" s="18">
        <v>25.21</v>
      </c>
      <c r="L11" s="18">
        <v>25.2</v>
      </c>
      <c r="M11" s="18">
        <v>0</v>
      </c>
      <c r="N11" s="15">
        <v>3.8947299999999997E-2</v>
      </c>
      <c r="O11" s="15">
        <v>5.5662999999999997E-2</v>
      </c>
      <c r="P11" s="15">
        <v>-1.67157E-2</v>
      </c>
      <c r="Q11" s="15">
        <v>-1.963287E-2</v>
      </c>
      <c r="R11" s="15">
        <v>1.2319790000000001E-2</v>
      </c>
      <c r="S11" s="15">
        <v>-3.1952670000000002E-2</v>
      </c>
      <c r="T11" s="14"/>
      <c r="U11" s="15">
        <f t="shared" si="5"/>
        <v>1.0015399999999952E-3</v>
      </c>
      <c r="V11" s="15">
        <f t="shared" si="6"/>
        <v>-3.7234300000000276E-3</v>
      </c>
      <c r="W11" s="15"/>
      <c r="X11" s="15"/>
      <c r="Y11" s="16">
        <f t="shared" si="0"/>
        <v>3.8947299999999997E-2</v>
      </c>
      <c r="Z11" s="16">
        <f t="shared" si="1"/>
        <v>-1.963287E-2</v>
      </c>
      <c r="AA11" s="16">
        <f t="shared" si="2"/>
        <v>5.5662999999999997E-2</v>
      </c>
      <c r="AB11" s="16">
        <f t="shared" si="3"/>
        <v>1.2319790000000001E-2</v>
      </c>
      <c r="AC11" s="17">
        <f t="shared" si="7"/>
        <v>2.4997967301127781</v>
      </c>
      <c r="AD11" s="17">
        <f t="shared" si="8"/>
        <v>3.2682077463042321</v>
      </c>
      <c r="AE11" s="17">
        <f t="shared" si="9"/>
        <v>333.24787124169842</v>
      </c>
      <c r="AF11" s="17">
        <f t="shared" si="4"/>
        <v>332.88957124169843</v>
      </c>
    </row>
    <row r="12" spans="1:32" x14ac:dyDescent="0.25">
      <c r="A12" s="14">
        <v>10</v>
      </c>
      <c r="B12" s="14" t="s">
        <v>63</v>
      </c>
      <c r="C12" s="14">
        <v>202.5</v>
      </c>
      <c r="D12" s="14">
        <v>17</v>
      </c>
      <c r="E12" s="15">
        <v>-0.37189109999999997</v>
      </c>
      <c r="F12" s="15">
        <v>-0.36946464000000001</v>
      </c>
      <c r="G12" s="15">
        <v>-2.42648E-3</v>
      </c>
      <c r="H12" s="15">
        <v>0.55140299999999998</v>
      </c>
      <c r="I12" s="15">
        <v>0.55991769999999996</v>
      </c>
      <c r="J12" s="15">
        <v>-8.5147E-3</v>
      </c>
      <c r="K12" s="18">
        <v>24.88</v>
      </c>
      <c r="L12" s="18">
        <v>24.87</v>
      </c>
      <c r="M12" s="18">
        <v>0</v>
      </c>
      <c r="N12" s="15">
        <v>3.3884999999999998E-2</v>
      </c>
      <c r="O12" s="15">
        <v>6.1996490000000001E-2</v>
      </c>
      <c r="P12" s="15">
        <v>-2.8111500000000001E-2</v>
      </c>
      <c r="Q12" s="15">
        <v>-1.491699E-2</v>
      </c>
      <c r="R12" s="15">
        <v>7.9340000000000001E-3</v>
      </c>
      <c r="S12" s="15">
        <v>-2.2850990000000002E-2</v>
      </c>
      <c r="T12" s="14"/>
      <c r="U12" s="15">
        <f t="shared" si="5"/>
        <v>1.2132299999999818E-3</v>
      </c>
      <c r="V12" s="15">
        <f t="shared" si="6"/>
        <v>-4.2573499999999931E-3</v>
      </c>
      <c r="W12" s="15"/>
      <c r="X12" s="15"/>
      <c r="Y12" s="16">
        <f t="shared" si="0"/>
        <v>3.3884999999999998E-2</v>
      </c>
      <c r="Z12" s="16">
        <f t="shared" si="1"/>
        <v>-1.491699E-2</v>
      </c>
      <c r="AA12" s="16">
        <f t="shared" si="2"/>
        <v>6.1996490000000001E-2</v>
      </c>
      <c r="AB12" s="16">
        <f t="shared" si="3"/>
        <v>7.9340000000000001E-3</v>
      </c>
      <c r="AC12" s="17">
        <f t="shared" si="7"/>
        <v>2.12175218936326</v>
      </c>
      <c r="AD12" s="17">
        <f t="shared" si="8"/>
        <v>3.583442541839764</v>
      </c>
      <c r="AE12" s="17">
        <f t="shared" si="9"/>
        <v>336.23975417584199</v>
      </c>
      <c r="AF12" s="17">
        <f t="shared" si="4"/>
        <v>335.87028953584201</v>
      </c>
    </row>
    <row r="13" spans="1:32" x14ac:dyDescent="0.25">
      <c r="A13" s="14">
        <v>11</v>
      </c>
      <c r="B13" s="14" t="s">
        <v>63</v>
      </c>
      <c r="C13" s="14">
        <v>225</v>
      </c>
      <c r="D13" s="14">
        <v>17</v>
      </c>
      <c r="E13" s="15">
        <v>-0.37166475999999998</v>
      </c>
      <c r="F13" s="15">
        <v>-0.36990000000000001</v>
      </c>
      <c r="G13" s="15">
        <v>-1.7647400000000001E-3</v>
      </c>
      <c r="H13" s="15">
        <v>0.55142639999999998</v>
      </c>
      <c r="I13" s="15">
        <v>0.56006767999999996</v>
      </c>
      <c r="J13" s="15">
        <v>-8.6412399999999997E-3</v>
      </c>
      <c r="K13" s="18">
        <v>24.88</v>
      </c>
      <c r="L13" s="18">
        <v>24.88</v>
      </c>
      <c r="M13" s="18">
        <v>0</v>
      </c>
      <c r="N13" s="15">
        <v>3.0338629999999998E-2</v>
      </c>
      <c r="O13" s="15">
        <v>6.6413299999999995E-2</v>
      </c>
      <c r="P13" s="15">
        <v>-3.6074660000000001E-2</v>
      </c>
      <c r="Q13" s="15">
        <v>-8.7118000000000004E-3</v>
      </c>
      <c r="R13" s="15">
        <v>1.7645600000000001E-3</v>
      </c>
      <c r="S13" s="15">
        <v>-1.0476360000000001E-2</v>
      </c>
      <c r="T13" s="14"/>
      <c r="U13" s="15">
        <f t="shared" si="5"/>
        <v>8.8237999999998817E-4</v>
      </c>
      <c r="V13" s="15">
        <f t="shared" si="6"/>
        <v>-4.3206399999999867E-3</v>
      </c>
      <c r="W13" s="15"/>
      <c r="X13" s="15"/>
      <c r="Y13" s="16">
        <f t="shared" si="0"/>
        <v>3.0338629999999998E-2</v>
      </c>
      <c r="Z13" s="16">
        <f t="shared" si="1"/>
        <v>-8.7118000000000004E-3</v>
      </c>
      <c r="AA13" s="16">
        <f t="shared" si="2"/>
        <v>6.6413299999999995E-2</v>
      </c>
      <c r="AB13" s="16">
        <f t="shared" si="3"/>
        <v>1.7645600000000001E-3</v>
      </c>
      <c r="AC13" s="17">
        <f t="shared" si="7"/>
        <v>1.8088224010004095</v>
      </c>
      <c r="AD13" s="17">
        <f t="shared" si="8"/>
        <v>3.8093504861980625</v>
      </c>
      <c r="AE13" s="17">
        <f t="shared" si="9"/>
        <v>343.97847207535563</v>
      </c>
      <c r="AF13" s="17">
        <f t="shared" si="4"/>
        <v>343.60857207535565</v>
      </c>
    </row>
    <row r="14" spans="1:32" x14ac:dyDescent="0.25">
      <c r="A14" s="14">
        <v>12</v>
      </c>
      <c r="B14" s="14" t="s">
        <v>63</v>
      </c>
      <c r="C14" s="14">
        <v>247.5</v>
      </c>
      <c r="D14" s="14">
        <v>13</v>
      </c>
      <c r="E14" s="15">
        <v>-0.36782692</v>
      </c>
      <c r="F14" s="15">
        <v>-0.36625000000000002</v>
      </c>
      <c r="G14" s="15">
        <v>-1.57693E-3</v>
      </c>
      <c r="H14" s="15">
        <v>0.5453424</v>
      </c>
      <c r="I14" s="15">
        <v>0.54847299999999999</v>
      </c>
      <c r="J14" s="15">
        <v>-3.1306099999999998E-3</v>
      </c>
      <c r="K14" s="18">
        <v>24.99</v>
      </c>
      <c r="L14" s="18">
        <v>24.99</v>
      </c>
      <c r="M14" s="18">
        <v>0</v>
      </c>
      <c r="N14" s="15">
        <v>2.9645810000000002E-2</v>
      </c>
      <c r="O14" s="15">
        <v>6.5805660000000002E-2</v>
      </c>
      <c r="P14" s="15">
        <v>-3.6159860000000002E-2</v>
      </c>
      <c r="Q14" s="15">
        <v>-1.8308700000000001E-3</v>
      </c>
      <c r="R14" s="15">
        <v>-5.2542800000000001E-3</v>
      </c>
      <c r="S14" s="15">
        <v>3.4234199999999999E-3</v>
      </c>
      <c r="T14" s="14"/>
      <c r="U14" s="15">
        <f t="shared" si="5"/>
        <v>7.8845999999999083E-4</v>
      </c>
      <c r="V14" s="15">
        <f t="shared" si="6"/>
        <v>-1.5652999999999917E-3</v>
      </c>
      <c r="W14" s="15"/>
      <c r="X14" s="15"/>
      <c r="Y14" s="16">
        <f t="shared" si="0"/>
        <v>2.9645810000000002E-2</v>
      </c>
      <c r="Z14" s="16">
        <f t="shared" si="1"/>
        <v>-1.8308700000000001E-3</v>
      </c>
      <c r="AA14" s="16">
        <f t="shared" si="2"/>
        <v>6.5805660000000002E-2</v>
      </c>
      <c r="AB14" s="16">
        <f t="shared" si="3"/>
        <v>-5.2542800000000001E-3</v>
      </c>
      <c r="AC14" s="17">
        <f t="shared" si="7"/>
        <v>1.7020662899216803</v>
      </c>
      <c r="AD14" s="17">
        <f t="shared" si="8"/>
        <v>3.7851388147264391</v>
      </c>
      <c r="AE14" s="17">
        <f t="shared" si="9"/>
        <v>356.46600779152652</v>
      </c>
      <c r="AF14" s="17">
        <f t="shared" si="4"/>
        <v>356.09975779152654</v>
      </c>
    </row>
    <row r="15" spans="1:32" x14ac:dyDescent="0.25">
      <c r="A15" s="14">
        <v>13</v>
      </c>
      <c r="B15" s="14" t="s">
        <v>63</v>
      </c>
      <c r="C15" s="14">
        <v>270</v>
      </c>
      <c r="D15" s="14">
        <v>16</v>
      </c>
      <c r="E15" s="15">
        <v>-0.37452816</v>
      </c>
      <c r="F15" s="15">
        <v>-0.36710936</v>
      </c>
      <c r="G15" s="15">
        <v>-7.4188099999999996E-3</v>
      </c>
      <c r="H15" s="15">
        <v>0.55515009999999998</v>
      </c>
      <c r="I15" s="15">
        <v>0.56038756000000001</v>
      </c>
      <c r="J15" s="15">
        <v>-5.2374600000000002E-3</v>
      </c>
      <c r="K15" s="18">
        <v>24.84</v>
      </c>
      <c r="L15" s="18">
        <v>24.84</v>
      </c>
      <c r="M15" s="18">
        <v>0</v>
      </c>
      <c r="N15" s="15">
        <v>3.292755E-2</v>
      </c>
      <c r="O15" s="15">
        <v>6.5499420000000003E-2</v>
      </c>
      <c r="P15" s="15">
        <v>-3.2571870000000003E-2</v>
      </c>
      <c r="Q15" s="15">
        <v>5.1057400000000001E-3</v>
      </c>
      <c r="R15" s="15">
        <v>-1.186859E-2</v>
      </c>
      <c r="S15" s="15">
        <v>1.6974340000000001E-2</v>
      </c>
      <c r="T15" s="14"/>
      <c r="U15" s="15">
        <f t="shared" si="5"/>
        <v>3.7094000000000016E-3</v>
      </c>
      <c r="V15" s="15">
        <f t="shared" si="6"/>
        <v>-2.6187300000000135E-3</v>
      </c>
      <c r="W15" s="15"/>
      <c r="X15" s="15"/>
      <c r="Y15" s="16">
        <f t="shared" si="0"/>
        <v>3.292755E-2</v>
      </c>
      <c r="Z15" s="16">
        <f t="shared" si="1"/>
        <v>5.1057400000000001E-3</v>
      </c>
      <c r="AA15" s="16">
        <f t="shared" si="2"/>
        <v>6.5499420000000003E-2</v>
      </c>
      <c r="AB15" s="16">
        <f t="shared" si="3"/>
        <v>-1.186859E-2</v>
      </c>
      <c r="AC15" s="17">
        <f t="shared" si="7"/>
        <v>1.9095087882118174</v>
      </c>
      <c r="AD15" s="17">
        <f t="shared" si="8"/>
        <v>3.8167753101537651</v>
      </c>
      <c r="AE15" s="17">
        <f t="shared" si="9"/>
        <v>8.8140800177294309</v>
      </c>
      <c r="AF15" s="17">
        <f t="shared" si="4"/>
        <v>8.4469706577294303</v>
      </c>
    </row>
    <row r="16" spans="1:32" x14ac:dyDescent="0.25">
      <c r="A16" s="14">
        <v>14</v>
      </c>
      <c r="B16" s="14" t="s">
        <v>63</v>
      </c>
      <c r="C16" s="14">
        <v>292.5</v>
      </c>
      <c r="D16" s="14">
        <v>15</v>
      </c>
      <c r="E16" s="15">
        <v>-0.36939675999999999</v>
      </c>
      <c r="F16" s="15">
        <v>-0.36427324</v>
      </c>
      <c r="G16" s="15">
        <v>-5.1234999999999996E-3</v>
      </c>
      <c r="H16" s="15">
        <v>0.54766340000000002</v>
      </c>
      <c r="I16" s="15">
        <v>0.54751329999999998</v>
      </c>
      <c r="J16" s="15">
        <v>1.5008E-4</v>
      </c>
      <c r="K16" s="18">
        <v>25.05</v>
      </c>
      <c r="L16" s="18">
        <v>25.05</v>
      </c>
      <c r="M16" s="18">
        <v>0</v>
      </c>
      <c r="N16" s="15">
        <v>3.6329090000000001E-2</v>
      </c>
      <c r="O16" s="15">
        <v>5.9635420000000001E-2</v>
      </c>
      <c r="P16" s="15">
        <v>-2.3306319999999998E-2</v>
      </c>
      <c r="Q16" s="15">
        <v>1.011426E-2</v>
      </c>
      <c r="R16" s="15">
        <v>-1.723568E-2</v>
      </c>
      <c r="S16" s="15">
        <v>2.7349930000000001E-2</v>
      </c>
      <c r="T16" s="14"/>
      <c r="U16" s="15">
        <f t="shared" si="5"/>
        <v>2.5617599999999963E-3</v>
      </c>
      <c r="V16" s="15">
        <f t="shared" si="6"/>
        <v>7.5050000000020933E-5</v>
      </c>
      <c r="W16" s="15"/>
      <c r="X16" s="15"/>
      <c r="Y16" s="16">
        <f t="shared" si="0"/>
        <v>3.6329090000000001E-2</v>
      </c>
      <c r="Z16" s="16">
        <f t="shared" si="1"/>
        <v>1.011426E-2</v>
      </c>
      <c r="AA16" s="16">
        <f t="shared" si="2"/>
        <v>5.9635420000000001E-2</v>
      </c>
      <c r="AB16" s="16">
        <f t="shared" si="3"/>
        <v>-1.723568E-2</v>
      </c>
      <c r="AC16" s="17">
        <f t="shared" si="7"/>
        <v>2.161179540851871</v>
      </c>
      <c r="AD16" s="17">
        <f t="shared" si="8"/>
        <v>3.558991292019551</v>
      </c>
      <c r="AE16" s="17">
        <f t="shared" si="9"/>
        <v>15.557555866353999</v>
      </c>
      <c r="AF16" s="17">
        <f t="shared" si="4"/>
        <v>15.193282626354</v>
      </c>
    </row>
    <row r="17" spans="1:32" x14ac:dyDescent="0.25">
      <c r="A17" s="14">
        <v>15</v>
      </c>
      <c r="B17" s="14" t="s">
        <v>63</v>
      </c>
      <c r="C17" s="14">
        <v>315</v>
      </c>
      <c r="D17" s="14">
        <v>16</v>
      </c>
      <c r="E17" s="15">
        <v>-0.37207812000000001</v>
      </c>
      <c r="F17" s="15">
        <v>-0.36627189999999998</v>
      </c>
      <c r="G17" s="15">
        <v>-5.80621E-3</v>
      </c>
      <c r="H17" s="15">
        <v>0.55593119999999996</v>
      </c>
      <c r="I17" s="15">
        <v>0.5499001</v>
      </c>
      <c r="J17" s="15">
        <v>6.0311000000000002E-3</v>
      </c>
      <c r="K17" s="18">
        <v>24.89</v>
      </c>
      <c r="L17" s="18">
        <v>24.9</v>
      </c>
      <c r="M17" s="18">
        <v>-0.01</v>
      </c>
      <c r="N17" s="15">
        <v>4.3332820000000001E-2</v>
      </c>
      <c r="O17" s="15">
        <v>5.4011839999999998E-2</v>
      </c>
      <c r="P17" s="15">
        <v>-1.0679019999999999E-2</v>
      </c>
      <c r="Q17" s="15">
        <v>1.3628690000000001E-2</v>
      </c>
      <c r="R17" s="15">
        <v>-2.0473020000000001E-2</v>
      </c>
      <c r="S17" s="15">
        <v>3.4101720000000002E-2</v>
      </c>
      <c r="T17" s="14"/>
      <c r="U17" s="15">
        <f t="shared" si="5"/>
        <v>2.9031100000000143E-3</v>
      </c>
      <c r="V17" s="15">
        <f t="shared" si="6"/>
        <v>3.015549999999978E-3</v>
      </c>
      <c r="W17" s="15"/>
      <c r="X17" s="15"/>
      <c r="Y17" s="16">
        <f t="shared" si="0"/>
        <v>4.3332820000000001E-2</v>
      </c>
      <c r="Z17" s="16">
        <f t="shared" si="1"/>
        <v>1.3628690000000001E-2</v>
      </c>
      <c r="AA17" s="16">
        <f t="shared" si="2"/>
        <v>5.4011839999999998E-2</v>
      </c>
      <c r="AB17" s="16">
        <f t="shared" si="3"/>
        <v>-2.0473020000000001E-2</v>
      </c>
      <c r="AC17" s="17">
        <f t="shared" si="7"/>
        <v>2.6035843711922051</v>
      </c>
      <c r="AD17" s="17">
        <f t="shared" si="8"/>
        <v>3.3113493876940998</v>
      </c>
      <c r="AE17" s="17">
        <f t="shared" si="9"/>
        <v>17.458985088232055</v>
      </c>
      <c r="AF17" s="17">
        <f t="shared" si="4"/>
        <v>17.092713188232054</v>
      </c>
    </row>
    <row r="18" spans="1:32" x14ac:dyDescent="0.25">
      <c r="A18" s="14">
        <v>16</v>
      </c>
      <c r="B18" s="14" t="s">
        <v>63</v>
      </c>
      <c r="C18" s="14">
        <v>337.5</v>
      </c>
      <c r="D18" s="14">
        <v>13</v>
      </c>
      <c r="E18" s="15">
        <v>-0.36728080000000002</v>
      </c>
      <c r="F18" s="15">
        <v>-0.36761924000000001</v>
      </c>
      <c r="G18" s="15">
        <v>3.3846000000000001E-4</v>
      </c>
      <c r="H18" s="15">
        <v>0.5483808</v>
      </c>
      <c r="I18" s="15">
        <v>0.54558470000000003</v>
      </c>
      <c r="J18" s="15">
        <v>2.7961100000000001E-3</v>
      </c>
      <c r="K18" s="18">
        <v>25</v>
      </c>
      <c r="L18" s="18">
        <v>24.99</v>
      </c>
      <c r="M18" s="18">
        <v>0.01</v>
      </c>
      <c r="N18" s="15">
        <v>4.888522E-2</v>
      </c>
      <c r="O18" s="15">
        <v>4.6496959999999997E-2</v>
      </c>
      <c r="P18" s="15">
        <v>2.3882600000000001E-3</v>
      </c>
      <c r="Q18" s="15">
        <v>1.4251990000000001E-2</v>
      </c>
      <c r="R18" s="15">
        <v>-2.1266529999999999E-2</v>
      </c>
      <c r="S18" s="15">
        <v>3.5518519999999998E-2</v>
      </c>
      <c r="T18" s="14"/>
      <c r="U18" s="15">
        <f t="shared" si="5"/>
        <v>-1.6921999999999771E-4</v>
      </c>
      <c r="V18" s="15">
        <f t="shared" si="6"/>
        <v>1.398049999999984E-3</v>
      </c>
      <c r="W18" s="15"/>
      <c r="X18" s="15"/>
      <c r="Y18" s="16">
        <f t="shared" si="0"/>
        <v>4.888522E-2</v>
      </c>
      <c r="Z18" s="16">
        <f t="shared" si="1"/>
        <v>1.4251990000000001E-2</v>
      </c>
      <c r="AA18" s="16">
        <f t="shared" si="2"/>
        <v>4.6496959999999997E-2</v>
      </c>
      <c r="AB18" s="16">
        <f t="shared" si="3"/>
        <v>-2.1266529999999999E-2</v>
      </c>
      <c r="AC18" s="17">
        <f t="shared" si="7"/>
        <v>2.9187844932941927</v>
      </c>
      <c r="AD18" s="17">
        <f t="shared" si="8"/>
        <v>2.9307862849292983</v>
      </c>
      <c r="AE18" s="17">
        <f t="shared" si="9"/>
        <v>16.25350839694973</v>
      </c>
      <c r="AF18" s="17">
        <f t="shared" si="4"/>
        <v>15.88588915694973</v>
      </c>
    </row>
    <row r="19" spans="1:32" x14ac:dyDescent="0.25">
      <c r="A19" s="28">
        <v>17</v>
      </c>
      <c r="B19" s="28" t="s">
        <v>64</v>
      </c>
      <c r="C19" s="28">
        <v>0</v>
      </c>
      <c r="D19" s="28">
        <v>13</v>
      </c>
      <c r="E19" s="29">
        <v>-0.36736160000000001</v>
      </c>
      <c r="F19" s="29">
        <v>-0.36657691999999997</v>
      </c>
      <c r="G19" s="29">
        <v>-7.8463999999999997E-4</v>
      </c>
      <c r="H19" s="29">
        <v>0.55635383999999999</v>
      </c>
      <c r="I19" s="29">
        <v>0.54632700000000001</v>
      </c>
      <c r="J19" s="29">
        <v>1.002687E-2</v>
      </c>
      <c r="K19" s="30">
        <v>24.97</v>
      </c>
      <c r="L19" s="30">
        <v>24.96</v>
      </c>
      <c r="M19" s="30">
        <v>0.01</v>
      </c>
      <c r="N19" s="29">
        <v>5.6888340000000003E-2</v>
      </c>
      <c r="O19" s="29">
        <v>4.1104830000000002E-2</v>
      </c>
      <c r="P19" s="29">
        <v>1.5783499999999999E-2</v>
      </c>
      <c r="Q19" s="29">
        <v>1.2180359999999999E-2</v>
      </c>
      <c r="R19" s="29">
        <v>-1.9410119999999999E-2</v>
      </c>
      <c r="S19" s="29">
        <v>3.1590479999999997E-2</v>
      </c>
      <c r="T19" s="28"/>
      <c r="U19" s="29">
        <f t="shared" si="5"/>
        <v>3.9234000000001878E-4</v>
      </c>
      <c r="V19" s="29">
        <f t="shared" si="6"/>
        <v>5.0134199999999907E-3</v>
      </c>
      <c r="W19" s="29"/>
      <c r="X19" s="29"/>
      <c r="Y19" s="31">
        <f t="shared" si="0"/>
        <v>5.6888340000000003E-2</v>
      </c>
      <c r="Z19" s="31">
        <f t="shared" si="1"/>
        <v>1.2180359999999999E-2</v>
      </c>
      <c r="AA19" s="31">
        <f t="shared" si="2"/>
        <v>4.1104830000000002E-2</v>
      </c>
      <c r="AB19" s="31">
        <f t="shared" si="3"/>
        <v>-1.9410119999999999E-2</v>
      </c>
      <c r="AC19" s="32">
        <f t="shared" ref="AC19:AC34" si="10">IF(Y19="","",DEGREES(ASIN(SQRT(Y19^2+Z19^2))))</f>
        <v>3.3352197143699667</v>
      </c>
      <c r="AD19" s="32">
        <f t="shared" ref="AD19:AD34" si="11">IF(AA19="","",DEGREES(ASIN(SQRT(AA19^2+AB19^2))))</f>
        <v>2.605405267914112</v>
      </c>
      <c r="AE19" s="32">
        <f t="shared" ref="AE19:AE34" si="12">IF(Y19="","",MOD(DEGREES(ATAN2(Y19,Z19)),360))</f>
        <v>12.085128653834909</v>
      </c>
      <c r="AF19" s="32">
        <f t="shared" si="4"/>
        <v>11.718551733834909</v>
      </c>
    </row>
    <row r="20" spans="1:32" x14ac:dyDescent="0.25">
      <c r="A20" s="14">
        <v>18</v>
      </c>
      <c r="B20" s="14" t="s">
        <v>64</v>
      </c>
      <c r="C20" s="14">
        <v>22.5</v>
      </c>
      <c r="D20" s="14">
        <v>11</v>
      </c>
      <c r="E20" s="15">
        <v>-0.36760910000000002</v>
      </c>
      <c r="F20" s="15">
        <v>-0.37028640000000002</v>
      </c>
      <c r="G20" s="15">
        <v>2.6772599999999999E-3</v>
      </c>
      <c r="H20" s="15">
        <v>0.55470452000000003</v>
      </c>
      <c r="I20" s="15">
        <v>0.54620455999999995</v>
      </c>
      <c r="J20" s="15">
        <v>8.4999800000000007E-3</v>
      </c>
      <c r="K20" s="18">
        <v>24.91</v>
      </c>
      <c r="L20" s="18">
        <v>24.9</v>
      </c>
      <c r="M20" s="18">
        <v>0.01</v>
      </c>
      <c r="N20" s="15">
        <v>6.1487710000000001E-2</v>
      </c>
      <c r="O20" s="15">
        <v>3.5232600000000003E-2</v>
      </c>
      <c r="P20" s="15">
        <v>2.6255110000000002E-2</v>
      </c>
      <c r="Q20" s="15">
        <v>7.6276199999999999E-3</v>
      </c>
      <c r="R20" s="15">
        <v>-1.5085670000000001E-2</v>
      </c>
      <c r="S20" s="15">
        <v>2.2713290000000001E-2</v>
      </c>
      <c r="T20" s="14"/>
      <c r="U20" s="15">
        <f t="shared" si="5"/>
        <v>-1.3386499999999968E-3</v>
      </c>
      <c r="V20" s="15">
        <f t="shared" si="6"/>
        <v>4.2499800000000421E-3</v>
      </c>
      <c r="W20" s="15"/>
      <c r="X20" s="15"/>
      <c r="Y20" s="16">
        <f t="shared" si="0"/>
        <v>6.1487710000000001E-2</v>
      </c>
      <c r="Z20" s="16">
        <f t="shared" si="1"/>
        <v>7.6276199999999999E-3</v>
      </c>
      <c r="AA20" s="16">
        <f t="shared" si="2"/>
        <v>3.5232600000000003E-2</v>
      </c>
      <c r="AB20" s="16">
        <f t="shared" si="3"/>
        <v>-1.5085670000000001E-2</v>
      </c>
      <c r="AC20" s="17">
        <f t="shared" si="10"/>
        <v>3.5522651308488209</v>
      </c>
      <c r="AD20" s="17">
        <f t="shared" si="11"/>
        <v>2.1964793799515685</v>
      </c>
      <c r="AE20" s="17">
        <f t="shared" si="12"/>
        <v>7.0714803555076218</v>
      </c>
      <c r="AF20" s="17">
        <f t="shared" si="4"/>
        <v>6.7011939555076214</v>
      </c>
    </row>
    <row r="21" spans="1:32" x14ac:dyDescent="0.25">
      <c r="A21" s="14">
        <v>19</v>
      </c>
      <c r="B21" s="14" t="s">
        <v>64</v>
      </c>
      <c r="C21" s="14">
        <v>45</v>
      </c>
      <c r="D21" s="14">
        <v>21</v>
      </c>
      <c r="E21" s="15">
        <v>-0.36433811999999999</v>
      </c>
      <c r="F21" s="15">
        <v>-0.37033816000000003</v>
      </c>
      <c r="G21" s="15">
        <v>6.0000399999999999E-3</v>
      </c>
      <c r="H21" s="15">
        <v>0.55108804</v>
      </c>
      <c r="I21" s="15">
        <v>0.54428569999999998</v>
      </c>
      <c r="J21" s="15">
        <v>6.8023199999999997E-3</v>
      </c>
      <c r="K21" s="18">
        <v>24.99</v>
      </c>
      <c r="L21" s="18">
        <v>25</v>
      </c>
      <c r="M21" s="18">
        <v>-0.01</v>
      </c>
      <c r="N21" s="15">
        <v>6.5681279999999995E-2</v>
      </c>
      <c r="O21" s="15">
        <v>3.1308599999999999E-2</v>
      </c>
      <c r="P21" s="15">
        <v>3.4372680000000003E-2</v>
      </c>
      <c r="Q21" s="15">
        <v>1.63028E-3</v>
      </c>
      <c r="R21" s="15">
        <v>-8.7667400000000003E-3</v>
      </c>
      <c r="S21" s="15">
        <v>1.039702E-2</v>
      </c>
      <c r="T21" s="14"/>
      <c r="U21" s="15">
        <f t="shared" si="5"/>
        <v>-3.0000200000000199E-3</v>
      </c>
      <c r="V21" s="15">
        <f t="shared" si="6"/>
        <v>3.4011700000000089E-3</v>
      </c>
      <c r="W21" s="15"/>
      <c r="X21" s="15"/>
      <c r="Y21" s="16">
        <f t="shared" si="0"/>
        <v>6.5681279999999995E-2</v>
      </c>
      <c r="Z21" s="16">
        <f t="shared" si="1"/>
        <v>1.63028E-3</v>
      </c>
      <c r="AA21" s="16">
        <f t="shared" si="2"/>
        <v>3.1308599999999999E-2</v>
      </c>
      <c r="AB21" s="16">
        <f t="shared" si="3"/>
        <v>-8.7667400000000003E-3</v>
      </c>
      <c r="AC21" s="17">
        <f t="shared" si="10"/>
        <v>3.767132782609778</v>
      </c>
      <c r="AD21" s="17">
        <f t="shared" si="11"/>
        <v>1.8631763367799044</v>
      </c>
      <c r="AE21" s="17">
        <f t="shared" si="12"/>
        <v>1.4218509144743414</v>
      </c>
      <c r="AF21" s="17">
        <f t="shared" si="4"/>
        <v>1.0515127544743414</v>
      </c>
    </row>
    <row r="22" spans="1:32" x14ac:dyDescent="0.25">
      <c r="A22" s="14">
        <v>20</v>
      </c>
      <c r="B22" s="14" t="s">
        <v>64</v>
      </c>
      <c r="C22" s="14">
        <v>67.5</v>
      </c>
      <c r="D22" s="14">
        <v>17</v>
      </c>
      <c r="E22" s="15">
        <v>-0.37190583999999999</v>
      </c>
      <c r="F22" s="15">
        <v>-0.37903824000000003</v>
      </c>
      <c r="G22" s="15">
        <v>7.1323799999999998E-3</v>
      </c>
      <c r="H22" s="15">
        <v>0.56118243999999995</v>
      </c>
      <c r="I22" s="15">
        <v>0.55834709999999999</v>
      </c>
      <c r="J22" s="15">
        <v>2.8353300000000001E-3</v>
      </c>
      <c r="K22" s="18">
        <v>24.79</v>
      </c>
      <c r="L22" s="18">
        <v>24.79</v>
      </c>
      <c r="M22" s="18">
        <v>0</v>
      </c>
      <c r="N22" s="15">
        <v>6.5633339999999998E-2</v>
      </c>
      <c r="O22" s="15">
        <v>3.0448929999999999E-2</v>
      </c>
      <c r="P22" s="15">
        <v>3.5184409999999999E-2</v>
      </c>
      <c r="Q22" s="15">
        <v>-5.3359100000000001E-3</v>
      </c>
      <c r="R22" s="15">
        <v>-1.49299E-3</v>
      </c>
      <c r="S22" s="15">
        <v>-3.8429200000000001E-3</v>
      </c>
      <c r="T22" s="14"/>
      <c r="U22" s="15">
        <f t="shared" si="5"/>
        <v>-3.5662000000000194E-3</v>
      </c>
      <c r="V22" s="15">
        <f t="shared" si="6"/>
        <v>1.417669999999982E-3</v>
      </c>
      <c r="W22" s="15"/>
      <c r="X22" s="15"/>
      <c r="Y22" s="16">
        <f t="shared" si="0"/>
        <v>6.5633339999999998E-2</v>
      </c>
      <c r="Z22" s="16">
        <f t="shared" si="1"/>
        <v>-5.3359100000000001E-3</v>
      </c>
      <c r="AA22" s="16">
        <f t="shared" si="2"/>
        <v>3.0448929999999999E-2</v>
      </c>
      <c r="AB22" s="16">
        <f t="shared" si="3"/>
        <v>-1.49299E-3</v>
      </c>
      <c r="AC22" s="17">
        <f t="shared" si="10"/>
        <v>3.7756524771890039</v>
      </c>
      <c r="AD22" s="17">
        <f t="shared" si="11"/>
        <v>1.7469617602472662</v>
      </c>
      <c r="AE22" s="17">
        <f t="shared" si="12"/>
        <v>355.35214543355823</v>
      </c>
      <c r="AF22" s="17">
        <f t="shared" si="4"/>
        <v>354.97310719355823</v>
      </c>
    </row>
    <row r="23" spans="1:32" x14ac:dyDescent="0.25">
      <c r="A23" s="14">
        <v>21</v>
      </c>
      <c r="B23" s="14" t="s">
        <v>64</v>
      </c>
      <c r="C23" s="14">
        <v>90</v>
      </c>
      <c r="D23" s="14">
        <v>19</v>
      </c>
      <c r="E23" s="15">
        <v>-0.36617364000000002</v>
      </c>
      <c r="F23" s="15">
        <v>-0.37226049999999999</v>
      </c>
      <c r="G23" s="15">
        <v>6.0868600000000004E-3</v>
      </c>
      <c r="H23" s="15">
        <v>0.55124483999999996</v>
      </c>
      <c r="I23" s="15">
        <v>0.54862109999999997</v>
      </c>
      <c r="J23" s="15">
        <v>2.6237399999999998E-3</v>
      </c>
      <c r="K23" s="18">
        <v>24.95</v>
      </c>
      <c r="L23" s="18">
        <v>24.94</v>
      </c>
      <c r="M23" s="18">
        <v>0.01</v>
      </c>
      <c r="N23" s="15">
        <v>6.4589720000000003E-2</v>
      </c>
      <c r="O23" s="15">
        <v>3.2372529999999997E-2</v>
      </c>
      <c r="P23" s="15">
        <v>3.221719E-2</v>
      </c>
      <c r="Q23" s="15">
        <v>-1.205824E-2</v>
      </c>
      <c r="R23" s="15">
        <v>5.1044699999999998E-3</v>
      </c>
      <c r="S23" s="15">
        <v>-1.7162699999999999E-2</v>
      </c>
      <c r="T23" s="14"/>
      <c r="U23" s="15">
        <f t="shared" si="5"/>
        <v>-3.0434299999999859E-3</v>
      </c>
      <c r="V23" s="15">
        <f t="shared" si="6"/>
        <v>1.3118699999999928E-3</v>
      </c>
      <c r="W23" s="15"/>
      <c r="X23" s="15"/>
      <c r="Y23" s="16">
        <f t="shared" si="0"/>
        <v>6.4589720000000003E-2</v>
      </c>
      <c r="Z23" s="16">
        <f t="shared" si="1"/>
        <v>-1.205824E-2</v>
      </c>
      <c r="AA23" s="16">
        <f t="shared" si="2"/>
        <v>3.2372529999999997E-2</v>
      </c>
      <c r="AB23" s="16">
        <f t="shared" si="3"/>
        <v>5.1044699999999998E-3</v>
      </c>
      <c r="AC23" s="17">
        <f t="shared" si="10"/>
        <v>3.7673708069364813</v>
      </c>
      <c r="AD23" s="17">
        <f t="shared" si="11"/>
        <v>1.878061833057709</v>
      </c>
      <c r="AE23" s="17">
        <f t="shared" si="12"/>
        <v>349.42519740990548</v>
      </c>
      <c r="AF23" s="17">
        <f t="shared" si="4"/>
        <v>349.0529369099055</v>
      </c>
    </row>
    <row r="24" spans="1:32" x14ac:dyDescent="0.25">
      <c r="A24" s="14">
        <v>22</v>
      </c>
      <c r="B24" s="14" t="s">
        <v>64</v>
      </c>
      <c r="C24" s="14">
        <v>112.5</v>
      </c>
      <c r="D24" s="14">
        <v>18</v>
      </c>
      <c r="E24" s="15">
        <v>-0.36417228000000001</v>
      </c>
      <c r="F24" s="15">
        <v>-0.37334719999999999</v>
      </c>
      <c r="G24" s="15">
        <v>9.1749399999999995E-3</v>
      </c>
      <c r="H24" s="15">
        <v>0.54668340000000004</v>
      </c>
      <c r="I24" s="15">
        <v>0.55052508</v>
      </c>
      <c r="J24" s="15">
        <v>-3.8417E-3</v>
      </c>
      <c r="K24" s="18">
        <v>25.02</v>
      </c>
      <c r="L24" s="18">
        <v>25.01</v>
      </c>
      <c r="M24" s="18">
        <v>0.01</v>
      </c>
      <c r="N24" s="15">
        <v>5.9226479999999998E-2</v>
      </c>
      <c r="O24" s="15">
        <v>3.6700709999999998E-2</v>
      </c>
      <c r="P24" s="15">
        <v>2.2525770000000001E-2</v>
      </c>
      <c r="Q24" s="15">
        <v>-1.7285700000000001E-2</v>
      </c>
      <c r="R24" s="15">
        <v>1.0307480000000001E-2</v>
      </c>
      <c r="S24" s="15">
        <v>-2.7593179999999998E-2</v>
      </c>
      <c r="T24" s="14"/>
      <c r="U24" s="15">
        <f t="shared" si="5"/>
        <v>-4.5874599999999877E-3</v>
      </c>
      <c r="V24" s="15">
        <f t="shared" si="6"/>
        <v>-1.9208399999999792E-3</v>
      </c>
      <c r="W24" s="15"/>
      <c r="X24" s="15"/>
      <c r="Y24" s="16">
        <f t="shared" si="0"/>
        <v>5.9226479999999998E-2</v>
      </c>
      <c r="Z24" s="16">
        <f t="shared" si="1"/>
        <v>-1.7285700000000001E-2</v>
      </c>
      <c r="AA24" s="16">
        <f t="shared" si="2"/>
        <v>3.6700709999999998E-2</v>
      </c>
      <c r="AB24" s="16">
        <f t="shared" si="3"/>
        <v>1.0307480000000001E-2</v>
      </c>
      <c r="AC24" s="17">
        <f t="shared" si="10"/>
        <v>3.5372482006257808</v>
      </c>
      <c r="AD24" s="17">
        <f t="shared" si="11"/>
        <v>2.1846834306313982</v>
      </c>
      <c r="AE24" s="17">
        <f t="shared" si="12"/>
        <v>343.72971229824219</v>
      </c>
      <c r="AF24" s="17">
        <f t="shared" si="4"/>
        <v>343.35636509824218</v>
      </c>
    </row>
    <row r="25" spans="1:32" x14ac:dyDescent="0.25">
      <c r="A25" s="14">
        <v>23</v>
      </c>
      <c r="B25" s="14" t="s">
        <v>64</v>
      </c>
      <c r="C25" s="14">
        <v>135</v>
      </c>
      <c r="D25" s="14">
        <v>16</v>
      </c>
      <c r="E25" s="15">
        <v>-0.36493752000000002</v>
      </c>
      <c r="F25" s="15">
        <v>-0.3691219</v>
      </c>
      <c r="G25" s="15">
        <v>4.1843699999999998E-3</v>
      </c>
      <c r="H25" s="15">
        <v>0.54218440000000001</v>
      </c>
      <c r="I25" s="15">
        <v>0.54855936000000005</v>
      </c>
      <c r="J25" s="15">
        <v>-6.3749599999999998E-3</v>
      </c>
      <c r="K25" s="18">
        <v>25.05</v>
      </c>
      <c r="L25" s="18">
        <v>25.04</v>
      </c>
      <c r="M25" s="18">
        <v>0.01</v>
      </c>
      <c r="N25" s="15">
        <v>5.3342439999999998E-2</v>
      </c>
      <c r="O25" s="15">
        <v>4.2486719999999999E-2</v>
      </c>
      <c r="P25" s="15">
        <v>1.0855719999999999E-2</v>
      </c>
      <c r="Q25" s="15">
        <v>-2.0776220000000001E-2</v>
      </c>
      <c r="R25" s="15">
        <v>1.3594210000000001E-2</v>
      </c>
      <c r="S25" s="15">
        <v>-3.4370419999999999E-2</v>
      </c>
      <c r="T25" s="14"/>
      <c r="U25" s="15">
        <f t="shared" si="5"/>
        <v>-2.0921899999999938E-3</v>
      </c>
      <c r="V25" s="15">
        <f t="shared" si="6"/>
        <v>-3.1874800000000203E-3</v>
      </c>
      <c r="W25" s="15"/>
      <c r="X25" s="15"/>
      <c r="Y25" s="16">
        <f t="shared" si="0"/>
        <v>5.3342439999999998E-2</v>
      </c>
      <c r="Z25" s="16">
        <f t="shared" si="1"/>
        <v>-2.0776220000000001E-2</v>
      </c>
      <c r="AA25" s="16">
        <f t="shared" si="2"/>
        <v>4.2486719999999999E-2</v>
      </c>
      <c r="AB25" s="16">
        <f t="shared" si="3"/>
        <v>1.3594210000000001E-2</v>
      </c>
      <c r="AC25" s="17">
        <f t="shared" si="10"/>
        <v>3.28172960621119</v>
      </c>
      <c r="AD25" s="17">
        <f t="shared" si="11"/>
        <v>2.556730837189733</v>
      </c>
      <c r="AE25" s="17">
        <f t="shared" si="12"/>
        <v>338.71970228010429</v>
      </c>
      <c r="AF25" s="17">
        <f t="shared" si="4"/>
        <v>338.3505803801043</v>
      </c>
    </row>
    <row r="26" spans="1:32" x14ac:dyDescent="0.25">
      <c r="A26" s="14">
        <v>24</v>
      </c>
      <c r="B26" s="14" t="s">
        <v>64</v>
      </c>
      <c r="C26" s="14">
        <v>157.5</v>
      </c>
      <c r="D26" s="14">
        <v>16</v>
      </c>
      <c r="E26" s="15">
        <v>-0.36727507999999998</v>
      </c>
      <c r="F26" s="15">
        <v>-0.37146560000000001</v>
      </c>
      <c r="G26" s="15">
        <v>4.1905600000000003E-3</v>
      </c>
      <c r="H26" s="15">
        <v>0.55343131999999995</v>
      </c>
      <c r="I26" s="15">
        <v>0.56104063999999998</v>
      </c>
      <c r="J26" s="15">
        <v>-7.6093100000000002E-3</v>
      </c>
      <c r="K26" s="18">
        <v>24.87</v>
      </c>
      <c r="L26" s="18">
        <v>24.87</v>
      </c>
      <c r="M26" s="18">
        <v>0.01</v>
      </c>
      <c r="N26" s="15">
        <v>4.6642919999999997E-2</v>
      </c>
      <c r="O26" s="15">
        <v>4.9388880000000003E-2</v>
      </c>
      <c r="P26" s="15">
        <v>-2.7459699999999999E-3</v>
      </c>
      <c r="Q26" s="15">
        <v>-2.1403200000000001E-2</v>
      </c>
      <c r="R26" s="15">
        <v>1.455917E-2</v>
      </c>
      <c r="S26" s="15">
        <v>-3.596237E-2</v>
      </c>
      <c r="T26" s="14"/>
      <c r="U26" s="15">
        <f t="shared" si="5"/>
        <v>-2.0952600000000154E-3</v>
      </c>
      <c r="V26" s="15">
        <f t="shared" si="6"/>
        <v>-3.8046600000000153E-3</v>
      </c>
      <c r="W26" s="15"/>
      <c r="X26" s="15"/>
      <c r="Y26" s="16">
        <f t="shared" si="0"/>
        <v>4.6642919999999997E-2</v>
      </c>
      <c r="Z26" s="16">
        <f t="shared" si="1"/>
        <v>-2.1403200000000001E-2</v>
      </c>
      <c r="AA26" s="16">
        <f t="shared" si="2"/>
        <v>4.9388880000000003E-2</v>
      </c>
      <c r="AB26" s="16">
        <f t="shared" si="3"/>
        <v>1.455917E-2</v>
      </c>
      <c r="AC26" s="17">
        <f t="shared" si="10"/>
        <v>2.941665012829914</v>
      </c>
      <c r="AD26" s="17">
        <f t="shared" si="11"/>
        <v>2.9514708480955072</v>
      </c>
      <c r="AE26" s="17">
        <f t="shared" si="12"/>
        <v>335.35086395581754</v>
      </c>
      <c r="AF26" s="17">
        <f t="shared" si="4"/>
        <v>334.97939835581752</v>
      </c>
    </row>
    <row r="27" spans="1:32" x14ac:dyDescent="0.25">
      <c r="A27" s="14">
        <v>25</v>
      </c>
      <c r="B27" s="14" t="s">
        <v>64</v>
      </c>
      <c r="C27" s="14">
        <v>180</v>
      </c>
      <c r="D27" s="14">
        <v>16</v>
      </c>
      <c r="E27" s="15">
        <v>-0.36531871999999999</v>
      </c>
      <c r="F27" s="15">
        <v>-0.36509688000000001</v>
      </c>
      <c r="G27" s="15">
        <v>-2.2185E-4</v>
      </c>
      <c r="H27" s="15">
        <v>0.54266552000000001</v>
      </c>
      <c r="I27" s="15">
        <v>0.55052500000000004</v>
      </c>
      <c r="J27" s="15">
        <v>-7.8594700000000003E-3</v>
      </c>
      <c r="K27" s="18">
        <v>25.01</v>
      </c>
      <c r="L27" s="18">
        <v>25</v>
      </c>
      <c r="M27" s="18">
        <v>0.01</v>
      </c>
      <c r="N27" s="15">
        <v>3.9538570000000002E-2</v>
      </c>
      <c r="O27" s="15">
        <v>5.7030030000000002E-2</v>
      </c>
      <c r="P27" s="15">
        <v>-1.7491449999999999E-2</v>
      </c>
      <c r="Q27" s="15">
        <v>-1.9352419999999999E-2</v>
      </c>
      <c r="R27" s="15">
        <v>1.238266E-2</v>
      </c>
      <c r="S27" s="15">
        <v>-3.1735079999999999E-2</v>
      </c>
      <c r="T27" s="14"/>
      <c r="U27" s="15">
        <f t="shared" si="5"/>
        <v>1.1091999999998658E-4</v>
      </c>
      <c r="V27" s="15">
        <f t="shared" si="6"/>
        <v>-3.9297400000000149E-3</v>
      </c>
      <c r="W27" s="15"/>
      <c r="X27" s="15"/>
      <c r="Y27" s="16">
        <f t="shared" si="0"/>
        <v>3.9538570000000002E-2</v>
      </c>
      <c r="Z27" s="16">
        <f t="shared" si="1"/>
        <v>-1.9352419999999999E-2</v>
      </c>
      <c r="AA27" s="16">
        <f t="shared" si="2"/>
        <v>5.7030030000000002E-2</v>
      </c>
      <c r="AB27" s="16">
        <f t="shared" si="3"/>
        <v>1.238266E-2</v>
      </c>
      <c r="AC27" s="17">
        <f t="shared" si="10"/>
        <v>2.5230108397269313</v>
      </c>
      <c r="AD27" s="17">
        <f t="shared" si="11"/>
        <v>3.3456163116999549</v>
      </c>
      <c r="AE27" s="17">
        <f t="shared" si="12"/>
        <v>333.92025087934252</v>
      </c>
      <c r="AF27" s="17">
        <f t="shared" si="4"/>
        <v>333.55515399934251</v>
      </c>
    </row>
    <row r="28" spans="1:32" x14ac:dyDescent="0.25">
      <c r="A28" s="14">
        <v>26</v>
      </c>
      <c r="B28" s="14" t="s">
        <v>64</v>
      </c>
      <c r="C28" s="14">
        <v>202.5</v>
      </c>
      <c r="D28" s="14">
        <v>11</v>
      </c>
      <c r="E28" s="15">
        <v>-0.36557272000000002</v>
      </c>
      <c r="F28" s="15">
        <v>-0.36601820000000002</v>
      </c>
      <c r="G28" s="15">
        <v>4.4546000000000001E-4</v>
      </c>
      <c r="H28" s="15">
        <v>0.54769100000000004</v>
      </c>
      <c r="I28" s="15">
        <v>0.55452729999999995</v>
      </c>
      <c r="J28" s="15">
        <v>-6.8363E-3</v>
      </c>
      <c r="K28" s="18">
        <v>25</v>
      </c>
      <c r="L28" s="18">
        <v>25.01</v>
      </c>
      <c r="M28" s="18">
        <v>-0.01</v>
      </c>
      <c r="N28" s="15">
        <v>3.4176579999999998E-2</v>
      </c>
      <c r="O28" s="15">
        <v>6.2053659999999997E-2</v>
      </c>
      <c r="P28" s="15">
        <v>-2.7877079999999999E-2</v>
      </c>
      <c r="Q28" s="15">
        <v>-1.4827989999999999E-2</v>
      </c>
      <c r="R28" s="15">
        <v>8.0353300000000003E-3</v>
      </c>
      <c r="S28" s="15">
        <v>-2.2863319999999999E-2</v>
      </c>
      <c r="T28" s="14"/>
      <c r="U28" s="15">
        <f t="shared" si="5"/>
        <v>-2.2273999999999905E-4</v>
      </c>
      <c r="V28" s="15">
        <f t="shared" si="6"/>
        <v>-3.4181499999999532E-3</v>
      </c>
      <c r="W28" s="15"/>
      <c r="X28" s="15"/>
      <c r="Y28" s="16">
        <f t="shared" si="0"/>
        <v>3.4176579999999998E-2</v>
      </c>
      <c r="Z28" s="16">
        <f t="shared" si="1"/>
        <v>-1.4827989999999999E-2</v>
      </c>
      <c r="AA28" s="16">
        <f t="shared" si="2"/>
        <v>6.2053659999999997E-2</v>
      </c>
      <c r="AB28" s="16">
        <f t="shared" si="3"/>
        <v>8.0353300000000003E-3</v>
      </c>
      <c r="AC28" s="17">
        <f t="shared" si="10"/>
        <v>2.1350274781153824</v>
      </c>
      <c r="AD28" s="17">
        <f t="shared" si="11"/>
        <v>3.5874404343791952</v>
      </c>
      <c r="AE28" s="17">
        <f t="shared" si="12"/>
        <v>336.54571072080307</v>
      </c>
      <c r="AF28" s="17">
        <f t="shared" si="4"/>
        <v>336.17969252080309</v>
      </c>
    </row>
    <row r="29" spans="1:32" x14ac:dyDescent="0.25">
      <c r="A29" s="14">
        <v>27</v>
      </c>
      <c r="B29" s="14" t="s">
        <v>64</v>
      </c>
      <c r="C29" s="14">
        <v>225</v>
      </c>
      <c r="D29" s="14">
        <v>16</v>
      </c>
      <c r="E29" s="15">
        <v>-0.36955312000000001</v>
      </c>
      <c r="F29" s="15">
        <v>-0.36724689999999999</v>
      </c>
      <c r="G29" s="15">
        <v>-2.3062199999999999E-3</v>
      </c>
      <c r="H29" s="15">
        <v>0.54922190000000004</v>
      </c>
      <c r="I29" s="15">
        <v>0.55675936000000004</v>
      </c>
      <c r="J29" s="15">
        <v>-7.53748E-3</v>
      </c>
      <c r="K29" s="18">
        <v>24.94</v>
      </c>
      <c r="L29" s="18">
        <v>24.94</v>
      </c>
      <c r="M29" s="18">
        <v>0</v>
      </c>
      <c r="N29" s="15">
        <v>3.1332400000000003E-2</v>
      </c>
      <c r="O29" s="15">
        <v>6.612838E-2</v>
      </c>
      <c r="P29" s="15">
        <v>-3.4795979999999997E-2</v>
      </c>
      <c r="Q29" s="15">
        <v>-8.7139899999999996E-3</v>
      </c>
      <c r="R29" s="15">
        <v>1.8249500000000001E-3</v>
      </c>
      <c r="S29" s="15">
        <v>-1.053894E-2</v>
      </c>
      <c r="T29" s="14"/>
      <c r="U29" s="15">
        <f t="shared" si="5"/>
        <v>1.1531100000000127E-3</v>
      </c>
      <c r="V29" s="15">
        <f t="shared" si="6"/>
        <v>-3.7687299999999979E-3</v>
      </c>
      <c r="W29" s="15"/>
      <c r="X29" s="15"/>
      <c r="Y29" s="16">
        <f t="shared" si="0"/>
        <v>3.1332400000000003E-2</v>
      </c>
      <c r="Z29" s="16">
        <f t="shared" si="1"/>
        <v>-8.7139899999999996E-3</v>
      </c>
      <c r="AA29" s="16">
        <f t="shared" si="2"/>
        <v>6.612838E-2</v>
      </c>
      <c r="AB29" s="16">
        <f t="shared" si="3"/>
        <v>1.8249500000000001E-3</v>
      </c>
      <c r="AC29" s="17">
        <f t="shared" si="10"/>
        <v>1.8636776723476445</v>
      </c>
      <c r="AD29" s="17">
        <f t="shared" si="11"/>
        <v>3.7930896574963167</v>
      </c>
      <c r="AE29" s="17">
        <f t="shared" si="12"/>
        <v>344.45798787885309</v>
      </c>
      <c r="AF29" s="17">
        <f t="shared" si="4"/>
        <v>344.09074097885309</v>
      </c>
    </row>
    <row r="30" spans="1:32" x14ac:dyDescent="0.25">
      <c r="A30" s="14">
        <v>28</v>
      </c>
      <c r="B30" s="14" t="s">
        <v>64</v>
      </c>
      <c r="C30" s="14">
        <v>247.5</v>
      </c>
      <c r="D30" s="14">
        <v>15</v>
      </c>
      <c r="E30" s="15">
        <v>-0.36456003999999997</v>
      </c>
      <c r="F30" s="15">
        <v>-0.35829332000000003</v>
      </c>
      <c r="G30" s="15">
        <v>-6.26671E-3</v>
      </c>
      <c r="H30" s="15">
        <v>0.53420999999999996</v>
      </c>
      <c r="I30" s="15">
        <v>0.54039996000000001</v>
      </c>
      <c r="J30" s="15">
        <v>-6.1899399999999997E-3</v>
      </c>
      <c r="K30" s="18">
        <v>25.21</v>
      </c>
      <c r="L30" s="18">
        <v>25.2</v>
      </c>
      <c r="M30" s="18">
        <v>0.01</v>
      </c>
      <c r="N30" s="15">
        <v>2.9843749999999999E-2</v>
      </c>
      <c r="O30" s="15">
        <v>6.5917980000000001E-2</v>
      </c>
      <c r="P30" s="15">
        <v>-3.6074229999999999E-2</v>
      </c>
      <c r="Q30" s="15">
        <v>-2.1232099999999999E-3</v>
      </c>
      <c r="R30" s="15">
        <v>-5.1269499999999999E-3</v>
      </c>
      <c r="S30" s="15">
        <v>3.00374E-3</v>
      </c>
      <c r="T30" s="14"/>
      <c r="U30" s="15">
        <f t="shared" si="5"/>
        <v>3.1333599999999739E-3</v>
      </c>
      <c r="V30" s="15">
        <f t="shared" si="6"/>
        <v>-3.0949800000000249E-3</v>
      </c>
      <c r="W30" s="15"/>
      <c r="X30" s="15"/>
      <c r="Y30" s="16">
        <f t="shared" si="0"/>
        <v>2.9843749999999999E-2</v>
      </c>
      <c r="Z30" s="16">
        <f t="shared" si="1"/>
        <v>-2.1232099999999999E-3</v>
      </c>
      <c r="AA30" s="16">
        <f t="shared" si="2"/>
        <v>6.5917980000000001E-2</v>
      </c>
      <c r="AB30" s="16">
        <f t="shared" si="3"/>
        <v>-5.1269499999999999E-3</v>
      </c>
      <c r="AC30" s="17">
        <f t="shared" si="10"/>
        <v>1.7144986949622658</v>
      </c>
      <c r="AD30" s="17">
        <f t="shared" si="11"/>
        <v>3.7909939887904058</v>
      </c>
      <c r="AE30" s="17">
        <f t="shared" si="12"/>
        <v>355.93059358561254</v>
      </c>
      <c r="AF30" s="17">
        <f t="shared" si="4"/>
        <v>355.57230026561257</v>
      </c>
    </row>
    <row r="31" spans="1:32" x14ac:dyDescent="0.25">
      <c r="A31" s="14">
        <v>29</v>
      </c>
      <c r="B31" s="14" t="s">
        <v>64</v>
      </c>
      <c r="C31" s="14">
        <v>270</v>
      </c>
      <c r="D31" s="14">
        <v>12</v>
      </c>
      <c r="E31" s="15">
        <v>-0.37780416</v>
      </c>
      <c r="F31" s="15">
        <v>-0.37073751999999999</v>
      </c>
      <c r="G31" s="15">
        <v>-7.0666399999999999E-3</v>
      </c>
      <c r="H31" s="15">
        <v>0.55769164000000004</v>
      </c>
      <c r="I31" s="15">
        <v>0.55908340000000001</v>
      </c>
      <c r="J31" s="15">
        <v>-1.3917700000000001E-3</v>
      </c>
      <c r="K31" s="18">
        <v>24.8</v>
      </c>
      <c r="L31" s="18">
        <v>24.8</v>
      </c>
      <c r="M31" s="18">
        <v>0</v>
      </c>
      <c r="N31" s="15">
        <v>3.2207029999999998E-2</v>
      </c>
      <c r="O31" s="15">
        <v>6.5175579999999997E-2</v>
      </c>
      <c r="P31" s="15">
        <v>-3.2968560000000001E-2</v>
      </c>
      <c r="Q31" s="15">
        <v>4.96643E-3</v>
      </c>
      <c r="R31" s="15">
        <v>-1.152486E-2</v>
      </c>
      <c r="S31" s="15">
        <v>1.6491289999999999E-2</v>
      </c>
      <c r="T31" s="14"/>
      <c r="U31" s="15">
        <f t="shared" si="5"/>
        <v>3.5333200000000065E-3</v>
      </c>
      <c r="V31" s="15">
        <f t="shared" si="6"/>
        <v>-6.9587999999998207E-4</v>
      </c>
      <c r="W31" s="15"/>
      <c r="X31" s="15"/>
      <c r="Y31" s="16">
        <f t="shared" si="0"/>
        <v>3.2207029999999998E-2</v>
      </c>
      <c r="Z31" s="16">
        <f t="shared" si="1"/>
        <v>4.96643E-3</v>
      </c>
      <c r="AA31" s="16">
        <f t="shared" si="2"/>
        <v>6.5175579999999997E-2</v>
      </c>
      <c r="AB31" s="16">
        <f t="shared" si="3"/>
        <v>-1.152486E-2</v>
      </c>
      <c r="AC31" s="17">
        <f t="shared" si="10"/>
        <v>1.8674683174411426</v>
      </c>
      <c r="AD31" s="17">
        <f t="shared" si="11"/>
        <v>3.7949925175780233</v>
      </c>
      <c r="AE31" s="17">
        <f t="shared" si="12"/>
        <v>8.7661504866536557</v>
      </c>
      <c r="AF31" s="17">
        <f t="shared" si="4"/>
        <v>8.3954129666536552</v>
      </c>
    </row>
    <row r="32" spans="1:32" x14ac:dyDescent="0.25">
      <c r="A32" s="14">
        <v>30</v>
      </c>
      <c r="B32" s="14" t="s">
        <v>64</v>
      </c>
      <c r="C32" s="14">
        <v>292.5</v>
      </c>
      <c r="D32" s="14">
        <v>15</v>
      </c>
      <c r="E32" s="15">
        <v>-0.37114004</v>
      </c>
      <c r="F32" s="15">
        <v>-0.36179339999999999</v>
      </c>
      <c r="G32" s="15">
        <v>-9.3466299999999999E-3</v>
      </c>
      <c r="H32" s="15">
        <v>0.55453010000000003</v>
      </c>
      <c r="I32" s="15">
        <v>0.54950003999999997</v>
      </c>
      <c r="J32" s="15">
        <v>5.0300400000000004E-3</v>
      </c>
      <c r="K32" s="18">
        <v>24.96</v>
      </c>
      <c r="L32" s="18">
        <v>24.95</v>
      </c>
      <c r="M32" s="18">
        <v>0.01</v>
      </c>
      <c r="N32" s="15">
        <v>3.6584150000000003E-2</v>
      </c>
      <c r="O32" s="15">
        <v>6.0211430000000003E-2</v>
      </c>
      <c r="P32" s="15">
        <v>-2.3627280000000001E-2</v>
      </c>
      <c r="Q32" s="15">
        <v>1.051595E-2</v>
      </c>
      <c r="R32" s="15">
        <v>-1.7188149999999999E-2</v>
      </c>
      <c r="S32" s="15">
        <v>2.7704099999999999E-2</v>
      </c>
      <c r="T32" s="14"/>
      <c r="U32" s="15">
        <f t="shared" si="5"/>
        <v>4.6733200000000086E-3</v>
      </c>
      <c r="V32" s="15">
        <f t="shared" si="6"/>
        <v>2.5150300000000292E-3</v>
      </c>
      <c r="W32" s="15"/>
      <c r="X32" s="15"/>
      <c r="Y32" s="16">
        <f t="shared" si="0"/>
        <v>3.6584150000000003E-2</v>
      </c>
      <c r="Z32" s="16">
        <f t="shared" si="1"/>
        <v>1.051595E-2</v>
      </c>
      <c r="AA32" s="16">
        <f t="shared" si="2"/>
        <v>6.0211430000000003E-2</v>
      </c>
      <c r="AB32" s="16">
        <f t="shared" si="3"/>
        <v>-1.7188149999999999E-2</v>
      </c>
      <c r="AC32" s="17">
        <f t="shared" si="10"/>
        <v>2.1815217603143782</v>
      </c>
      <c r="AD32" s="17">
        <f t="shared" si="11"/>
        <v>3.5900201766788351</v>
      </c>
      <c r="AE32" s="17">
        <f t="shared" si="12"/>
        <v>16.037060072018431</v>
      </c>
      <c r="AF32" s="17">
        <f t="shared" si="4"/>
        <v>15.675266672018431</v>
      </c>
    </row>
    <row r="33" spans="1:32" x14ac:dyDescent="0.25">
      <c r="A33" s="14">
        <v>31</v>
      </c>
      <c r="B33" s="14" t="s">
        <v>64</v>
      </c>
      <c r="C33" s="14">
        <v>315</v>
      </c>
      <c r="D33" s="14">
        <v>21</v>
      </c>
      <c r="E33" s="15">
        <v>-0.37053096000000002</v>
      </c>
      <c r="F33" s="15">
        <v>-0.36166428</v>
      </c>
      <c r="G33" s="15">
        <v>-8.8666999999999999E-3</v>
      </c>
      <c r="H33" s="15">
        <v>0.55064283999999997</v>
      </c>
      <c r="I33" s="15">
        <v>0.54244530000000002</v>
      </c>
      <c r="J33" s="15">
        <v>8.1975499999999996E-3</v>
      </c>
      <c r="K33" s="18">
        <v>25.03</v>
      </c>
      <c r="L33" s="18">
        <v>25.02</v>
      </c>
      <c r="M33" s="18">
        <v>0.01</v>
      </c>
      <c r="N33" s="15">
        <v>4.2455010000000001E-2</v>
      </c>
      <c r="O33" s="15">
        <v>5.4363839999999997E-2</v>
      </c>
      <c r="P33" s="15">
        <v>-1.190883E-2</v>
      </c>
      <c r="Q33" s="15">
        <v>1.355806E-2</v>
      </c>
      <c r="R33" s="15">
        <v>-2.0601049999999999E-2</v>
      </c>
      <c r="S33" s="15">
        <v>3.4159109999999999E-2</v>
      </c>
      <c r="T33" s="14"/>
      <c r="U33" s="15">
        <f t="shared" si="5"/>
        <v>4.4333400000000078E-3</v>
      </c>
      <c r="V33" s="15">
        <f t="shared" si="6"/>
        <v>4.0987699999999738E-3</v>
      </c>
      <c r="W33" s="15"/>
      <c r="X33" s="15"/>
      <c r="Y33" s="16">
        <f t="shared" si="0"/>
        <v>4.2455010000000001E-2</v>
      </c>
      <c r="Z33" s="16">
        <f t="shared" si="1"/>
        <v>1.355806E-2</v>
      </c>
      <c r="AA33" s="16">
        <f t="shared" si="2"/>
        <v>5.4363839999999997E-2</v>
      </c>
      <c r="AB33" s="16">
        <f t="shared" si="3"/>
        <v>-2.0601049999999999E-2</v>
      </c>
      <c r="AC33" s="17">
        <f t="shared" si="10"/>
        <v>2.5543672520453127</v>
      </c>
      <c r="AD33" s="17">
        <f t="shared" si="11"/>
        <v>3.3328443199205893</v>
      </c>
      <c r="AE33" s="17">
        <f t="shared" si="12"/>
        <v>17.710946728997179</v>
      </c>
      <c r="AF33" s="17">
        <f t="shared" si="4"/>
        <v>17.34928244899718</v>
      </c>
    </row>
    <row r="34" spans="1:32" x14ac:dyDescent="0.25">
      <c r="A34" s="14">
        <v>32</v>
      </c>
      <c r="B34" s="14" t="s">
        <v>64</v>
      </c>
      <c r="C34" s="14">
        <v>337.5</v>
      </c>
      <c r="D34" s="14">
        <v>11</v>
      </c>
      <c r="E34" s="15">
        <v>-0.37008629999999998</v>
      </c>
      <c r="F34" s="15">
        <v>-0.36899999999999999</v>
      </c>
      <c r="G34" s="15">
        <v>-1.08632E-3</v>
      </c>
      <c r="H34" s="15">
        <v>0.56483629999999996</v>
      </c>
      <c r="I34" s="15">
        <v>0.55054548000000003</v>
      </c>
      <c r="J34" s="15">
        <v>1.4290870000000001E-2</v>
      </c>
      <c r="K34" s="18">
        <v>24.85</v>
      </c>
      <c r="L34" s="18">
        <v>24.84</v>
      </c>
      <c r="M34" s="18">
        <v>0.01</v>
      </c>
      <c r="N34" s="15">
        <v>4.9608480000000003E-2</v>
      </c>
      <c r="O34" s="15">
        <v>4.726851E-2</v>
      </c>
      <c r="P34" s="15">
        <v>2.3399699999999998E-3</v>
      </c>
      <c r="Q34" s="15">
        <v>1.4410289999999999E-2</v>
      </c>
      <c r="R34" s="15">
        <v>-2.1176090000000002E-2</v>
      </c>
      <c r="S34" s="15">
        <v>3.5586380000000001E-2</v>
      </c>
      <c r="T34" s="14"/>
      <c r="U34" s="15">
        <f t="shared" si="5"/>
        <v>5.4314999999999225E-4</v>
      </c>
      <c r="V34" s="15">
        <f t="shared" si="6"/>
        <v>7.1454099999999632E-3</v>
      </c>
      <c r="W34" s="15"/>
      <c r="X34" s="15"/>
      <c r="Y34" s="16">
        <f t="shared" si="0"/>
        <v>4.9608480000000003E-2</v>
      </c>
      <c r="Z34" s="16">
        <f t="shared" si="1"/>
        <v>1.4410289999999999E-2</v>
      </c>
      <c r="AA34" s="16">
        <f t="shared" si="2"/>
        <v>4.726851E-2</v>
      </c>
      <c r="AB34" s="16">
        <f t="shared" si="3"/>
        <v>-2.1176090000000002E-2</v>
      </c>
      <c r="AC34" s="17">
        <f t="shared" si="10"/>
        <v>2.9611637570606377</v>
      </c>
      <c r="AD34" s="17">
        <f t="shared" si="11"/>
        <v>2.9689726989650658</v>
      </c>
      <c r="AE34" s="17">
        <f t="shared" si="12"/>
        <v>16.197544190486827</v>
      </c>
      <c r="AF34" s="17">
        <f t="shared" si="4"/>
        <v>15.828544190486827</v>
      </c>
    </row>
    <row r="37" spans="1:32" x14ac:dyDescent="0.25">
      <c r="A37">
        <v>1</v>
      </c>
      <c r="C37">
        <v>0</v>
      </c>
      <c r="K37" s="33">
        <f>(K3+K19)/2</f>
        <v>24.924999999999997</v>
      </c>
      <c r="L37" s="33">
        <f>(L3+L19)/2</f>
        <v>24.92</v>
      </c>
      <c r="M37" s="33">
        <f>K37-L37</f>
        <v>4.9999999999954525E-3</v>
      </c>
      <c r="U37">
        <f>(U3+U19)/2</f>
        <v>2.0142000000002158E-4</v>
      </c>
      <c r="V37">
        <f>(V3+V19)/2</f>
        <v>5.0119700000000045E-3</v>
      </c>
      <c r="AC37">
        <f>(AC3+AC19)/2</f>
        <v>3.32407253682215</v>
      </c>
      <c r="AD37">
        <f>(AD3+AD19)/2</f>
        <v>2.58381340493847</v>
      </c>
    </row>
    <row r="38" spans="1:32" x14ac:dyDescent="0.25">
      <c r="A38">
        <v>2</v>
      </c>
      <c r="C38">
        <v>22.5</v>
      </c>
      <c r="K38" s="33">
        <f t="shared" ref="K38:L38" si="13">(K4+K20)/2</f>
        <v>24.984999999999999</v>
      </c>
      <c r="L38" s="33">
        <f t="shared" si="13"/>
        <v>24.984999999999999</v>
      </c>
      <c r="M38" s="33">
        <f t="shared" ref="M38:M52" si="14">K38-L38</f>
        <v>0</v>
      </c>
      <c r="U38">
        <f t="shared" ref="U38:V52" si="15">(U4+U20)/2</f>
        <v>-9.6181500000000475E-4</v>
      </c>
      <c r="V38">
        <f t="shared" si="15"/>
        <v>4.0041400000000171E-3</v>
      </c>
      <c r="AC38">
        <f t="shared" ref="AC38:AD52" si="16">(AC4+AC20)/2</f>
        <v>3.5363831522471783</v>
      </c>
      <c r="AD38">
        <f t="shared" si="16"/>
        <v>2.1670021044687768</v>
      </c>
    </row>
    <row r="39" spans="1:32" x14ac:dyDescent="0.25">
      <c r="A39">
        <v>3</v>
      </c>
      <c r="C39">
        <v>45</v>
      </c>
      <c r="K39" s="33">
        <f t="shared" ref="K39:L39" si="17">(K5+K21)/2</f>
        <v>24.96</v>
      </c>
      <c r="L39" s="33">
        <f t="shared" si="17"/>
        <v>24.975000000000001</v>
      </c>
      <c r="M39" s="33">
        <f t="shared" si="14"/>
        <v>-1.5000000000000568E-2</v>
      </c>
      <c r="U39">
        <f t="shared" si="15"/>
        <v>-3.1283600000000106E-3</v>
      </c>
      <c r="V39">
        <f t="shared" si="15"/>
        <v>3.8131100000000084E-3</v>
      </c>
      <c r="AC39">
        <f t="shared" si="16"/>
        <v>3.7272495792281637</v>
      </c>
      <c r="AD39">
        <f t="shared" si="16"/>
        <v>1.8746288709854131</v>
      </c>
    </row>
    <row r="40" spans="1:32" x14ac:dyDescent="0.25">
      <c r="A40">
        <v>4</v>
      </c>
      <c r="C40">
        <v>67.5</v>
      </c>
      <c r="K40" s="33">
        <f t="shared" ref="K40:L40" si="18">(K6+K22)/2</f>
        <v>24.97</v>
      </c>
      <c r="L40" s="33">
        <f t="shared" si="18"/>
        <v>24.954999999999998</v>
      </c>
      <c r="M40" s="33">
        <f t="shared" si="14"/>
        <v>1.5000000000000568E-2</v>
      </c>
      <c r="U40">
        <f t="shared" si="15"/>
        <v>-3.8872700000000121E-3</v>
      </c>
      <c r="V40">
        <f t="shared" si="15"/>
        <v>1.1130249999999897E-3</v>
      </c>
      <c r="AC40">
        <f t="shared" si="16"/>
        <v>3.760243321335424</v>
      </c>
      <c r="AD40">
        <f t="shared" si="16"/>
        <v>1.7283327568284428</v>
      </c>
    </row>
    <row r="41" spans="1:32" x14ac:dyDescent="0.25">
      <c r="A41">
        <v>5</v>
      </c>
      <c r="C41">
        <v>90</v>
      </c>
      <c r="K41" s="33">
        <f t="shared" ref="K41:L41" si="19">(K7+K23)/2</f>
        <v>25.049999999999997</v>
      </c>
      <c r="L41" s="33">
        <f t="shared" si="19"/>
        <v>25.05</v>
      </c>
      <c r="M41" s="33">
        <f t="shared" si="14"/>
        <v>0</v>
      </c>
      <c r="U41">
        <f t="shared" si="15"/>
        <v>-3.8130700000000017E-3</v>
      </c>
      <c r="V41">
        <f t="shared" si="15"/>
        <v>1.75786E-3</v>
      </c>
      <c r="AC41">
        <f t="shared" si="16"/>
        <v>3.7299059613956715</v>
      </c>
      <c r="AD41">
        <f t="shared" si="16"/>
        <v>1.8755262510595982</v>
      </c>
    </row>
    <row r="42" spans="1:32" x14ac:dyDescent="0.25">
      <c r="A42">
        <v>6</v>
      </c>
      <c r="C42">
        <v>112.5</v>
      </c>
      <c r="K42" s="33">
        <f t="shared" ref="K42:L42" si="20">(K8+K24)/2</f>
        <v>25.07</v>
      </c>
      <c r="L42" s="33">
        <f t="shared" si="20"/>
        <v>25.065000000000001</v>
      </c>
      <c r="M42" s="33">
        <f t="shared" si="14"/>
        <v>4.9999999999990052E-3</v>
      </c>
      <c r="U42">
        <f t="shared" si="15"/>
        <v>-4.4031300000000051E-3</v>
      </c>
      <c r="V42">
        <f t="shared" si="15"/>
        <v>-2.0312399999999897E-3</v>
      </c>
      <c r="AC42">
        <f t="shared" si="16"/>
        <v>3.5333393715755332</v>
      </c>
      <c r="AD42">
        <f t="shared" si="16"/>
        <v>2.1795167956658714</v>
      </c>
    </row>
    <row r="43" spans="1:32" x14ac:dyDescent="0.25">
      <c r="A43">
        <v>7</v>
      </c>
      <c r="C43">
        <v>135</v>
      </c>
      <c r="K43" s="33">
        <f t="shared" ref="K43:L43" si="21">(K9+K25)/2</f>
        <v>24.98</v>
      </c>
      <c r="L43" s="33">
        <f t="shared" si="21"/>
        <v>24.97</v>
      </c>
      <c r="M43" s="33">
        <f t="shared" si="14"/>
        <v>1.0000000000001563E-2</v>
      </c>
      <c r="U43">
        <f t="shared" si="15"/>
        <v>-3.4103750000000072E-3</v>
      </c>
      <c r="V43">
        <f t="shared" si="15"/>
        <v>-3.3419650000000023E-3</v>
      </c>
      <c r="AC43">
        <f t="shared" si="16"/>
        <v>3.2646101233598874</v>
      </c>
      <c r="AD43">
        <f t="shared" si="16"/>
        <v>2.5840132528921176</v>
      </c>
    </row>
    <row r="44" spans="1:32" x14ac:dyDescent="0.25">
      <c r="A44">
        <v>8</v>
      </c>
      <c r="C44">
        <v>157.5</v>
      </c>
      <c r="K44" s="33">
        <f t="shared" ref="K44:L44" si="22">(K10+K26)/2</f>
        <v>25</v>
      </c>
      <c r="L44" s="33">
        <f t="shared" si="22"/>
        <v>25</v>
      </c>
      <c r="M44" s="33">
        <f t="shared" si="14"/>
        <v>0</v>
      </c>
      <c r="U44">
        <f t="shared" si="15"/>
        <v>-2.0747150000000186E-3</v>
      </c>
      <c r="V44">
        <f t="shared" si="15"/>
        <v>-4.6075299999999986E-3</v>
      </c>
      <c r="AC44">
        <f t="shared" si="16"/>
        <v>2.9004836859020671</v>
      </c>
      <c r="AD44">
        <f t="shared" si="16"/>
        <v>2.961324785932395</v>
      </c>
    </row>
    <row r="45" spans="1:32" x14ac:dyDescent="0.25">
      <c r="A45">
        <v>9</v>
      </c>
      <c r="C45">
        <v>180</v>
      </c>
      <c r="K45" s="33">
        <f t="shared" ref="K45:L45" si="23">(K11+K27)/2</f>
        <v>25.11</v>
      </c>
      <c r="L45" s="33">
        <f t="shared" si="23"/>
        <v>25.1</v>
      </c>
      <c r="M45" s="33">
        <f t="shared" si="14"/>
        <v>9.9999999999980105E-3</v>
      </c>
      <c r="U45">
        <f t="shared" si="15"/>
        <v>5.562299999999909E-4</v>
      </c>
      <c r="V45">
        <f t="shared" si="15"/>
        <v>-3.8265850000000212E-3</v>
      </c>
      <c r="AC45">
        <f t="shared" si="16"/>
        <v>2.5114037849198549</v>
      </c>
      <c r="AD45">
        <f t="shared" si="16"/>
        <v>3.3069120290020937</v>
      </c>
    </row>
    <row r="46" spans="1:32" x14ac:dyDescent="0.25">
      <c r="A46">
        <v>10</v>
      </c>
      <c r="C46">
        <v>202.5</v>
      </c>
      <c r="K46" s="33">
        <f t="shared" ref="K46:L46" si="24">(K12+K28)/2</f>
        <v>24.939999999999998</v>
      </c>
      <c r="L46" s="33">
        <f t="shared" si="24"/>
        <v>24.94</v>
      </c>
      <c r="M46" s="33">
        <f t="shared" si="14"/>
        <v>0</v>
      </c>
      <c r="U46">
        <f t="shared" si="15"/>
        <v>4.9524499999999139E-4</v>
      </c>
      <c r="V46">
        <f t="shared" si="15"/>
        <v>-3.8377499999999731E-3</v>
      </c>
      <c r="AC46">
        <f t="shared" si="16"/>
        <v>2.1283898337393214</v>
      </c>
      <c r="AD46">
        <f t="shared" si="16"/>
        <v>3.5854414881094794</v>
      </c>
    </row>
    <row r="47" spans="1:32" x14ac:dyDescent="0.25">
      <c r="A47">
        <v>11</v>
      </c>
      <c r="C47">
        <v>225</v>
      </c>
      <c r="K47" s="33">
        <f t="shared" ref="K47:L47" si="25">(K13+K29)/2</f>
        <v>24.91</v>
      </c>
      <c r="L47" s="33">
        <f t="shared" si="25"/>
        <v>24.91</v>
      </c>
      <c r="M47" s="33">
        <f t="shared" si="14"/>
        <v>0</v>
      </c>
      <c r="U47">
        <f t="shared" si="15"/>
        <v>1.0177450000000005E-3</v>
      </c>
      <c r="V47">
        <f t="shared" si="15"/>
        <v>-4.0446849999999923E-3</v>
      </c>
      <c r="AC47">
        <f t="shared" si="16"/>
        <v>1.8362500366740271</v>
      </c>
      <c r="AD47">
        <f t="shared" si="16"/>
        <v>3.8012200718471894</v>
      </c>
    </row>
    <row r="48" spans="1:32" x14ac:dyDescent="0.25">
      <c r="A48">
        <v>12</v>
      </c>
      <c r="C48">
        <v>247.5</v>
      </c>
      <c r="K48" s="33">
        <f t="shared" ref="K48:L48" si="26">(K14+K30)/2</f>
        <v>25.1</v>
      </c>
      <c r="L48" s="33">
        <f t="shared" si="26"/>
        <v>25.094999999999999</v>
      </c>
      <c r="M48" s="33">
        <f t="shared" si="14"/>
        <v>5.000000000002558E-3</v>
      </c>
      <c r="U48">
        <f t="shared" si="15"/>
        <v>1.9609099999999824E-3</v>
      </c>
      <c r="V48">
        <f t="shared" si="15"/>
        <v>-2.3301400000000083E-3</v>
      </c>
      <c r="AC48">
        <f t="shared" si="16"/>
        <v>1.7082824924419731</v>
      </c>
      <c r="AD48">
        <f t="shared" si="16"/>
        <v>3.7880664017584227</v>
      </c>
    </row>
    <row r="49" spans="1:30" x14ac:dyDescent="0.25">
      <c r="A49">
        <v>13</v>
      </c>
      <c r="C49">
        <v>270</v>
      </c>
      <c r="K49" s="33">
        <f t="shared" ref="K49:L49" si="27">(K15+K31)/2</f>
        <v>24.82</v>
      </c>
      <c r="L49" s="33">
        <f t="shared" si="27"/>
        <v>24.82</v>
      </c>
      <c r="M49" s="33">
        <f t="shared" si="14"/>
        <v>0</v>
      </c>
      <c r="U49">
        <f t="shared" si="15"/>
        <v>3.621360000000004E-3</v>
      </c>
      <c r="V49">
        <f t="shared" si="15"/>
        <v>-1.6573049999999978E-3</v>
      </c>
      <c r="AC49">
        <f t="shared" si="16"/>
        <v>1.8884885528264799</v>
      </c>
      <c r="AD49">
        <f t="shared" si="16"/>
        <v>3.8058839138658942</v>
      </c>
    </row>
    <row r="50" spans="1:30" x14ac:dyDescent="0.25">
      <c r="A50">
        <v>14</v>
      </c>
      <c r="C50">
        <v>292.5</v>
      </c>
      <c r="K50" s="33">
        <f t="shared" ref="K50:L50" si="28">(K16+K32)/2</f>
        <v>25.005000000000003</v>
      </c>
      <c r="L50" s="33">
        <f t="shared" si="28"/>
        <v>25</v>
      </c>
      <c r="M50" s="33">
        <f t="shared" si="14"/>
        <v>5.000000000002558E-3</v>
      </c>
      <c r="U50">
        <f t="shared" si="15"/>
        <v>3.6175400000000024E-3</v>
      </c>
      <c r="V50">
        <f t="shared" si="15"/>
        <v>1.2950400000000251E-3</v>
      </c>
      <c r="AC50">
        <f t="shared" si="16"/>
        <v>2.1713506505831246</v>
      </c>
      <c r="AD50">
        <f t="shared" si="16"/>
        <v>3.5745057343491933</v>
      </c>
    </row>
    <row r="51" spans="1:30" x14ac:dyDescent="0.25">
      <c r="A51">
        <v>15</v>
      </c>
      <c r="C51">
        <v>315</v>
      </c>
      <c r="K51" s="33">
        <f t="shared" ref="K51:L51" si="29">(K17+K33)/2</f>
        <v>24.96</v>
      </c>
      <c r="L51" s="33">
        <f t="shared" si="29"/>
        <v>24.96</v>
      </c>
      <c r="M51" s="33">
        <f t="shared" si="14"/>
        <v>0</v>
      </c>
      <c r="U51">
        <f t="shared" si="15"/>
        <v>3.6682250000000111E-3</v>
      </c>
      <c r="V51">
        <f t="shared" si="15"/>
        <v>3.5571599999999759E-3</v>
      </c>
      <c r="AC51">
        <f t="shared" si="16"/>
        <v>2.5789758116187587</v>
      </c>
      <c r="AD51">
        <f t="shared" si="16"/>
        <v>3.3220968538073445</v>
      </c>
    </row>
    <row r="52" spans="1:30" x14ac:dyDescent="0.25">
      <c r="A52">
        <v>16</v>
      </c>
      <c r="C52">
        <v>337.5</v>
      </c>
      <c r="K52" s="33">
        <f t="shared" ref="K52:L52" si="30">(K18+K34)/2</f>
        <v>24.925000000000001</v>
      </c>
      <c r="L52" s="33">
        <f t="shared" si="30"/>
        <v>24.914999999999999</v>
      </c>
      <c r="M52" s="33">
        <f t="shared" si="14"/>
        <v>1.0000000000001563E-2</v>
      </c>
      <c r="U52">
        <f t="shared" si="15"/>
        <v>1.8696499999999727E-4</v>
      </c>
      <c r="V52">
        <f t="shared" si="15"/>
        <v>4.2717299999999736E-3</v>
      </c>
      <c r="AC52">
        <f t="shared" si="16"/>
        <v>2.9399741251774154</v>
      </c>
      <c r="AD52">
        <f t="shared" si="16"/>
        <v>2.9498794919471818</v>
      </c>
    </row>
  </sheetData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T16-3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Jaroslav Polame</dc:creator>
  <cp:lastModifiedBy>Jaroslav Polame</cp:lastModifiedBy>
  <dcterms:created xsi:type="dcterms:W3CDTF">2026-07-11T08:35:59Z</dcterms:created>
  <dcterms:modified xsi:type="dcterms:W3CDTF">2026-08-02T16:47:47Z</dcterms:modified>
</cp:coreProperties>
</file>