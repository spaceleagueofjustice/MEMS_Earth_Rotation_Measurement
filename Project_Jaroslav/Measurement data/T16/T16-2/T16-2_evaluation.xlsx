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6\T16-2\"/>
    </mc:Choice>
  </mc:AlternateContent>
  <xr:revisionPtr revIDLastSave="0" documentId="13_ncr:1_{5EE73864-5248-4CA1-9869-38E77F800F38}" xr6:coauthVersionLast="47" xr6:coauthVersionMax="47" xr10:uidLastSave="{00000000-0000-0000-0000-000000000000}"/>
  <bookViews>
    <workbookView xWindow="3750" yWindow="3870" windowWidth="28800" windowHeight="15345" xr2:uid="{0C4992B2-34A0-4179-B002-07A58BC14391}"/>
  </bookViews>
  <sheets>
    <sheet name="Main" sheetId="2" r:id="rId1"/>
    <sheet name="T16-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2" l="1"/>
  <c r="G10" i="2" s="1"/>
  <c r="AD52" i="1"/>
  <c r="AC52" i="1"/>
  <c r="V52" i="1"/>
  <c r="U52" i="1"/>
  <c r="AD51" i="1"/>
  <c r="AC51" i="1"/>
  <c r="V51" i="1"/>
  <c r="U51" i="1"/>
  <c r="AD50" i="1"/>
  <c r="AC50" i="1"/>
  <c r="V50" i="1"/>
  <c r="U50" i="1"/>
  <c r="AD49" i="1"/>
  <c r="AC49" i="1"/>
  <c r="V49" i="1"/>
  <c r="U49" i="1"/>
  <c r="AD48" i="1"/>
  <c r="AC48" i="1"/>
  <c r="V48" i="1"/>
  <c r="U48" i="1"/>
  <c r="AD47" i="1"/>
  <c r="AC47" i="1"/>
  <c r="V47" i="1"/>
  <c r="U47" i="1"/>
  <c r="AD46" i="1"/>
  <c r="AC46" i="1"/>
  <c r="V46" i="1"/>
  <c r="U46" i="1"/>
  <c r="AD45" i="1"/>
  <c r="AC45" i="1"/>
  <c r="V45" i="1"/>
  <c r="U45" i="1"/>
  <c r="AD44" i="1"/>
  <c r="AC44" i="1"/>
  <c r="V44" i="1"/>
  <c r="U44" i="1"/>
  <c r="AD43" i="1"/>
  <c r="AC43" i="1"/>
  <c r="V43" i="1"/>
  <c r="U43" i="1"/>
  <c r="AD42" i="1"/>
  <c r="AC42" i="1"/>
  <c r="V42" i="1"/>
  <c r="U42" i="1"/>
  <c r="AD41" i="1"/>
  <c r="AC41" i="1"/>
  <c r="V41" i="1"/>
  <c r="U41" i="1"/>
  <c r="AD40" i="1"/>
  <c r="AC40" i="1"/>
  <c r="V40" i="1"/>
  <c r="U40" i="1"/>
  <c r="AD39" i="1"/>
  <c r="AC39" i="1"/>
  <c r="V39" i="1"/>
  <c r="U39" i="1"/>
  <c r="AD38" i="1"/>
  <c r="AC38" i="1"/>
  <c r="V38" i="1"/>
  <c r="U38" i="1"/>
  <c r="AD37" i="1"/>
  <c r="AC37" i="1"/>
  <c r="V37" i="1"/>
  <c r="U37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G18" i="2"/>
  <c r="AB14" i="1"/>
  <c r="AA14" i="1"/>
  <c r="Z14" i="1"/>
  <c r="Y14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3" i="1"/>
  <c r="AB12" i="1"/>
  <c r="AB11" i="1"/>
  <c r="AB10" i="1"/>
  <c r="AB9" i="1"/>
  <c r="AB8" i="1"/>
  <c r="AB7" i="1"/>
  <c r="AB6" i="1"/>
  <c r="AB5" i="1"/>
  <c r="AB4" i="1"/>
  <c r="AD4" i="1" s="1"/>
  <c r="AB3" i="1"/>
  <c r="AA34" i="1"/>
  <c r="AD34" i="1" s="1"/>
  <c r="AA33" i="1"/>
  <c r="AD33" i="1" s="1"/>
  <c r="AA32" i="1"/>
  <c r="AA31" i="1"/>
  <c r="AA30" i="1"/>
  <c r="AA29" i="1"/>
  <c r="AA28" i="1"/>
  <c r="AA27" i="1"/>
  <c r="AD27" i="1" s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3" i="1"/>
  <c r="AA12" i="1"/>
  <c r="AA11" i="1"/>
  <c r="AA10" i="1"/>
  <c r="AA9" i="1"/>
  <c r="AA8" i="1"/>
  <c r="AD8" i="1" s="1"/>
  <c r="AA7" i="1"/>
  <c r="AA6" i="1"/>
  <c r="AA5" i="1"/>
  <c r="AA4" i="1"/>
  <c r="AA3" i="1"/>
  <c r="Z34" i="1"/>
  <c r="Z33" i="1"/>
  <c r="Z32" i="1"/>
  <c r="Z31" i="1"/>
  <c r="Z30" i="1"/>
  <c r="Z29" i="1"/>
  <c r="Z28" i="1"/>
  <c r="AE28" i="1" s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3" i="1"/>
  <c r="Z12" i="1"/>
  <c r="Z11" i="1"/>
  <c r="Z10" i="1"/>
  <c r="Z9" i="1"/>
  <c r="Z8" i="1"/>
  <c r="Z7" i="1"/>
  <c r="Z6" i="1"/>
  <c r="Z5" i="1"/>
  <c r="Z4" i="1"/>
  <c r="Z3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3" i="1"/>
  <c r="Y12" i="1"/>
  <c r="Y11" i="1"/>
  <c r="Y10" i="1"/>
  <c r="Y9" i="1"/>
  <c r="Y8" i="1"/>
  <c r="Y7" i="1"/>
  <c r="Y6" i="1"/>
  <c r="Y5" i="1"/>
  <c r="Y4" i="1"/>
  <c r="Y3" i="1"/>
  <c r="G12" i="2"/>
  <c r="AC34" i="1" l="1"/>
  <c r="AD28" i="1"/>
  <c r="AD19" i="1"/>
  <c r="AE25" i="1"/>
  <c r="AE31" i="1"/>
  <c r="AF31" i="1" s="1"/>
  <c r="AE21" i="1"/>
  <c r="AF21" i="1" s="1"/>
  <c r="AD32" i="1"/>
  <c r="AD18" i="1"/>
  <c r="AD24" i="1"/>
  <c r="AD22" i="1"/>
  <c r="AD11" i="1"/>
  <c r="AD14" i="1"/>
  <c r="AD23" i="1"/>
  <c r="AD26" i="1"/>
  <c r="AC24" i="1"/>
  <c r="AC27" i="1"/>
  <c r="AD3" i="1"/>
  <c r="AD6" i="1"/>
  <c r="AD9" i="1"/>
  <c r="AD12" i="1"/>
  <c r="AD15" i="1"/>
  <c r="AD21" i="1"/>
  <c r="AC18" i="1"/>
  <c r="AE30" i="1"/>
  <c r="AF30" i="1" s="1"/>
  <c r="AD30" i="1"/>
  <c r="AD25" i="1"/>
  <c r="AE22" i="1"/>
  <c r="AF22" i="1" s="1"/>
  <c r="AD31" i="1"/>
  <c r="AD20" i="1"/>
  <c r="AE3" i="1"/>
  <c r="AF3" i="1" s="1"/>
  <c r="AC6" i="1"/>
  <c r="AC12" i="1"/>
  <c r="AC15" i="1"/>
  <c r="AC21" i="1"/>
  <c r="AE29" i="1"/>
  <c r="AF29" i="1" s="1"/>
  <c r="AE34" i="1"/>
  <c r="AF34" i="1" s="1"/>
  <c r="AE23" i="1"/>
  <c r="AF23" i="1" s="1"/>
  <c r="AE33" i="1"/>
  <c r="AF33" i="1" s="1"/>
  <c r="AF28" i="1"/>
  <c r="AE26" i="1"/>
  <c r="AF26" i="1" s="1"/>
  <c r="AE18" i="1"/>
  <c r="AF18" i="1" s="1"/>
  <c r="AE19" i="1"/>
  <c r="AF19" i="1" s="1"/>
  <c r="AE27" i="1"/>
  <c r="AF27" i="1" s="1"/>
  <c r="AD29" i="1"/>
  <c r="AE24" i="1"/>
  <c r="AF24" i="1" s="1"/>
  <c r="AC19" i="1"/>
  <c r="AF25" i="1"/>
  <c r="AE20" i="1"/>
  <c r="AF20" i="1" s="1"/>
  <c r="AC30" i="1"/>
  <c r="AE32" i="1"/>
  <c r="AF32" i="1" s="1"/>
  <c r="AC33" i="1"/>
  <c r="AC20" i="1"/>
  <c r="AC23" i="1"/>
  <c r="AC26" i="1"/>
  <c r="AC29" i="1"/>
  <c r="AC32" i="1"/>
  <c r="AC22" i="1"/>
  <c r="AC25" i="1"/>
  <c r="AC28" i="1"/>
  <c r="AC31" i="1"/>
  <c r="AD13" i="1"/>
  <c r="AD16" i="1"/>
  <c r="AD7" i="1"/>
  <c r="AD10" i="1"/>
  <c r="AD5" i="1"/>
  <c r="AC9" i="1"/>
  <c r="AD17" i="1"/>
  <c r="AC5" i="1"/>
  <c r="AC8" i="1"/>
  <c r="AC11" i="1"/>
  <c r="AC14" i="1"/>
  <c r="AC17" i="1"/>
  <c r="AE5" i="1"/>
  <c r="AF5" i="1" s="1"/>
  <c r="AE8" i="1"/>
  <c r="AF8" i="1" s="1"/>
  <c r="AE11" i="1"/>
  <c r="AF11" i="1" s="1"/>
  <c r="AE14" i="1"/>
  <c r="AF14" i="1" s="1"/>
  <c r="AE17" i="1"/>
  <c r="AF17" i="1" s="1"/>
  <c r="AC4" i="1"/>
  <c r="AC7" i="1"/>
  <c r="AC10" i="1"/>
  <c r="AC13" i="1"/>
  <c r="AC16" i="1"/>
  <c r="AE4" i="1"/>
  <c r="AF4" i="1" s="1"/>
  <c r="AE7" i="1"/>
  <c r="AF7" i="1" s="1"/>
  <c r="AE10" i="1"/>
  <c r="AF10" i="1" s="1"/>
  <c r="AE13" i="1"/>
  <c r="AF13" i="1" s="1"/>
  <c r="AE16" i="1"/>
  <c r="AF16" i="1" s="1"/>
  <c r="AE6" i="1"/>
  <c r="AF6" i="1" s="1"/>
  <c r="AE9" i="1"/>
  <c r="AF9" i="1" s="1"/>
  <c r="AE12" i="1"/>
  <c r="AF12" i="1" s="1"/>
  <c r="AE15" i="1"/>
  <c r="AF15" i="1" s="1"/>
  <c r="AC3" i="1"/>
  <c r="R17" i="2" l="1"/>
  <c r="V17" i="2"/>
  <c r="T17" i="2"/>
  <c r="X17" i="2"/>
</calcChain>
</file>

<file path=xl/sharedStrings.xml><?xml version="1.0" encoding="utf-8"?>
<sst xmlns="http://schemas.openxmlformats.org/spreadsheetml/2006/main" count="113" uniqueCount="67">
  <si>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</si>
  <si>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</si>
  <si>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</si>
  <si>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</si>
  <si>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</si>
  <si>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</si>
  <si>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</si>
  <si>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</si>
  <si>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</si>
  <si>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</si>
  <si>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</si>
  <si>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</si>
  <si>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</si>
  <si>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</si>
  <si>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</si>
  <si>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</si>
  <si>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</si>
  <si>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</si>
  <si>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</si>
  <si>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</si>
  <si>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Rotation direction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</si>
  <si>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</si>
  <si>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</si>
  <si>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</si>
  <si>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</si>
  <si>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</si>
  <si>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</si>
  <si>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</si>
  <si>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</si>
  <si>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</si>
  <si>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</si>
  <si>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</si>
  <si>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</si>
  <si>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</si>
  <si>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</si>
  <si>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</si>
  <si>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</si>
  <si>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</si>
  <si>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</si>
  <si>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</si>
  <si>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</si>
  <si>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</si>
  <si>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</si>
  <si>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</si>
  <si>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</si>
  <si>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Description/title:</t>
  </si>
  <si>
    <t>Code:</t>
  </si>
  <si>
    <t>CC/CCW</t>
  </si>
  <si>
    <t>HORIZONTAL slepý test 360-kontrola accel-lepší csv-azimut parametr-fixed trim settle-s navratem do A-antibacklash-CW-CCW-I2Coprava-název testu-teplota-oprava2</t>
  </si>
  <si>
    <t>|</t>
  </si>
  <si>
    <t>0°</t>
  </si>
  <si>
    <t>↗</t>
  </si>
  <si>
    <t>Location</t>
  </si>
  <si>
    <t>Orientation</t>
  </si>
  <si>
    <t>smer</t>
  </si>
  <si>
    <t>tA_prumer</t>
  </si>
  <si>
    <t>tC_prumer</t>
  </si>
  <si>
    <t>difft_prumer</t>
  </si>
  <si>
    <t>cyklus</t>
  </si>
  <si>
    <t>N</t>
  </si>
  <si>
    <t>Azimuth-Dependence Test (Randomized 360° Step Scan)</t>
  </si>
  <si>
    <t>T16-2</t>
  </si>
  <si>
    <t>living room</t>
  </si>
  <si>
    <t>CCW</t>
  </si>
  <si>
    <t>CW</t>
  </si>
  <si>
    <t>- Test v různých místnostech
- Rotace ramene CW/CCW
- Náhodné azimuty pro celých 360°
- Různý azimut měřicí sestavy
- Různý azimut ramene při startu
- Různý náklon měřicí sestavy
- Oprava xA-xC na správný směr xC-xA</t>
  </si>
  <si>
    <t>(xC-xA)/2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</si>
</sst>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8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30"/>
      <color theme="1"/>
      <name val="Calibri"/>
      <family val="2"/>
      <charset val="238"/>
      <scheme val="minor"/>
    </font>
    <font>
      <b/>
      <sz val="30"/>
      <color rgb="FFFF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right"/>
    </xf>
    <xf numFmtId="2" fontId="0" fillId="2" borderId="0" xfId="0" applyNumberForma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2" fontId="5" fillId="2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 textRotation="45"/>
    </xf>
    <xf numFmtId="0" fontId="6" fillId="0" borderId="0" xfId="0" applyFont="1" applyAlignment="1">
      <alignment horizontal="right" vertical="center" textRotation="135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textRotation="90"/>
    </xf>
    <xf numFmtId="0" fontId="6" fillId="0" borderId="0" xfId="0" applyFont="1" applyAlignment="1">
      <alignment horizontal="center" textRotation="90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45"/>
    </xf>
    <xf numFmtId="0" fontId="6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6" fillId="0" borderId="7" xfId="0" applyFont="1" applyBorder="1" applyAlignment="1">
      <alignment horizontal="center" vertical="center" textRotation="45"/>
    </xf>
    <xf numFmtId="0" fontId="6" fillId="0" borderId="14" xfId="0" applyFont="1" applyBorder="1" applyAlignment="1">
      <alignment horizontal="center" vertical="center" textRotation="45"/>
    </xf>
    <xf numFmtId="0" fontId="6" fillId="0" borderId="15" xfId="0" applyFont="1" applyBorder="1" applyAlignment="1">
      <alignment horizontal="center" vertical="center" textRotation="45"/>
    </xf>
    <xf numFmtId="0" fontId="6" fillId="0" borderId="10" xfId="0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'T16-2'!$U$2</c:f>
              <c:strCache>
                <c:ptCount val="1"/>
                <c:pt idx="0">
                  <c:v>(xC-xA)/2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'T16-2'!$C$3:$C$18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'T16-2'!$U$3:$U$18</c:f>
              <c:numCache>
                <c:formatCode>0.000000</c:formatCode>
                <c:ptCount val="16"/>
                <c:pt idx="0">
                  <c:v>9.3925999999999732E-4</c:v>
                </c:pt>
                <c:pt idx="1">
                  <c:v>1.7001999999999295E-4</c:v>
                </c:pt>
                <c:pt idx="2">
                  <c:v>2.6104000000000127E-3</c:v>
                </c:pt>
                <c:pt idx="3">
                  <c:v>-1.7904099999999923E-3</c:v>
                </c:pt>
                <c:pt idx="4">
                  <c:v>-1.2386399999999853E-3</c:v>
                </c:pt>
                <c:pt idx="5">
                  <c:v>-2.308370000000004E-3</c:v>
                </c:pt>
                <c:pt idx="6">
                  <c:v>-1.2925400000000087E-3</c:v>
                </c:pt>
                <c:pt idx="7">
                  <c:v>-3.34066999999999E-3</c:v>
                </c:pt>
                <c:pt idx="8">
                  <c:v>-9.2500000000000915E-4</c:v>
                </c:pt>
                <c:pt idx="9">
                  <c:v>-3.1461499999999865E-3</c:v>
                </c:pt>
                <c:pt idx="10">
                  <c:v>-1.9659300000000046E-3</c:v>
                </c:pt>
                <c:pt idx="11">
                  <c:v>-2.2186999999998513E-4</c:v>
                </c:pt>
                <c:pt idx="12">
                  <c:v>1.3687400000000072E-3</c:v>
                </c:pt>
                <c:pt idx="13">
                  <c:v>1.5266899999999972E-3</c:v>
                </c:pt>
                <c:pt idx="14">
                  <c:v>4.2269500000000071E-3</c:v>
                </c:pt>
                <c:pt idx="15">
                  <c:v>3.2917000000000085E-3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'T16-2'!$V$2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'T16-2'!$C$3:$C$18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'T16-2'!$V$3:$V$18</c:f>
              <c:numCache>
                <c:formatCode>0.000000</c:formatCode>
                <c:ptCount val="16"/>
                <c:pt idx="0">
                  <c:v>3.3097000000001375E-4</c:v>
                </c:pt>
                <c:pt idx="1">
                  <c:v>1.7724999999999824E-3</c:v>
                </c:pt>
                <c:pt idx="2">
                  <c:v>3.9559999999994044E-5</c:v>
                </c:pt>
                <c:pt idx="3">
                  <c:v>3.1288299999999991E-3</c:v>
                </c:pt>
                <c:pt idx="4">
                  <c:v>3.5295399999999977E-3</c:v>
                </c:pt>
                <c:pt idx="5">
                  <c:v>1.7233799999999966E-3</c:v>
                </c:pt>
                <c:pt idx="6">
                  <c:v>2.4849799999999977E-3</c:v>
                </c:pt>
                <c:pt idx="7">
                  <c:v>2.5780000000000247E-4</c:v>
                </c:pt>
                <c:pt idx="8">
                  <c:v>-1.2724000000000069E-4</c:v>
                </c:pt>
                <c:pt idx="9">
                  <c:v>-2.8884399999999921E-3</c:v>
                </c:pt>
                <c:pt idx="10">
                  <c:v>-4.1363600000000056E-3</c:v>
                </c:pt>
                <c:pt idx="11">
                  <c:v>-4.5406600000000019E-3</c:v>
                </c:pt>
                <c:pt idx="12">
                  <c:v>-2.2749500000000256E-3</c:v>
                </c:pt>
                <c:pt idx="13">
                  <c:v>-3.1549800000000017E-3</c:v>
                </c:pt>
                <c:pt idx="14">
                  <c:v>-4.1307700000000058E-3</c:v>
                </c:pt>
                <c:pt idx="15">
                  <c:v>-1.6249599999999809E-3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ser>
          <c:idx val="2"/>
          <c:order val="2"/>
          <c:tx>
            <c:strRef>
              <c:f>'T16-2'!$U$2</c:f>
              <c:strCache>
                <c:ptCount val="1"/>
                <c:pt idx="0">
                  <c:v>(xC-xA)/2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'T16-2'!$U$19:$U$34</c:f>
              <c:numCache>
                <c:formatCode>0.000000</c:formatCode>
                <c:ptCount val="16"/>
                <c:pt idx="0">
                  <c:v>8.1783000000001937E-4</c:v>
                </c:pt>
                <c:pt idx="1">
                  <c:v>2.0482E-3</c:v>
                </c:pt>
                <c:pt idx="2">
                  <c:v>2.2799900000000095E-3</c:v>
                </c:pt>
                <c:pt idx="3">
                  <c:v>1.2327100000000257E-3</c:v>
                </c:pt>
                <c:pt idx="4">
                  <c:v>-1.8275300000000216E-3</c:v>
                </c:pt>
                <c:pt idx="5">
                  <c:v>-1.4269999999982907E-5</c:v>
                </c:pt>
                <c:pt idx="6">
                  <c:v>-9.1765000000001984E-4</c:v>
                </c:pt>
                <c:pt idx="7">
                  <c:v>-3.5312899999999925E-3</c:v>
                </c:pt>
                <c:pt idx="8">
                  <c:v>-3.6908199999999836E-3</c:v>
                </c:pt>
                <c:pt idx="9">
                  <c:v>-2.4053399999999781E-3</c:v>
                </c:pt>
                <c:pt idx="10">
                  <c:v>-1.4653900000000109E-3</c:v>
                </c:pt>
                <c:pt idx="11">
                  <c:v>-4.4374999999999276E-4</c:v>
                </c:pt>
                <c:pt idx="12">
                  <c:v>-2.3459999999997372E-4</c:v>
                </c:pt>
                <c:pt idx="13">
                  <c:v>6.8637000000001946E-4</c:v>
                </c:pt>
                <c:pt idx="14">
                  <c:v>3.8173200000000129E-3</c:v>
                </c:pt>
                <c:pt idx="15">
                  <c:v>3.6031200000000152E-3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DB-4302-9FB4-F70B1080580A}"/>
            </c:ext>
          </c:extLst>
        </c:ser>
        <c:ser>
          <c:idx val="3"/>
          <c:order val="3"/>
          <c:tx>
            <c:strRef>
              <c:f>'T16-2'!$V$2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'T16-2'!$V$19:$V$34</c:f>
              <c:numCache>
                <c:formatCode>0.000000</c:formatCode>
                <c:ptCount val="16"/>
                <c:pt idx="0">
                  <c:v>1.2410700000000108E-3</c:v>
                </c:pt>
                <c:pt idx="1">
                  <c:v>3.1553599999999959E-3</c:v>
                </c:pt>
                <c:pt idx="2">
                  <c:v>6.2624999999999487E-4</c:v>
                </c:pt>
                <c:pt idx="3">
                  <c:v>3.1846199999999991E-3</c:v>
                </c:pt>
                <c:pt idx="4">
                  <c:v>4.9524800000000091E-3</c:v>
                </c:pt>
                <c:pt idx="5">
                  <c:v>2.5797599999999865E-3</c:v>
                </c:pt>
                <c:pt idx="6">
                  <c:v>1.6911200000000182E-3</c:v>
                </c:pt>
                <c:pt idx="7">
                  <c:v>-2.3623000000000394E-4</c:v>
                </c:pt>
                <c:pt idx="8">
                  <c:v>-4.0524000000000115E-4</c:v>
                </c:pt>
                <c:pt idx="9">
                  <c:v>-2.6000200000000084E-3</c:v>
                </c:pt>
                <c:pt idx="10">
                  <c:v>-3.2076600000000011E-3</c:v>
                </c:pt>
                <c:pt idx="11">
                  <c:v>-3.2499900000000082E-3</c:v>
                </c:pt>
                <c:pt idx="12">
                  <c:v>-2.534599999999998E-3</c:v>
                </c:pt>
                <c:pt idx="13">
                  <c:v>-3.1363799999999942E-3</c:v>
                </c:pt>
                <c:pt idx="14">
                  <c:v>-2.0788800000000052E-3</c:v>
                </c:pt>
                <c:pt idx="15">
                  <c:v>-1.4842000000001021E-4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DB-4302-9FB4-F70B10805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Arm measuring plane deviation accelerometer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'T16-2'!$AC$2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'T16-2'!$C$37:$C$52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'T16-2'!$AC$37:$AC$52</c:f>
              <c:numCache>
                <c:formatCode>General</c:formatCode>
                <c:ptCount val="16"/>
                <c:pt idx="0">
                  <c:v>2.9516565670429387</c:v>
                </c:pt>
                <c:pt idx="1">
                  <c:v>3.2451962074999221</c:v>
                </c:pt>
                <c:pt idx="2">
                  <c:v>3.4342968618214185</c:v>
                </c:pt>
                <c:pt idx="3">
                  <c:v>3.5458851427029803</c:v>
                </c:pt>
                <c:pt idx="4">
                  <c:v>3.5187226811140953</c:v>
                </c:pt>
                <c:pt idx="5">
                  <c:v>3.4450359220272344</c:v>
                </c:pt>
                <c:pt idx="6">
                  <c:v>3.2483522322984859</c:v>
                </c:pt>
                <c:pt idx="7">
                  <c:v>2.9878398963390649</c:v>
                </c:pt>
                <c:pt idx="8">
                  <c:v>2.6789062918203088</c:v>
                </c:pt>
                <c:pt idx="9">
                  <c:v>2.3366505099131056</c:v>
                </c:pt>
                <c:pt idx="10">
                  <c:v>2.0006400729300546</c:v>
                </c:pt>
                <c:pt idx="11">
                  <c:v>1.8196421735995012</c:v>
                </c:pt>
                <c:pt idx="12">
                  <c:v>1.7962929331431328</c:v>
                </c:pt>
                <c:pt idx="13">
                  <c:v>1.9806409307226542</c:v>
                </c:pt>
                <c:pt idx="14">
                  <c:v>2.2929736601920006</c:v>
                </c:pt>
                <c:pt idx="15">
                  <c:v>2.6343396604281182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'T16-2'!$AD$2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'T16-2'!$C$37:$C$52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'T16-2'!$AD$37:$AD$52</c:f>
              <c:numCache>
                <c:formatCode>General</c:formatCode>
                <c:ptCount val="16"/>
                <c:pt idx="0">
                  <c:v>2.7271709371441162</c:v>
                </c:pt>
                <c:pt idx="1">
                  <c:v>2.3723633209698685</c:v>
                </c:pt>
                <c:pt idx="2">
                  <c:v>2.0104371601293396</c:v>
                </c:pt>
                <c:pt idx="3">
                  <c:v>1.8478907188557216</c:v>
                </c:pt>
                <c:pt idx="4">
                  <c:v>1.8408589463859526</c:v>
                </c:pt>
                <c:pt idx="5">
                  <c:v>1.9813597148584146</c:v>
                </c:pt>
                <c:pt idx="6">
                  <c:v>2.331227041460199</c:v>
                </c:pt>
                <c:pt idx="7">
                  <c:v>2.6373591727868519</c:v>
                </c:pt>
                <c:pt idx="8">
                  <c:v>2.9726533767854937</c:v>
                </c:pt>
                <c:pt idx="9">
                  <c:v>3.2579349386744969</c:v>
                </c:pt>
                <c:pt idx="10">
                  <c:v>3.4640648974062485</c:v>
                </c:pt>
                <c:pt idx="11">
                  <c:v>3.561408697490787</c:v>
                </c:pt>
                <c:pt idx="12">
                  <c:v>3.560698291061724</c:v>
                </c:pt>
                <c:pt idx="13">
                  <c:v>3.4660176780643575</c:v>
                </c:pt>
                <c:pt idx="14">
                  <c:v>3.3467204178105989</c:v>
                </c:pt>
                <c:pt idx="15">
                  <c:v>3.0691653285548384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'T16-2'!$K$2</c:f>
              <c:strCache>
                <c:ptCount val="1"/>
                <c:pt idx="0">
                  <c:v>tA_prumer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'T16-2'!$C$3:$C$34</c:f>
              <c:numCache>
                <c:formatCode>General</c:formatCode>
                <c:ptCount val="32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  <c:pt idx="16">
                  <c:v>0</c:v>
                </c:pt>
                <c:pt idx="17">
                  <c:v>22.5</c:v>
                </c:pt>
                <c:pt idx="18">
                  <c:v>45</c:v>
                </c:pt>
                <c:pt idx="19">
                  <c:v>67.5</c:v>
                </c:pt>
                <c:pt idx="20">
                  <c:v>90</c:v>
                </c:pt>
                <c:pt idx="21">
                  <c:v>112.5</c:v>
                </c:pt>
                <c:pt idx="22">
                  <c:v>135</c:v>
                </c:pt>
                <c:pt idx="23">
                  <c:v>157.5</c:v>
                </c:pt>
                <c:pt idx="24">
                  <c:v>180</c:v>
                </c:pt>
                <c:pt idx="25">
                  <c:v>202.5</c:v>
                </c:pt>
                <c:pt idx="26">
                  <c:v>225</c:v>
                </c:pt>
                <c:pt idx="27">
                  <c:v>247.5</c:v>
                </c:pt>
                <c:pt idx="28">
                  <c:v>270</c:v>
                </c:pt>
                <c:pt idx="29">
                  <c:v>292.5</c:v>
                </c:pt>
                <c:pt idx="30">
                  <c:v>315</c:v>
                </c:pt>
                <c:pt idx="31">
                  <c:v>337.5</c:v>
                </c:pt>
              </c:numCache>
            </c:numRef>
          </c:cat>
          <c:val>
            <c:numRef>
              <c:f>'T16-2'!$K$3:$K$34</c:f>
              <c:numCache>
                <c:formatCode>0.00</c:formatCode>
                <c:ptCount val="32"/>
                <c:pt idx="0">
                  <c:v>26.49</c:v>
                </c:pt>
                <c:pt idx="1">
                  <c:v>26.57</c:v>
                </c:pt>
                <c:pt idx="2">
                  <c:v>26.52</c:v>
                </c:pt>
                <c:pt idx="3">
                  <c:v>26.48</c:v>
                </c:pt>
                <c:pt idx="4">
                  <c:v>26.48</c:v>
                </c:pt>
                <c:pt idx="5">
                  <c:v>26.51</c:v>
                </c:pt>
                <c:pt idx="6">
                  <c:v>26.55</c:v>
                </c:pt>
                <c:pt idx="7">
                  <c:v>26.51</c:v>
                </c:pt>
                <c:pt idx="8">
                  <c:v>26.47</c:v>
                </c:pt>
                <c:pt idx="9">
                  <c:v>26.58</c:v>
                </c:pt>
                <c:pt idx="10">
                  <c:v>26.47</c:v>
                </c:pt>
                <c:pt idx="11">
                  <c:v>26.6</c:v>
                </c:pt>
                <c:pt idx="12">
                  <c:v>26.52</c:v>
                </c:pt>
                <c:pt idx="13">
                  <c:v>26.53</c:v>
                </c:pt>
                <c:pt idx="14">
                  <c:v>26.49</c:v>
                </c:pt>
                <c:pt idx="15">
                  <c:v>26.5</c:v>
                </c:pt>
                <c:pt idx="16">
                  <c:v>26.47</c:v>
                </c:pt>
                <c:pt idx="17">
                  <c:v>26.58</c:v>
                </c:pt>
                <c:pt idx="18">
                  <c:v>26.59</c:v>
                </c:pt>
                <c:pt idx="19">
                  <c:v>26.53</c:v>
                </c:pt>
                <c:pt idx="20">
                  <c:v>26.53</c:v>
                </c:pt>
                <c:pt idx="21">
                  <c:v>26.49</c:v>
                </c:pt>
                <c:pt idx="22">
                  <c:v>26.52</c:v>
                </c:pt>
                <c:pt idx="23">
                  <c:v>26.52</c:v>
                </c:pt>
                <c:pt idx="24">
                  <c:v>26.55</c:v>
                </c:pt>
                <c:pt idx="25">
                  <c:v>26.49</c:v>
                </c:pt>
                <c:pt idx="26">
                  <c:v>26.5</c:v>
                </c:pt>
                <c:pt idx="27">
                  <c:v>26.54</c:v>
                </c:pt>
                <c:pt idx="28">
                  <c:v>26.53</c:v>
                </c:pt>
                <c:pt idx="29">
                  <c:v>26.56</c:v>
                </c:pt>
                <c:pt idx="30">
                  <c:v>26.53</c:v>
                </c:pt>
                <c:pt idx="31">
                  <c:v>26.52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87-441A-9F88-8F6BC251192B}"/>
            </c:ext>
          </c:extLst>
        </c:ser>
        <c:ser>
          <c:idx val="1"/>
          <c:order val="1"/>
          <c:tx>
            <c:strRef>
              <c:f>'T16-2'!$L$2</c:f>
              <c:strCache>
                <c:ptCount val="1"/>
                <c:pt idx="0">
                  <c:v>tC_prumer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'T16-2'!$C$3:$C$34</c:f>
              <c:numCache>
                <c:formatCode>General</c:formatCode>
                <c:ptCount val="32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  <c:pt idx="16">
                  <c:v>0</c:v>
                </c:pt>
                <c:pt idx="17">
                  <c:v>22.5</c:v>
                </c:pt>
                <c:pt idx="18">
                  <c:v>45</c:v>
                </c:pt>
                <c:pt idx="19">
                  <c:v>67.5</c:v>
                </c:pt>
                <c:pt idx="20">
                  <c:v>90</c:v>
                </c:pt>
                <c:pt idx="21">
                  <c:v>112.5</c:v>
                </c:pt>
                <c:pt idx="22">
                  <c:v>135</c:v>
                </c:pt>
                <c:pt idx="23">
                  <c:v>157.5</c:v>
                </c:pt>
                <c:pt idx="24">
                  <c:v>180</c:v>
                </c:pt>
                <c:pt idx="25">
                  <c:v>202.5</c:v>
                </c:pt>
                <c:pt idx="26">
                  <c:v>225</c:v>
                </c:pt>
                <c:pt idx="27">
                  <c:v>247.5</c:v>
                </c:pt>
                <c:pt idx="28">
                  <c:v>270</c:v>
                </c:pt>
                <c:pt idx="29">
                  <c:v>292.5</c:v>
                </c:pt>
                <c:pt idx="30">
                  <c:v>315</c:v>
                </c:pt>
                <c:pt idx="31">
                  <c:v>337.5</c:v>
                </c:pt>
              </c:numCache>
            </c:numRef>
          </c:cat>
          <c:val>
            <c:numRef>
              <c:f>'T16-2'!$L$3:$L$34</c:f>
              <c:numCache>
                <c:formatCode>0.00</c:formatCode>
                <c:ptCount val="32"/>
                <c:pt idx="0">
                  <c:v>26.5</c:v>
                </c:pt>
                <c:pt idx="1">
                  <c:v>26.55</c:v>
                </c:pt>
                <c:pt idx="2">
                  <c:v>26.52</c:v>
                </c:pt>
                <c:pt idx="3">
                  <c:v>26.48</c:v>
                </c:pt>
                <c:pt idx="4">
                  <c:v>26.51</c:v>
                </c:pt>
                <c:pt idx="5">
                  <c:v>26.51</c:v>
                </c:pt>
                <c:pt idx="6">
                  <c:v>26.58</c:v>
                </c:pt>
                <c:pt idx="7">
                  <c:v>26.5</c:v>
                </c:pt>
                <c:pt idx="8">
                  <c:v>26.48</c:v>
                </c:pt>
                <c:pt idx="9">
                  <c:v>26.56</c:v>
                </c:pt>
                <c:pt idx="10">
                  <c:v>26.46</c:v>
                </c:pt>
                <c:pt idx="11">
                  <c:v>26.59</c:v>
                </c:pt>
                <c:pt idx="12">
                  <c:v>26.54</c:v>
                </c:pt>
                <c:pt idx="13">
                  <c:v>26.52</c:v>
                </c:pt>
                <c:pt idx="14">
                  <c:v>26.49</c:v>
                </c:pt>
                <c:pt idx="15">
                  <c:v>26.5</c:v>
                </c:pt>
                <c:pt idx="16">
                  <c:v>26.48</c:v>
                </c:pt>
                <c:pt idx="17">
                  <c:v>26.57</c:v>
                </c:pt>
                <c:pt idx="18">
                  <c:v>26.58</c:v>
                </c:pt>
                <c:pt idx="19">
                  <c:v>26.54</c:v>
                </c:pt>
                <c:pt idx="20">
                  <c:v>26.54</c:v>
                </c:pt>
                <c:pt idx="21">
                  <c:v>26.49</c:v>
                </c:pt>
                <c:pt idx="22">
                  <c:v>26.5</c:v>
                </c:pt>
                <c:pt idx="23">
                  <c:v>26.53</c:v>
                </c:pt>
                <c:pt idx="24">
                  <c:v>26.54</c:v>
                </c:pt>
                <c:pt idx="25">
                  <c:v>26.5</c:v>
                </c:pt>
                <c:pt idx="26">
                  <c:v>26.51</c:v>
                </c:pt>
                <c:pt idx="27">
                  <c:v>26.54</c:v>
                </c:pt>
                <c:pt idx="28">
                  <c:v>26.53</c:v>
                </c:pt>
                <c:pt idx="29">
                  <c:v>26.56</c:v>
                </c:pt>
                <c:pt idx="30">
                  <c:v>26.52</c:v>
                </c:pt>
                <c:pt idx="31">
                  <c:v>26.52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87-441A-9F88-8F6BC2511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Cycles per azimuth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'T16-2'!$D$2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'T16-2'!$C$3:$C$18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'T16-2'!$D$3:$D$18</c:f>
              <c:numCache>
                <c:formatCode>General</c:formatCode>
                <c:ptCount val="16"/>
                <c:pt idx="0">
                  <c:v>21</c:v>
                </c:pt>
                <c:pt idx="1">
                  <c:v>20</c:v>
                </c:pt>
                <c:pt idx="2">
                  <c:v>12</c:v>
                </c:pt>
                <c:pt idx="3">
                  <c:v>13</c:v>
                </c:pt>
                <c:pt idx="4">
                  <c:v>11</c:v>
                </c:pt>
                <c:pt idx="5">
                  <c:v>15</c:v>
                </c:pt>
                <c:pt idx="6">
                  <c:v>10</c:v>
                </c:pt>
                <c:pt idx="7">
                  <c:v>16</c:v>
                </c:pt>
                <c:pt idx="8">
                  <c:v>11</c:v>
                </c:pt>
                <c:pt idx="9">
                  <c:v>13</c:v>
                </c:pt>
                <c:pt idx="10">
                  <c:v>11</c:v>
                </c:pt>
                <c:pt idx="11">
                  <c:v>8</c:v>
                </c:pt>
                <c:pt idx="12">
                  <c:v>12</c:v>
                </c:pt>
                <c:pt idx="13">
                  <c:v>15</c:v>
                </c:pt>
                <c:pt idx="14">
                  <c:v>13</c:v>
                </c:pt>
                <c:pt idx="1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1E-49D6-8B3F-0FACE8E94F88}"/>
            </c:ext>
          </c:extLst>
        </c:ser>
        <c:ser>
          <c:idx val="1"/>
          <c:order val="1"/>
          <c:tx>
            <c:strRef>
              <c:f>'T16-2'!$D$2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'T16-2'!$D$19:$D$34</c:f>
              <c:numCache>
                <c:formatCode>General</c:formatCode>
                <c:ptCount val="16"/>
                <c:pt idx="0">
                  <c:v>14</c:v>
                </c:pt>
                <c:pt idx="1">
                  <c:v>14</c:v>
                </c:pt>
                <c:pt idx="2">
                  <c:v>20</c:v>
                </c:pt>
                <c:pt idx="3">
                  <c:v>26</c:v>
                </c:pt>
                <c:pt idx="4">
                  <c:v>20</c:v>
                </c:pt>
                <c:pt idx="5">
                  <c:v>21</c:v>
                </c:pt>
                <c:pt idx="6">
                  <c:v>17</c:v>
                </c:pt>
                <c:pt idx="7">
                  <c:v>20</c:v>
                </c:pt>
                <c:pt idx="8">
                  <c:v>19</c:v>
                </c:pt>
                <c:pt idx="9">
                  <c:v>14</c:v>
                </c:pt>
                <c:pt idx="10">
                  <c:v>13</c:v>
                </c:pt>
                <c:pt idx="11">
                  <c:v>16</c:v>
                </c:pt>
                <c:pt idx="12">
                  <c:v>13</c:v>
                </c:pt>
                <c:pt idx="13">
                  <c:v>11</c:v>
                </c:pt>
                <c:pt idx="14">
                  <c:v>13</c:v>
                </c:pt>
                <c:pt idx="1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85-4BCF-92DE-D65E809F1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Cycles per azimuth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diff (A-C)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'T16-2'!$M$2</c:f>
              <c:strCache>
                <c:ptCount val="1"/>
                <c:pt idx="0">
                  <c:v>difft_prumer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'T16-2'!$C$3:$C$34</c:f>
              <c:numCache>
                <c:formatCode>General</c:formatCode>
                <c:ptCount val="32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  <c:pt idx="16">
                  <c:v>0</c:v>
                </c:pt>
                <c:pt idx="17">
                  <c:v>22.5</c:v>
                </c:pt>
                <c:pt idx="18">
                  <c:v>45</c:v>
                </c:pt>
                <c:pt idx="19">
                  <c:v>67.5</c:v>
                </c:pt>
                <c:pt idx="20">
                  <c:v>90</c:v>
                </c:pt>
                <c:pt idx="21">
                  <c:v>112.5</c:v>
                </c:pt>
                <c:pt idx="22">
                  <c:v>135</c:v>
                </c:pt>
                <c:pt idx="23">
                  <c:v>157.5</c:v>
                </c:pt>
                <c:pt idx="24">
                  <c:v>180</c:v>
                </c:pt>
                <c:pt idx="25">
                  <c:v>202.5</c:v>
                </c:pt>
                <c:pt idx="26">
                  <c:v>225</c:v>
                </c:pt>
                <c:pt idx="27">
                  <c:v>247.5</c:v>
                </c:pt>
                <c:pt idx="28">
                  <c:v>270</c:v>
                </c:pt>
                <c:pt idx="29">
                  <c:v>292.5</c:v>
                </c:pt>
                <c:pt idx="30">
                  <c:v>315</c:v>
                </c:pt>
                <c:pt idx="31">
                  <c:v>337.5</c:v>
                </c:pt>
              </c:numCache>
            </c:numRef>
          </c:cat>
          <c:val>
            <c:numRef>
              <c:f>'T16-2'!$M$3:$M$34</c:f>
              <c:numCache>
                <c:formatCode>0.00</c:formatCode>
                <c:ptCount val="32"/>
                <c:pt idx="0">
                  <c:v>-0.01</c:v>
                </c:pt>
                <c:pt idx="1">
                  <c:v>0.02</c:v>
                </c:pt>
                <c:pt idx="2">
                  <c:v>-0.01</c:v>
                </c:pt>
                <c:pt idx="3">
                  <c:v>0</c:v>
                </c:pt>
                <c:pt idx="4">
                  <c:v>-0.03</c:v>
                </c:pt>
                <c:pt idx="5">
                  <c:v>0.01</c:v>
                </c:pt>
                <c:pt idx="6">
                  <c:v>-0.03</c:v>
                </c:pt>
                <c:pt idx="7">
                  <c:v>0</c:v>
                </c:pt>
                <c:pt idx="8">
                  <c:v>-0.01</c:v>
                </c:pt>
                <c:pt idx="9">
                  <c:v>0.01</c:v>
                </c:pt>
                <c:pt idx="10">
                  <c:v>0.01</c:v>
                </c:pt>
                <c:pt idx="11">
                  <c:v>0.02</c:v>
                </c:pt>
                <c:pt idx="12">
                  <c:v>-0.02</c:v>
                </c:pt>
                <c:pt idx="13">
                  <c:v>0.01</c:v>
                </c:pt>
                <c:pt idx="14">
                  <c:v>-0.01</c:v>
                </c:pt>
                <c:pt idx="15">
                  <c:v>0</c:v>
                </c:pt>
                <c:pt idx="16">
                  <c:v>-0.01</c:v>
                </c:pt>
                <c:pt idx="17">
                  <c:v>0.01</c:v>
                </c:pt>
                <c:pt idx="18">
                  <c:v>0.01</c:v>
                </c:pt>
                <c:pt idx="19">
                  <c:v>-0.01</c:v>
                </c:pt>
                <c:pt idx="20">
                  <c:v>-0.01</c:v>
                </c:pt>
                <c:pt idx="21">
                  <c:v>0</c:v>
                </c:pt>
                <c:pt idx="22">
                  <c:v>0.02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-0.01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0.01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AF-4A15-9E6B-BB4AE3751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5.000000000000001E-2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'T16-2'!$U$2</c:f>
              <c:strCache>
                <c:ptCount val="1"/>
                <c:pt idx="0">
                  <c:v>(xC-xA)/2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'T16-2'!$C$37:$C$52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'T16-2'!$U$37:$U$52</c:f>
              <c:numCache>
                <c:formatCode>General</c:formatCode>
                <c:ptCount val="16"/>
                <c:pt idx="0">
                  <c:v>8.7854500000000835E-4</c:v>
                </c:pt>
                <c:pt idx="1">
                  <c:v>1.1091099999999965E-3</c:v>
                </c:pt>
                <c:pt idx="2">
                  <c:v>2.4451950000000111E-3</c:v>
                </c:pt>
                <c:pt idx="3">
                  <c:v>-2.7884999999998328E-4</c:v>
                </c:pt>
                <c:pt idx="4">
                  <c:v>-1.5330850000000035E-3</c:v>
                </c:pt>
                <c:pt idx="5">
                  <c:v>-1.1613199999999935E-3</c:v>
                </c:pt>
                <c:pt idx="6">
                  <c:v>-1.1050950000000143E-3</c:v>
                </c:pt>
                <c:pt idx="7">
                  <c:v>-3.4359799999999913E-3</c:v>
                </c:pt>
                <c:pt idx="8">
                  <c:v>-2.3079099999999964E-3</c:v>
                </c:pt>
                <c:pt idx="9">
                  <c:v>-2.7757449999999823E-3</c:v>
                </c:pt>
                <c:pt idx="10">
                  <c:v>-1.7156600000000077E-3</c:v>
                </c:pt>
                <c:pt idx="11">
                  <c:v>-3.3280999999998895E-4</c:v>
                </c:pt>
                <c:pt idx="12">
                  <c:v>5.6707000000001673E-4</c:v>
                </c:pt>
                <c:pt idx="13">
                  <c:v>1.1065300000000083E-3</c:v>
                </c:pt>
                <c:pt idx="14">
                  <c:v>4.02213500000001E-3</c:v>
                </c:pt>
                <c:pt idx="15">
                  <c:v>3.4474100000000119E-3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AA89-4BF0-BBC3-FDAE9172FE7C}"/>
            </c:ext>
          </c:extLst>
        </c:ser>
        <c:ser>
          <c:idx val="1"/>
          <c:order val="1"/>
          <c:tx>
            <c:strRef>
              <c:f>'T16-2'!$V$2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'T16-2'!$C$37:$C$52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'T16-2'!$V$37:$V$52</c:f>
              <c:numCache>
                <c:formatCode>General</c:formatCode>
                <c:ptCount val="16"/>
                <c:pt idx="0">
                  <c:v>7.8602000000001226E-4</c:v>
                </c:pt>
                <c:pt idx="1">
                  <c:v>2.4639299999999892E-3</c:v>
                </c:pt>
                <c:pt idx="2">
                  <c:v>3.3290499999999446E-4</c:v>
                </c:pt>
                <c:pt idx="3">
                  <c:v>3.1567249999999991E-3</c:v>
                </c:pt>
                <c:pt idx="4">
                  <c:v>4.2410100000000034E-3</c:v>
                </c:pt>
                <c:pt idx="5">
                  <c:v>2.1515699999999915E-3</c:v>
                </c:pt>
                <c:pt idx="6">
                  <c:v>2.088050000000008E-3</c:v>
                </c:pt>
                <c:pt idx="7">
                  <c:v>1.0784999999999267E-5</c:v>
                </c:pt>
                <c:pt idx="8">
                  <c:v>-2.6624000000000092E-4</c:v>
                </c:pt>
                <c:pt idx="9">
                  <c:v>-2.7442300000000003E-3</c:v>
                </c:pt>
                <c:pt idx="10">
                  <c:v>-3.6720100000000033E-3</c:v>
                </c:pt>
                <c:pt idx="11">
                  <c:v>-3.895325000000005E-3</c:v>
                </c:pt>
                <c:pt idx="12">
                  <c:v>-2.4047750000000118E-3</c:v>
                </c:pt>
                <c:pt idx="13">
                  <c:v>-3.1456799999999979E-3</c:v>
                </c:pt>
                <c:pt idx="14">
                  <c:v>-3.1048250000000055E-3</c:v>
                </c:pt>
                <c:pt idx="15">
                  <c:v>-8.8668999999999554E-4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AA89-4BF0-BBC3-FDAE9172F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200024</xdr:rowOff>
    </xdr:from>
    <xdr:to>
      <xdr:col>12</xdr:col>
      <xdr:colOff>0</xdr:colOff>
      <xdr:row>52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593913</xdr:colOff>
      <xdr:row>23</xdr:row>
      <xdr:rowOff>190500</xdr:rowOff>
    </xdr:from>
    <xdr:to>
      <xdr:col>37</xdr:col>
      <xdr:colOff>593913</xdr:colOff>
      <xdr:row>52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605116</xdr:colOff>
      <xdr:row>55</xdr:row>
      <xdr:rowOff>0</xdr:rowOff>
    </xdr:from>
    <xdr:to>
      <xdr:col>25</xdr:col>
      <xdr:colOff>0</xdr:colOff>
      <xdr:row>84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6D7221-8ABD-41CE-B4A0-C455AE77B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11207</xdr:colOff>
      <xdr:row>55</xdr:row>
      <xdr:rowOff>0</xdr:rowOff>
    </xdr:from>
    <xdr:to>
      <xdr:col>12</xdr:col>
      <xdr:colOff>1</xdr:colOff>
      <xdr:row>83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8BA4AE-CB7E-458B-AC82-EDB6A55BC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0</xdr:colOff>
      <xdr:row>55</xdr:row>
      <xdr:rowOff>0</xdr:rowOff>
    </xdr:from>
    <xdr:to>
      <xdr:col>38</xdr:col>
      <xdr:colOff>0</xdr:colOff>
      <xdr:row>83</xdr:row>
      <xdr:rowOff>201704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61ED1E-5DC5-4628-BB95-ACD6F9609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24</xdr:row>
      <xdr:rowOff>1</xdr:rowOff>
    </xdr:from>
    <xdr:to>
      <xdr:col>25</xdr:col>
      <xdr:colOff>0</xdr:colOff>
      <xdr:row>53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F30FC6E-1690-4E14-A283-6061878C38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AG22"/>
  <sheetViews>
    <sheetView tabSelected="1" zoomScale="85" zoomScaleNormal="85" workbookViewId="0">
      <selection activeCell="G9" sqref="G9:H9"/>
    </sheetView>
  </sheetViews>
  <sheetFormatPr defaultRowHeight="15.75" x14ac:dyDescent="0.25"/>
  <cols>
    <col min="1" max="4" width="9.140625" style="1"/>
    <col min="5" max="6" width="9.140625" style="1" customWidth="1"/>
    <col min="7" max="16384" width="9.140625" style="1"/>
  </cols>
  <sheetData>
    <row r="1" spans="1:33" ht="15.75" customHeight="1" x14ac:dyDescent="0.25">
      <c r="A1" s="42" t="s">
        <v>29</v>
      </c>
      <c r="B1" s="42"/>
      <c r="C1" s="42" t="s">
        <v>61</v>
      </c>
      <c r="D1" s="42"/>
      <c r="E1" s="42" t="s">
        <v>60</v>
      </c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AC1" s="61" t="s">
        <v>53</v>
      </c>
      <c r="AD1" s="62"/>
      <c r="AE1" s="62"/>
      <c r="AF1" s="62"/>
      <c r="AG1" s="63"/>
    </row>
    <row r="2" spans="1:33" ht="15.75" customHeight="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AC2" s="64"/>
      <c r="AD2" s="65"/>
      <c r="AE2" s="65"/>
      <c r="AF2" s="65"/>
      <c r="AG2" s="66"/>
    </row>
    <row r="4" spans="1:33" x14ac:dyDescent="0.25">
      <c r="A4" s="34" t="s">
        <v>30</v>
      </c>
      <c r="B4" s="34"/>
      <c r="C4" s="34"/>
      <c r="D4" s="34"/>
      <c r="E4" s="34"/>
      <c r="F4" s="34"/>
      <c r="G4" s="37">
        <v>0</v>
      </c>
      <c r="H4" s="38"/>
      <c r="I4" s="2" t="s">
        <v>18</v>
      </c>
      <c r="K4" s="43" t="s">
        <v>45</v>
      </c>
      <c r="L4" s="43"/>
      <c r="M4" s="43"/>
      <c r="N4" s="43"/>
      <c r="O4" s="43"/>
      <c r="P4" s="43"/>
      <c r="R4" s="43" t="s">
        <v>46</v>
      </c>
      <c r="S4" s="43"/>
      <c r="T4" s="43"/>
      <c r="U4" s="43"/>
      <c r="V4" s="43"/>
      <c r="W4" s="43"/>
      <c r="X4" s="43"/>
      <c r="Y4" s="43"/>
      <c r="AC4" s="51"/>
      <c r="AD4" s="24"/>
      <c r="AE4" s="54" t="s">
        <v>59</v>
      </c>
      <c r="AF4" s="24"/>
      <c r="AG4" s="51"/>
    </row>
    <row r="5" spans="1:33" ht="15.75" customHeight="1" x14ac:dyDescent="0.25">
      <c r="A5" s="29" t="s">
        <v>31</v>
      </c>
      <c r="B5" s="30"/>
      <c r="C5" s="30"/>
      <c r="D5" s="30"/>
      <c r="E5" s="30"/>
      <c r="F5" s="31"/>
      <c r="G5" s="37">
        <v>0</v>
      </c>
      <c r="H5" s="38"/>
      <c r="I5" s="2" t="s">
        <v>18</v>
      </c>
      <c r="K5" s="73" t="s">
        <v>65</v>
      </c>
      <c r="L5" s="74"/>
      <c r="M5" s="74"/>
      <c r="N5" s="74"/>
      <c r="O5" s="74"/>
      <c r="P5" s="75"/>
      <c r="R5" s="39" t="s">
        <v>48</v>
      </c>
      <c r="S5" s="39"/>
      <c r="T5" s="39"/>
      <c r="U5" s="39"/>
      <c r="V5" s="39"/>
      <c r="W5" s="39"/>
      <c r="X5" s="39"/>
      <c r="Y5" s="39"/>
      <c r="AC5" s="51"/>
      <c r="AD5" s="24"/>
      <c r="AE5" s="54"/>
      <c r="AF5" s="24"/>
      <c r="AG5" s="51"/>
    </row>
    <row r="6" spans="1:33" x14ac:dyDescent="0.25">
      <c r="A6" s="34" t="s">
        <v>32</v>
      </c>
      <c r="B6" s="34"/>
      <c r="C6" s="34"/>
      <c r="D6" s="34"/>
      <c r="E6" s="34"/>
      <c r="F6" s="34"/>
      <c r="G6" s="41">
        <v>0</v>
      </c>
      <c r="H6" s="41"/>
      <c r="I6" s="2" t="s">
        <v>24</v>
      </c>
      <c r="K6" s="76"/>
      <c r="L6" s="77"/>
      <c r="M6" s="77"/>
      <c r="N6" s="77"/>
      <c r="O6" s="77"/>
      <c r="P6" s="78"/>
      <c r="R6" s="39"/>
      <c r="S6" s="39"/>
      <c r="T6" s="39"/>
      <c r="U6" s="39"/>
      <c r="V6" s="39"/>
      <c r="W6" s="39"/>
      <c r="X6" s="39"/>
      <c r="Y6" s="39"/>
      <c r="AC6" s="51"/>
      <c r="AD6" s="24"/>
      <c r="AE6" s="54"/>
      <c r="AF6" s="24"/>
      <c r="AG6" s="51"/>
    </row>
    <row r="7" spans="1:33" ht="15.75" customHeight="1" x14ac:dyDescent="0.25">
      <c r="A7" s="29" t="s">
        <v>52</v>
      </c>
      <c r="B7" s="30"/>
      <c r="C7" s="30"/>
      <c r="D7" s="30"/>
      <c r="E7" s="30"/>
      <c r="F7" s="31"/>
      <c r="G7" s="37" t="s">
        <v>62</v>
      </c>
      <c r="H7" s="38"/>
      <c r="I7" s="2"/>
      <c r="K7" s="76"/>
      <c r="L7" s="77"/>
      <c r="M7" s="77"/>
      <c r="N7" s="77"/>
      <c r="O7" s="77"/>
      <c r="P7" s="78"/>
      <c r="R7" s="39"/>
      <c r="S7" s="39"/>
      <c r="T7" s="39"/>
      <c r="U7" s="39"/>
      <c r="V7" s="39"/>
      <c r="W7" s="39"/>
      <c r="X7" s="39"/>
      <c r="Y7" s="39"/>
      <c r="AC7" s="24"/>
      <c r="AD7" s="24"/>
      <c r="AE7" s="24"/>
      <c r="AF7" s="24"/>
      <c r="AG7" s="24"/>
    </row>
    <row r="8" spans="1:33" x14ac:dyDescent="0.25">
      <c r="A8" s="34" t="s">
        <v>15</v>
      </c>
      <c r="B8" s="34"/>
      <c r="C8" s="34"/>
      <c r="D8" s="34"/>
      <c r="E8" s="34"/>
      <c r="F8" s="34"/>
      <c r="G8" s="40">
        <f>360/((23*60*60)+(56*60)+4.09)</f>
        <v>4.1780746480349299E-3</v>
      </c>
      <c r="H8" s="40"/>
      <c r="I8" s="2" t="s">
        <v>16</v>
      </c>
      <c r="K8" s="76"/>
      <c r="L8" s="77"/>
      <c r="M8" s="77"/>
      <c r="N8" s="77"/>
      <c r="O8" s="77"/>
      <c r="P8" s="78"/>
      <c r="R8" s="39"/>
      <c r="S8" s="39"/>
      <c r="T8" s="39"/>
      <c r="U8" s="39"/>
      <c r="V8" s="39"/>
      <c r="W8" s="39"/>
      <c r="X8" s="39"/>
      <c r="Y8" s="39"/>
      <c r="AC8" s="24"/>
      <c r="AD8" s="24"/>
      <c r="AE8" s="24"/>
      <c r="AF8" s="24"/>
      <c r="AG8" s="24"/>
    </row>
    <row r="9" spans="1:33" x14ac:dyDescent="0.25">
      <c r="A9" s="34" t="s">
        <v>17</v>
      </c>
      <c r="B9" s="34"/>
      <c r="C9" s="34"/>
      <c r="D9" s="34"/>
      <c r="E9" s="34"/>
      <c r="F9" s="34"/>
      <c r="G9" s="41">
        <v>49</v>
      </c>
      <c r="H9" s="41"/>
      <c r="I9" s="2" t="s">
        <v>18</v>
      </c>
      <c r="K9" s="76"/>
      <c r="L9" s="77"/>
      <c r="M9" s="77"/>
      <c r="N9" s="77"/>
      <c r="O9" s="77"/>
      <c r="P9" s="78"/>
      <c r="R9" s="39"/>
      <c r="S9" s="39"/>
      <c r="T9" s="39"/>
      <c r="U9" s="39"/>
      <c r="V9" s="39"/>
      <c r="W9" s="39"/>
      <c r="X9" s="39"/>
      <c r="Y9" s="39"/>
      <c r="AC9" s="24"/>
      <c r="AD9" s="25"/>
      <c r="AE9" s="25"/>
      <c r="AF9" s="25"/>
      <c r="AG9" s="24"/>
    </row>
    <row r="10" spans="1:33" ht="15.75" customHeight="1" x14ac:dyDescent="0.25">
      <c r="A10" s="44" t="s">
        <v>19</v>
      </c>
      <c r="B10" s="45"/>
      <c r="C10" s="45"/>
      <c r="D10" s="45"/>
      <c r="E10" s="45"/>
      <c r="F10" s="46"/>
      <c r="G10" s="47">
        <f>(COS(RADIANS(G9))*G8)</f>
        <v>2.7410635966396515E-3</v>
      </c>
      <c r="H10" s="48"/>
      <c r="I10" s="3" t="s">
        <v>16</v>
      </c>
      <c r="K10" s="76"/>
      <c r="L10" s="77"/>
      <c r="M10" s="77"/>
      <c r="N10" s="77"/>
      <c r="O10" s="77"/>
      <c r="P10" s="78"/>
      <c r="R10" s="13"/>
      <c r="S10" s="13"/>
      <c r="T10" s="13"/>
      <c r="U10" s="13"/>
      <c r="V10" s="13"/>
      <c r="W10" s="13"/>
      <c r="X10" s="13"/>
      <c r="Y10" s="13"/>
      <c r="AC10" s="55" t="s">
        <v>49</v>
      </c>
      <c r="AD10" s="56"/>
      <c r="AE10" s="57" t="s">
        <v>51</v>
      </c>
      <c r="AF10" s="56"/>
      <c r="AG10" s="67" t="s">
        <v>49</v>
      </c>
    </row>
    <row r="11" spans="1:33" ht="15.75" customHeight="1" x14ac:dyDescent="0.25">
      <c r="A11" s="34" t="s">
        <v>33</v>
      </c>
      <c r="B11" s="34"/>
      <c r="C11" s="34"/>
      <c r="D11" s="34"/>
      <c r="E11" s="34"/>
      <c r="F11" s="34"/>
      <c r="G11" s="41">
        <v>22.5</v>
      </c>
      <c r="H11" s="41"/>
      <c r="I11" s="2" t="s">
        <v>18</v>
      </c>
      <c r="K11" s="76"/>
      <c r="L11" s="77"/>
      <c r="M11" s="77"/>
      <c r="N11" s="77"/>
      <c r="O11" s="77"/>
      <c r="P11" s="78"/>
      <c r="R11" s="13"/>
      <c r="S11" s="13"/>
      <c r="T11" s="13"/>
      <c r="U11" s="13"/>
      <c r="V11" s="13"/>
      <c r="W11" s="13"/>
      <c r="X11" s="13"/>
      <c r="Y11" s="13"/>
      <c r="AC11" s="55"/>
      <c r="AD11" s="56"/>
      <c r="AE11" s="57"/>
      <c r="AF11" s="56"/>
      <c r="AG11" s="67"/>
    </row>
    <row r="12" spans="1:33" ht="15.75" customHeight="1" x14ac:dyDescent="0.25">
      <c r="A12" s="29" t="s">
        <v>34</v>
      </c>
      <c r="B12" s="30"/>
      <c r="C12" s="30"/>
      <c r="D12" s="30"/>
      <c r="E12" s="30"/>
      <c r="F12" s="31"/>
      <c r="G12" s="37">
        <f>360/G11</f>
        <v>16</v>
      </c>
      <c r="H12" s="38"/>
      <c r="I12" s="2"/>
      <c r="K12" s="76"/>
      <c r="L12" s="77"/>
      <c r="M12" s="77"/>
      <c r="N12" s="77"/>
      <c r="O12" s="77"/>
      <c r="P12" s="78"/>
      <c r="R12" s="8"/>
      <c r="S12" s="8"/>
      <c r="T12" s="8"/>
      <c r="U12" s="8"/>
      <c r="V12" s="8"/>
      <c r="W12" s="8"/>
      <c r="X12" s="8"/>
      <c r="Y12" s="8"/>
      <c r="AC12" s="55"/>
      <c r="AD12" s="56"/>
      <c r="AE12" s="57"/>
      <c r="AF12" s="56"/>
      <c r="AG12" s="67"/>
    </row>
    <row r="13" spans="1:33" ht="15.75" customHeight="1" x14ac:dyDescent="0.25">
      <c r="A13" s="34" t="s">
        <v>20</v>
      </c>
      <c r="B13" s="34"/>
      <c r="C13" s="34"/>
      <c r="D13" s="34"/>
      <c r="E13" s="34"/>
      <c r="F13" s="34"/>
      <c r="G13" s="41" t="s">
        <v>47</v>
      </c>
      <c r="H13" s="41"/>
      <c r="I13" s="2"/>
      <c r="K13" s="76"/>
      <c r="L13" s="77"/>
      <c r="M13" s="77"/>
      <c r="N13" s="77"/>
      <c r="O13" s="77"/>
      <c r="P13" s="78"/>
      <c r="R13" s="33" t="s">
        <v>25</v>
      </c>
      <c r="S13" s="33"/>
      <c r="T13" s="33" t="s">
        <v>26</v>
      </c>
      <c r="U13" s="33"/>
      <c r="V13" s="33" t="s">
        <v>27</v>
      </c>
      <c r="W13" s="33"/>
      <c r="X13" s="33" t="s">
        <v>28</v>
      </c>
      <c r="Y13" s="33"/>
      <c r="AC13" s="72" t="s">
        <v>49</v>
      </c>
      <c r="AD13" s="58"/>
      <c r="AE13" s="58" t="s">
        <v>50</v>
      </c>
      <c r="AF13" s="58"/>
      <c r="AG13" s="68" t="s">
        <v>49</v>
      </c>
    </row>
    <row r="14" spans="1:33" ht="15.75" customHeight="1" x14ac:dyDescent="0.25">
      <c r="A14" s="29" t="s">
        <v>21</v>
      </c>
      <c r="B14" s="30"/>
      <c r="C14" s="30"/>
      <c r="D14" s="30"/>
      <c r="E14" s="30"/>
      <c r="F14" s="31"/>
      <c r="G14" s="37">
        <v>480</v>
      </c>
      <c r="H14" s="38"/>
      <c r="I14" s="2"/>
      <c r="K14" s="76"/>
      <c r="L14" s="77"/>
      <c r="M14" s="77"/>
      <c r="N14" s="77"/>
      <c r="O14" s="77"/>
      <c r="P14" s="78"/>
      <c r="R14" s="33"/>
      <c r="S14" s="33"/>
      <c r="T14" s="33"/>
      <c r="U14" s="33"/>
      <c r="V14" s="33"/>
      <c r="W14" s="33"/>
      <c r="X14" s="33"/>
      <c r="Y14" s="33"/>
      <c r="AC14" s="72"/>
      <c r="AD14" s="59"/>
      <c r="AE14" s="59"/>
      <c r="AF14" s="59"/>
      <c r="AG14" s="68"/>
    </row>
    <row r="15" spans="1:33" ht="15.75" customHeight="1" x14ac:dyDescent="0.25">
      <c r="A15" s="29" t="s">
        <v>22</v>
      </c>
      <c r="B15" s="30"/>
      <c r="C15" s="30"/>
      <c r="D15" s="30"/>
      <c r="E15" s="30"/>
      <c r="F15" s="31"/>
      <c r="G15" s="37">
        <v>200</v>
      </c>
      <c r="H15" s="38"/>
      <c r="I15" s="2"/>
      <c r="K15" s="76"/>
      <c r="L15" s="77"/>
      <c r="M15" s="77"/>
      <c r="N15" s="77"/>
      <c r="O15" s="77"/>
      <c r="P15" s="78"/>
      <c r="R15" s="33"/>
      <c r="S15" s="33"/>
      <c r="T15" s="33"/>
      <c r="U15" s="33"/>
      <c r="V15" s="33"/>
      <c r="W15" s="33"/>
      <c r="X15" s="33"/>
      <c r="Y15" s="33"/>
      <c r="AC15" s="72"/>
      <c r="AD15" s="60"/>
      <c r="AE15" s="60"/>
      <c r="AF15" s="60"/>
      <c r="AG15" s="68"/>
    </row>
    <row r="16" spans="1:33" ht="15.75" customHeight="1" x14ac:dyDescent="0.25">
      <c r="A16" s="29" t="s">
        <v>23</v>
      </c>
      <c r="B16" s="30"/>
      <c r="C16" s="30"/>
      <c r="D16" s="30"/>
      <c r="E16" s="30"/>
      <c r="F16" s="31"/>
      <c r="G16" s="37">
        <v>50</v>
      </c>
      <c r="H16" s="38"/>
      <c r="I16" s="2"/>
      <c r="K16" s="76"/>
      <c r="L16" s="77"/>
      <c r="M16" s="77"/>
      <c r="N16" s="77"/>
      <c r="O16" s="77"/>
      <c r="P16" s="78"/>
      <c r="R16" s="33"/>
      <c r="S16" s="33"/>
      <c r="T16" s="33"/>
      <c r="U16" s="33"/>
      <c r="V16" s="33"/>
      <c r="W16" s="33"/>
      <c r="X16" s="33"/>
      <c r="Y16" s="33"/>
      <c r="AC16" s="72" t="s">
        <v>49</v>
      </c>
      <c r="AD16" s="69"/>
      <c r="AE16" s="58" t="s">
        <v>49</v>
      </c>
      <c r="AF16" s="58"/>
      <c r="AG16" s="68" t="s">
        <v>49</v>
      </c>
    </row>
    <row r="17" spans="1:33" ht="15.75" customHeight="1" x14ac:dyDescent="0.25">
      <c r="A17" s="26" t="s">
        <v>36</v>
      </c>
      <c r="B17" s="27"/>
      <c r="C17" s="27"/>
      <c r="D17" s="27"/>
      <c r="E17" s="27"/>
      <c r="F17" s="28"/>
      <c r="G17" s="35">
        <v>400</v>
      </c>
      <c r="H17" s="36"/>
      <c r="I17" s="4" t="s">
        <v>18</v>
      </c>
      <c r="K17" s="76"/>
      <c r="L17" s="77"/>
      <c r="M17" s="77"/>
      <c r="N17" s="77"/>
      <c r="O17" s="77"/>
      <c r="P17" s="78"/>
      <c r="R17" s="32">
        <f>MIN('T16-2'!U3:U18)</f>
        <v>-3.34066999999999E-3</v>
      </c>
      <c r="S17" s="32"/>
      <c r="T17" s="32">
        <f>MIN('T16-2'!V3:V18)</f>
        <v>-4.5406600000000019E-3</v>
      </c>
      <c r="U17" s="32"/>
      <c r="V17" s="32">
        <f>MAX('T16-2'!U3:U18)</f>
        <v>4.2269500000000071E-3</v>
      </c>
      <c r="W17" s="32"/>
      <c r="X17" s="32">
        <f>MAX('T16-2'!V3:V18)</f>
        <v>3.5295399999999977E-3</v>
      </c>
      <c r="Y17" s="32"/>
      <c r="AC17" s="72"/>
      <c r="AD17" s="70"/>
      <c r="AE17" s="59"/>
      <c r="AF17" s="59"/>
      <c r="AG17" s="68"/>
    </row>
    <row r="18" spans="1:33" ht="15.75" customHeight="1" x14ac:dyDescent="0.25">
      <c r="A18" s="26" t="s">
        <v>35</v>
      </c>
      <c r="B18" s="27"/>
      <c r="C18" s="27"/>
      <c r="D18" s="27"/>
      <c r="E18" s="27"/>
      <c r="F18" s="28"/>
      <c r="G18" s="35">
        <f>G14*G15*2</f>
        <v>192000</v>
      </c>
      <c r="H18" s="36"/>
      <c r="I18" s="2"/>
      <c r="K18" s="79"/>
      <c r="L18" s="80"/>
      <c r="M18" s="80"/>
      <c r="N18" s="80"/>
      <c r="O18" s="80"/>
      <c r="P18" s="81"/>
      <c r="R18" s="32"/>
      <c r="S18" s="32"/>
      <c r="T18" s="32"/>
      <c r="U18" s="32"/>
      <c r="V18" s="32"/>
      <c r="W18" s="32"/>
      <c r="X18" s="32"/>
      <c r="Y18" s="32"/>
      <c r="AC18" s="72"/>
      <c r="AD18" s="71"/>
      <c r="AE18" s="60"/>
      <c r="AF18" s="60"/>
      <c r="AG18" s="68"/>
    </row>
    <row r="19" spans="1:33" ht="15.75" customHeight="1" x14ac:dyDescent="0.25">
      <c r="A19" s="9"/>
      <c r="B19" s="9"/>
      <c r="C19" s="9"/>
      <c r="D19" s="9"/>
      <c r="E19" s="9"/>
      <c r="F19" s="9"/>
      <c r="G19" s="10"/>
      <c r="H19" s="10"/>
      <c r="I19" s="11"/>
      <c r="K19" s="7"/>
      <c r="L19" s="7"/>
      <c r="M19" s="7"/>
      <c r="N19" s="7"/>
      <c r="O19" s="7"/>
      <c r="P19" s="7"/>
      <c r="R19" s="12"/>
      <c r="S19" s="12"/>
      <c r="T19" s="12"/>
      <c r="U19" s="12"/>
      <c r="V19" s="12"/>
      <c r="W19" s="12"/>
      <c r="X19" s="12"/>
      <c r="Y19" s="12"/>
      <c r="AC19" s="49" t="s">
        <v>49</v>
      </c>
      <c r="AD19" s="52" t="s">
        <v>49</v>
      </c>
      <c r="AE19" s="52" t="s">
        <v>49</v>
      </c>
      <c r="AF19" s="52" t="s">
        <v>49</v>
      </c>
      <c r="AG19" s="50" t="s">
        <v>49</v>
      </c>
    </row>
    <row r="20" spans="1:33" ht="15.75" customHeight="1" x14ac:dyDescent="0.25">
      <c r="A20" s="9"/>
      <c r="B20" s="9"/>
      <c r="C20" s="9"/>
      <c r="D20" s="9"/>
      <c r="E20" s="9"/>
      <c r="F20" s="9"/>
      <c r="G20" s="10"/>
      <c r="H20" s="10"/>
      <c r="I20" s="11"/>
      <c r="K20" s="7"/>
      <c r="L20" s="7"/>
      <c r="M20" s="7"/>
      <c r="N20" s="7"/>
      <c r="O20" s="7"/>
      <c r="P20" s="7"/>
      <c r="R20" s="12"/>
      <c r="S20" s="12"/>
      <c r="T20" s="12"/>
      <c r="U20" s="12"/>
      <c r="V20" s="12"/>
      <c r="W20" s="12"/>
      <c r="X20" s="12"/>
      <c r="Y20" s="12"/>
      <c r="AC20" s="49"/>
      <c r="AD20" s="53"/>
      <c r="AE20" s="53"/>
      <c r="AF20" s="53"/>
      <c r="AG20" s="50"/>
    </row>
    <row r="21" spans="1:33" ht="15.75" customHeight="1" x14ac:dyDescent="0.25">
      <c r="A21" s="9"/>
      <c r="B21" s="9"/>
      <c r="C21" s="9"/>
      <c r="D21" s="9"/>
      <c r="E21" s="9"/>
      <c r="F21" s="9"/>
      <c r="G21" s="10"/>
      <c r="H21" s="10"/>
      <c r="I21" s="11"/>
      <c r="K21" s="7"/>
      <c r="L21" s="7"/>
      <c r="M21" s="7"/>
      <c r="N21" s="7"/>
      <c r="O21" s="7"/>
      <c r="P21" s="7"/>
      <c r="R21" s="12"/>
      <c r="S21" s="12"/>
      <c r="T21" s="12"/>
      <c r="U21" s="12"/>
      <c r="V21" s="12"/>
      <c r="W21" s="12"/>
      <c r="X21" s="12"/>
      <c r="Y21" s="12"/>
      <c r="AC21" s="49"/>
      <c r="AD21" s="53"/>
      <c r="AE21" s="53"/>
      <c r="AF21" s="53"/>
      <c r="AG21" s="50"/>
    </row>
    <row r="22" spans="1:33" ht="15.75" customHeight="1" x14ac:dyDescent="0.25">
      <c r="A22" s="9"/>
      <c r="B22" s="9"/>
      <c r="C22" s="9"/>
      <c r="D22" s="9"/>
      <c r="E22" s="9"/>
      <c r="F22" s="9"/>
      <c r="G22" s="10"/>
      <c r="H22" s="10"/>
      <c r="I22" s="11"/>
      <c r="K22" s="7"/>
      <c r="L22" s="7"/>
      <c r="M22" s="7"/>
      <c r="N22" s="7"/>
      <c r="O22" s="7"/>
      <c r="P22" s="7"/>
      <c r="R22" s="12"/>
      <c r="S22" s="12"/>
      <c r="T22" s="12"/>
      <c r="U22" s="12"/>
      <c r="V22" s="12"/>
      <c r="W22" s="12"/>
      <c r="X22" s="12"/>
      <c r="Y22" s="12"/>
    </row>
  </sheetData>
  <mergeCells count="76">
    <mergeCell ref="AC1:AG2"/>
    <mergeCell ref="AG10:AG12"/>
    <mergeCell ref="AG13:AG15"/>
    <mergeCell ref="AG16:AG18"/>
    <mergeCell ref="A7:F7"/>
    <mergeCell ref="G7:H7"/>
    <mergeCell ref="AF13:AF15"/>
    <mergeCell ref="AD16:AD18"/>
    <mergeCell ref="AE16:AE18"/>
    <mergeCell ref="AF16:AF18"/>
    <mergeCell ref="AC13:AC15"/>
    <mergeCell ref="AC16:AC18"/>
    <mergeCell ref="A12:F12"/>
    <mergeCell ref="G12:H12"/>
    <mergeCell ref="K5:P18"/>
    <mergeCell ref="A17:F17"/>
    <mergeCell ref="AC19:AC21"/>
    <mergeCell ref="AG19:AG21"/>
    <mergeCell ref="AC4:AC6"/>
    <mergeCell ref="AG4:AG6"/>
    <mergeCell ref="AD19:AD21"/>
    <mergeCell ref="AE19:AE21"/>
    <mergeCell ref="AF19:AF21"/>
    <mergeCell ref="AD4:AD6"/>
    <mergeCell ref="AE4:AE6"/>
    <mergeCell ref="AF4:AF6"/>
    <mergeCell ref="AC10:AC12"/>
    <mergeCell ref="AD10:AD12"/>
    <mergeCell ref="AE10:AE12"/>
    <mergeCell ref="AD13:AD15"/>
    <mergeCell ref="AE13:AE15"/>
    <mergeCell ref="AF10:AF12"/>
    <mergeCell ref="A10:F10"/>
    <mergeCell ref="G10:H10"/>
    <mergeCell ref="G9:H9"/>
    <mergeCell ref="G11:H11"/>
    <mergeCell ref="G13:H13"/>
    <mergeCell ref="A9:F9"/>
    <mergeCell ref="A11:F11"/>
    <mergeCell ref="G4:H4"/>
    <mergeCell ref="A1:B2"/>
    <mergeCell ref="C1:D2"/>
    <mergeCell ref="E1:Y2"/>
    <mergeCell ref="K4:P4"/>
    <mergeCell ref="A4:F4"/>
    <mergeCell ref="R4:Y4"/>
    <mergeCell ref="R5:Y9"/>
    <mergeCell ref="G8:H8"/>
    <mergeCell ref="A5:F5"/>
    <mergeCell ref="G5:H5"/>
    <mergeCell ref="A6:F6"/>
    <mergeCell ref="G6:H6"/>
    <mergeCell ref="A8:F8"/>
    <mergeCell ref="T13:U16"/>
    <mergeCell ref="V13:W16"/>
    <mergeCell ref="X13:Y16"/>
    <mergeCell ref="T17:U18"/>
    <mergeCell ref="V17:W18"/>
    <mergeCell ref="X17:Y18"/>
    <mergeCell ref="A18:F18"/>
    <mergeCell ref="A14:F14"/>
    <mergeCell ref="A15:F15"/>
    <mergeCell ref="A16:F16"/>
    <mergeCell ref="R17:S18"/>
    <mergeCell ref="R13:S16"/>
    <mergeCell ref="A13:F13"/>
    <mergeCell ref="G17:H17"/>
    <mergeCell ref="G16:H16"/>
    <mergeCell ref="G15:H15"/>
    <mergeCell ref="G14:H14"/>
    <mergeCell ref="G18:H18"/>
    <mergeCell ref="AC7:AC9"/>
    <mergeCell ref="AD7:AD9"/>
    <mergeCell ref="AE7:AE9"/>
    <mergeCell ref="AF7:AF9"/>
    <mergeCell ref="AG7:AG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F52"/>
  <sheetViews>
    <sheetView workbookViewId="0">
      <selection activeCell="I38" sqref="I38"/>
    </sheetView>
  </sheetViews>
  <sheetFormatPr defaultRowHeight="15" x14ac:dyDescent="0.25"/>
  <cols>
    <col min="2" max="2" width="5.85546875" customWidth="1"/>
    <col min="3" max="3" width="7.7109375" customWidth="1"/>
    <col min="4" max="4" width="3.5703125" customWidth="1"/>
    <col min="5" max="5" width="10.7109375" customWidth="1"/>
    <col min="6" max="6" width="10.85546875" customWidth="1"/>
    <col min="7" max="7" width="12.7109375" customWidth="1"/>
    <col min="8" max="9" width="10.85546875" customWidth="1"/>
    <col min="10" max="10" width="12.28515625" customWidth="1"/>
    <col min="11" max="11" width="10.42578125" customWidth="1"/>
    <col min="12" max="12" width="10.28515625" customWidth="1"/>
    <col min="13" max="13" width="12.42578125" customWidth="1"/>
    <col min="14" max="14" width="11.85546875" customWidth="1"/>
    <col min="15" max="15" width="11.7109375" customWidth="1"/>
    <col min="16" max="16" width="13.7109375" customWidth="1"/>
    <col min="17" max="18" width="11.7109375" customWidth="1"/>
    <col min="19" max="19" width="13.42578125" customWidth="1"/>
    <col min="20" max="20" width="2.7109375" customWidth="1"/>
    <col min="23" max="23" width="3.5703125" customWidth="1"/>
    <col min="24" max="24" width="3.28515625" customWidth="1"/>
    <col min="25" max="25" width="9.42578125" customWidth="1"/>
    <col min="26" max="26" width="11" customWidth="1"/>
    <col min="27" max="27" width="10.42578125" customWidth="1"/>
    <col min="28" max="28" width="10.28515625" customWidth="1"/>
    <col min="29" max="29" width="7" customWidth="1"/>
    <col min="30" max="30" width="7.140625" customWidth="1"/>
    <col min="31" max="31" width="15" customWidth="1"/>
    <col min="32" max="32" width="20.85546875" customWidth="1"/>
  </cols>
  <sheetData>
    <row r="1" spans="1:32" x14ac:dyDescent="0.25">
      <c r="Y1" s="5"/>
      <c r="Z1" s="5"/>
      <c r="AA1" s="5"/>
      <c r="AB1" s="5"/>
      <c r="AC1" s="5"/>
      <c r="AD1" s="5"/>
      <c r="AE1" s="5"/>
      <c r="AF1" s="5"/>
    </row>
    <row r="2" spans="1:32" x14ac:dyDescent="0.25">
      <c r="A2" t="s">
        <v>58</v>
      </c>
      <c r="B2" t="s">
        <v>54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55</v>
      </c>
      <c r="L2" t="s">
        <v>56</v>
      </c>
      <c r="M2" t="s">
        <v>57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U2" t="s">
        <v>66</v>
      </c>
      <c r="V2" t="s">
        <v>14</v>
      </c>
      <c r="Y2" s="6" t="s">
        <v>37</v>
      </c>
      <c r="Z2" s="6" t="s">
        <v>38</v>
      </c>
      <c r="AA2" s="6" t="s">
        <v>39</v>
      </c>
      <c r="AB2" s="6" t="s">
        <v>40</v>
      </c>
      <c r="AC2" s="6" t="s">
        <v>41</v>
      </c>
      <c r="AD2" s="5" t="s">
        <v>42</v>
      </c>
      <c r="AE2" s="5" t="s">
        <v>43</v>
      </c>
      <c r="AF2" s="5" t="s">
        <v>44</v>
      </c>
    </row>
    <row r="3" spans="1:32" x14ac:dyDescent="0.25">
      <c r="A3" s="14">
        <v>1</v>
      </c>
      <c r="B3" s="14" t="s">
        <v>63</v>
      </c>
      <c r="C3" s="14">
        <v>0</v>
      </c>
      <c r="D3" s="14">
        <v>21</v>
      </c>
      <c r="E3" s="15">
        <v>-0.31785002000000001</v>
      </c>
      <c r="F3" s="15">
        <v>-0.31597150000000002</v>
      </c>
      <c r="G3" s="15">
        <v>-1.87853E-3</v>
      </c>
      <c r="H3" s="15">
        <v>0.47794764000000001</v>
      </c>
      <c r="I3" s="15">
        <v>0.47728569999999998</v>
      </c>
      <c r="J3" s="15">
        <v>6.6193999999999997E-4</v>
      </c>
      <c r="K3" s="18">
        <v>26.49</v>
      </c>
      <c r="L3" s="18">
        <v>26.5</v>
      </c>
      <c r="M3" s="18">
        <v>-0.01</v>
      </c>
      <c r="N3" s="15">
        <v>5.0188799999999999E-2</v>
      </c>
      <c r="O3" s="15">
        <v>4.2530800000000001E-2</v>
      </c>
      <c r="P3" s="15">
        <v>7.6579899999999999E-3</v>
      </c>
      <c r="Q3" s="15">
        <v>1.022728E-2</v>
      </c>
      <c r="R3" s="15">
        <v>-1.8943100000000001E-2</v>
      </c>
      <c r="S3" s="15">
        <v>2.9170390000000001E-2</v>
      </c>
      <c r="T3" s="14"/>
      <c r="U3" s="15">
        <f>(F3-E3)/2</f>
        <v>9.3925999999999732E-4</v>
      </c>
      <c r="V3" s="15">
        <f>(H3-I3)/2</f>
        <v>3.3097000000001375E-4</v>
      </c>
      <c r="W3" s="15"/>
      <c r="X3" s="15"/>
      <c r="Y3" s="16">
        <f t="shared" ref="Y3:Y34" si="0">N3</f>
        <v>5.0188799999999999E-2</v>
      </c>
      <c r="Z3" s="16">
        <f t="shared" ref="Z3:Z34" si="1">Q3</f>
        <v>1.022728E-2</v>
      </c>
      <c r="AA3" s="16">
        <f t="shared" ref="AA3:AA34" si="2">O3</f>
        <v>4.2530800000000001E-2</v>
      </c>
      <c r="AB3" s="16">
        <f t="shared" ref="AB3:AB34" si="3">R3</f>
        <v>-1.8943100000000001E-2</v>
      </c>
      <c r="AC3" s="17">
        <f>IF(Y3="","",DEGREES(ASIN(SQRT(Y3^2+Z3^2))))</f>
        <v>2.9359882533814061</v>
      </c>
      <c r="AD3" s="17">
        <f>IF(AA3="","",DEGREES(ASIN(SQRT(AA3^2+AB3^2))))</f>
        <v>2.6685801455529332</v>
      </c>
      <c r="AE3" s="17">
        <f>IF(Y3="","",MOD(DEGREES(ATAN2(Y3,Z3)),360))</f>
        <v>11.517816137271527</v>
      </c>
      <c r="AF3" s="17">
        <f t="shared" ref="AF3:AF34" si="4">IF(Y3="","",MOD(F3+AE3,360))</f>
        <v>11.201844637271527</v>
      </c>
    </row>
    <row r="4" spans="1:32" x14ac:dyDescent="0.25">
      <c r="A4" s="14">
        <v>2</v>
      </c>
      <c r="B4" s="14" t="s">
        <v>63</v>
      </c>
      <c r="C4" s="14">
        <v>22.5</v>
      </c>
      <c r="D4" s="14">
        <v>20</v>
      </c>
      <c r="E4" s="15">
        <v>-0.31353004000000001</v>
      </c>
      <c r="F4" s="15">
        <v>-0.31319000000000002</v>
      </c>
      <c r="G4" s="15">
        <v>-3.4001000000000002E-4</v>
      </c>
      <c r="H4" s="15">
        <v>0.47196739999999998</v>
      </c>
      <c r="I4" s="15">
        <v>0.46842240000000002</v>
      </c>
      <c r="J4" s="15">
        <v>3.54499E-3</v>
      </c>
      <c r="K4" s="18">
        <v>26.57</v>
      </c>
      <c r="L4" s="18">
        <v>26.55</v>
      </c>
      <c r="M4" s="18">
        <v>0.02</v>
      </c>
      <c r="N4" s="15">
        <v>5.5826050000000002E-2</v>
      </c>
      <c r="O4" s="15">
        <v>3.7291749999999999E-2</v>
      </c>
      <c r="P4" s="15">
        <v>1.85343E-2</v>
      </c>
      <c r="Q4" s="15">
        <v>7.4282200000000001E-3</v>
      </c>
      <c r="R4" s="15">
        <v>-1.6440679999999999E-2</v>
      </c>
      <c r="S4" s="15">
        <v>2.3868899999999998E-2</v>
      </c>
      <c r="T4" s="14"/>
      <c r="U4" s="15">
        <f t="shared" ref="U4:U34" si="5">(F4-E4)/2</f>
        <v>1.7001999999999295E-4</v>
      </c>
      <c r="V4" s="15">
        <f t="shared" ref="V4:V34" si="6">(H4-I4)/2</f>
        <v>1.7724999999999824E-3</v>
      </c>
      <c r="W4" s="15"/>
      <c r="X4" s="15"/>
      <c r="Y4" s="16">
        <f t="shared" si="0"/>
        <v>5.5826050000000002E-2</v>
      </c>
      <c r="Z4" s="16">
        <f t="shared" si="1"/>
        <v>7.4282200000000001E-3</v>
      </c>
      <c r="AA4" s="16">
        <f t="shared" si="2"/>
        <v>3.7291749999999999E-2</v>
      </c>
      <c r="AB4" s="16">
        <f t="shared" si="3"/>
        <v>-1.6440679999999999E-2</v>
      </c>
      <c r="AC4" s="17">
        <f t="shared" ref="AC4:AC18" si="7">IF(Y4="","",DEGREES(ASIN(SQRT(Y4^2+Z4^2))))</f>
        <v>3.2284965713015779</v>
      </c>
      <c r="AD4" s="17">
        <f t="shared" ref="AD4:AD18" si="8">IF(AA4="","",DEGREES(ASIN(SQRT(AA4^2+AB4^2))))</f>
        <v>2.3357367849204018</v>
      </c>
      <c r="AE4" s="17">
        <f t="shared" ref="AE4:AE18" si="9">IF(Y4="","",MOD(DEGREES(ATAN2(Y4,Z4)),360))</f>
        <v>7.579261359484855</v>
      </c>
      <c r="AF4" s="17">
        <f t="shared" si="4"/>
        <v>7.2660713594848554</v>
      </c>
    </row>
    <row r="5" spans="1:32" x14ac:dyDescent="0.25">
      <c r="A5" s="14">
        <v>3</v>
      </c>
      <c r="B5" s="14" t="s">
        <v>63</v>
      </c>
      <c r="C5" s="14">
        <v>45</v>
      </c>
      <c r="D5" s="14">
        <v>12</v>
      </c>
      <c r="E5" s="15">
        <v>-0.31971250000000001</v>
      </c>
      <c r="F5" s="15">
        <v>-0.31449169999999999</v>
      </c>
      <c r="G5" s="15">
        <v>-5.2208000000000003E-3</v>
      </c>
      <c r="H5" s="15">
        <v>0.47834991999999998</v>
      </c>
      <c r="I5" s="15">
        <v>0.4782708</v>
      </c>
      <c r="J5" s="15">
        <v>7.9129999999999996E-5</v>
      </c>
      <c r="K5" s="18">
        <v>26.52</v>
      </c>
      <c r="L5" s="18">
        <v>26.52</v>
      </c>
      <c r="M5" s="18">
        <v>-0.01</v>
      </c>
      <c r="N5" s="15">
        <v>5.9702959999999999E-2</v>
      </c>
      <c r="O5" s="15">
        <v>3.3497720000000002E-2</v>
      </c>
      <c r="P5" s="15">
        <v>2.6205240000000001E-2</v>
      </c>
      <c r="Q5" s="15">
        <v>3.0366999999999998E-3</v>
      </c>
      <c r="R5" s="15">
        <v>-1.1625770000000001E-2</v>
      </c>
      <c r="S5" s="15">
        <v>1.466248E-2</v>
      </c>
      <c r="T5" s="14"/>
      <c r="U5" s="15">
        <f t="shared" si="5"/>
        <v>2.6104000000000127E-3</v>
      </c>
      <c r="V5" s="15">
        <f t="shared" si="6"/>
        <v>3.9559999999994044E-5</v>
      </c>
      <c r="W5" s="15"/>
      <c r="X5" s="15"/>
      <c r="Y5" s="16">
        <f t="shared" si="0"/>
        <v>5.9702959999999999E-2</v>
      </c>
      <c r="Z5" s="16">
        <f t="shared" si="1"/>
        <v>3.0366999999999998E-3</v>
      </c>
      <c r="AA5" s="16">
        <f t="shared" si="2"/>
        <v>3.3497720000000002E-2</v>
      </c>
      <c r="AB5" s="16">
        <f t="shared" si="3"/>
        <v>-1.1625770000000001E-2</v>
      </c>
      <c r="AC5" s="17">
        <f t="shared" si="7"/>
        <v>3.4271929885493195</v>
      </c>
      <c r="AD5" s="17">
        <f t="shared" si="8"/>
        <v>2.0320083904636492</v>
      </c>
      <c r="AE5" s="17">
        <f t="shared" si="9"/>
        <v>2.9117531738424782</v>
      </c>
      <c r="AF5" s="17">
        <f t="shared" si="4"/>
        <v>2.5972614738424782</v>
      </c>
    </row>
    <row r="6" spans="1:32" x14ac:dyDescent="0.25">
      <c r="A6" s="14">
        <v>4</v>
      </c>
      <c r="B6" s="14" t="s">
        <v>63</v>
      </c>
      <c r="C6" s="14">
        <v>67.5</v>
      </c>
      <c r="D6" s="14">
        <v>13</v>
      </c>
      <c r="E6" s="15">
        <v>-0.31220382000000002</v>
      </c>
      <c r="F6" s="15">
        <v>-0.31578464000000001</v>
      </c>
      <c r="G6" s="15">
        <v>3.5808099999999998E-3</v>
      </c>
      <c r="H6" s="15">
        <v>0.48006536</v>
      </c>
      <c r="I6" s="15">
        <v>0.4738077</v>
      </c>
      <c r="J6" s="15">
        <v>6.25765E-3</v>
      </c>
      <c r="K6" s="18">
        <v>26.48</v>
      </c>
      <c r="L6" s="18">
        <v>26.48</v>
      </c>
      <c r="M6" s="18">
        <v>0</v>
      </c>
      <c r="N6" s="15">
        <v>6.1534150000000003E-2</v>
      </c>
      <c r="O6" s="15">
        <v>3.1750859999999999E-2</v>
      </c>
      <c r="P6" s="15">
        <v>2.978329E-2</v>
      </c>
      <c r="Q6" s="15">
        <v>-2.74545E-3</v>
      </c>
      <c r="R6" s="15">
        <v>-6.2340399999999997E-3</v>
      </c>
      <c r="S6" s="15">
        <v>3.4885799999999998E-3</v>
      </c>
      <c r="T6" s="14"/>
      <c r="U6" s="15">
        <f t="shared" si="5"/>
        <v>-1.7904099999999923E-3</v>
      </c>
      <c r="V6" s="15">
        <f t="shared" si="6"/>
        <v>3.1288299999999991E-3</v>
      </c>
      <c r="W6" s="15"/>
      <c r="X6" s="15"/>
      <c r="Y6" s="16">
        <f t="shared" si="0"/>
        <v>6.1534150000000003E-2</v>
      </c>
      <c r="Z6" s="16">
        <f t="shared" si="1"/>
        <v>-2.74545E-3</v>
      </c>
      <c r="AA6" s="16">
        <f t="shared" si="2"/>
        <v>3.1750859999999999E-2</v>
      </c>
      <c r="AB6" s="16">
        <f t="shared" si="3"/>
        <v>-6.2340399999999997E-3</v>
      </c>
      <c r="AC6" s="17">
        <f t="shared" si="7"/>
        <v>3.531389923264292</v>
      </c>
      <c r="AD6" s="17">
        <f t="shared" si="8"/>
        <v>1.8542475467458186</v>
      </c>
      <c r="AE6" s="17">
        <f t="shared" si="9"/>
        <v>357.44534629618772</v>
      </c>
      <c r="AF6" s="17">
        <f t="shared" si="4"/>
        <v>357.12956165618772</v>
      </c>
    </row>
    <row r="7" spans="1:32" x14ac:dyDescent="0.25">
      <c r="A7" s="14">
        <v>5</v>
      </c>
      <c r="B7" s="14" t="s">
        <v>63</v>
      </c>
      <c r="C7" s="14">
        <v>90</v>
      </c>
      <c r="D7" s="14">
        <v>11</v>
      </c>
      <c r="E7" s="15">
        <v>-0.31776366</v>
      </c>
      <c r="F7" s="15">
        <v>-0.32024093999999997</v>
      </c>
      <c r="G7" s="15">
        <v>2.47729E-3</v>
      </c>
      <c r="H7" s="15">
        <v>0.48181360000000001</v>
      </c>
      <c r="I7" s="15">
        <v>0.47475452000000001</v>
      </c>
      <c r="J7" s="15">
        <v>7.0590699999999998E-3</v>
      </c>
      <c r="K7" s="18">
        <v>26.48</v>
      </c>
      <c r="L7" s="18">
        <v>26.51</v>
      </c>
      <c r="M7" s="18">
        <v>-0.03</v>
      </c>
      <c r="N7" s="15">
        <v>5.9953390000000002E-2</v>
      </c>
      <c r="O7" s="15">
        <v>3.1684570000000002E-2</v>
      </c>
      <c r="P7" s="15">
        <v>2.826882E-2</v>
      </c>
      <c r="Q7" s="15">
        <v>-8.5082999999999999E-3</v>
      </c>
      <c r="R7" s="15">
        <v>-8.3230000000000001E-5</v>
      </c>
      <c r="S7" s="15">
        <v>-8.4250699999999998E-3</v>
      </c>
      <c r="T7" s="14"/>
      <c r="U7" s="15">
        <f t="shared" si="5"/>
        <v>-1.2386399999999853E-3</v>
      </c>
      <c r="V7" s="15">
        <f t="shared" si="6"/>
        <v>3.5295399999999977E-3</v>
      </c>
      <c r="W7" s="15"/>
      <c r="X7" s="15"/>
      <c r="Y7" s="16">
        <f t="shared" si="0"/>
        <v>5.9953390000000002E-2</v>
      </c>
      <c r="Z7" s="16">
        <f t="shared" si="1"/>
        <v>-8.5082999999999999E-3</v>
      </c>
      <c r="AA7" s="16">
        <f t="shared" si="2"/>
        <v>3.1684570000000002E-2</v>
      </c>
      <c r="AB7" s="16">
        <f t="shared" si="3"/>
        <v>-8.3230000000000001E-5</v>
      </c>
      <c r="AC7" s="17">
        <f t="shared" si="7"/>
        <v>3.4716187198884363</v>
      </c>
      <c r="AD7" s="17">
        <f t="shared" si="8"/>
        <v>1.8157022894307793</v>
      </c>
      <c r="AE7" s="17">
        <f t="shared" si="9"/>
        <v>351.92279207079122</v>
      </c>
      <c r="AF7" s="17">
        <f t="shared" si="4"/>
        <v>351.6025511307912</v>
      </c>
    </row>
    <row r="8" spans="1:32" x14ac:dyDescent="0.25">
      <c r="A8" s="14">
        <v>6</v>
      </c>
      <c r="B8" s="14" t="s">
        <v>63</v>
      </c>
      <c r="C8" s="14">
        <v>112.5</v>
      </c>
      <c r="D8" s="14">
        <v>15</v>
      </c>
      <c r="E8" s="15">
        <v>-0.3129633</v>
      </c>
      <c r="F8" s="15">
        <v>-0.31758004000000001</v>
      </c>
      <c r="G8" s="15">
        <v>4.6167400000000003E-3</v>
      </c>
      <c r="H8" s="15">
        <v>0.47558331999999998</v>
      </c>
      <c r="I8" s="15">
        <v>0.47213655999999998</v>
      </c>
      <c r="J8" s="15">
        <v>3.4467899999999999E-3</v>
      </c>
      <c r="K8" s="18">
        <v>26.51</v>
      </c>
      <c r="L8" s="18">
        <v>26.51</v>
      </c>
      <c r="M8" s="18">
        <v>0.01</v>
      </c>
      <c r="N8" s="15">
        <v>5.823242E-2</v>
      </c>
      <c r="O8" s="15">
        <v>3.4178380000000001E-2</v>
      </c>
      <c r="P8" s="15">
        <v>2.4054039999999999E-2</v>
      </c>
      <c r="Q8" s="15">
        <v>-1.370671E-2</v>
      </c>
      <c r="R8" s="15">
        <v>5.2151699999999999E-3</v>
      </c>
      <c r="S8" s="15">
        <v>-1.892187E-2</v>
      </c>
      <c r="T8" s="14"/>
      <c r="U8" s="15">
        <f t="shared" si="5"/>
        <v>-2.308370000000004E-3</v>
      </c>
      <c r="V8" s="15">
        <f t="shared" si="6"/>
        <v>1.7233799999999966E-3</v>
      </c>
      <c r="W8" s="15"/>
      <c r="X8" s="15"/>
      <c r="Y8" s="16">
        <f t="shared" si="0"/>
        <v>5.823242E-2</v>
      </c>
      <c r="Z8" s="16">
        <f t="shared" si="1"/>
        <v>-1.370671E-2</v>
      </c>
      <c r="AA8" s="16">
        <f t="shared" si="2"/>
        <v>3.4178380000000001E-2</v>
      </c>
      <c r="AB8" s="16">
        <f t="shared" si="3"/>
        <v>5.2151699999999999E-3</v>
      </c>
      <c r="AC8" s="17">
        <f t="shared" si="7"/>
        <v>3.4296998471831199</v>
      </c>
      <c r="AD8" s="17">
        <f t="shared" si="8"/>
        <v>1.9813376430807317</v>
      </c>
      <c r="AE8" s="17">
        <f t="shared" si="9"/>
        <v>346.75485212469579</v>
      </c>
      <c r="AF8" s="17">
        <f t="shared" si="4"/>
        <v>346.43727208469579</v>
      </c>
    </row>
    <row r="9" spans="1:32" x14ac:dyDescent="0.25">
      <c r="A9" s="14">
        <v>7</v>
      </c>
      <c r="B9" s="14" t="s">
        <v>63</v>
      </c>
      <c r="C9" s="14">
        <v>135</v>
      </c>
      <c r="D9" s="14">
        <v>10</v>
      </c>
      <c r="E9" s="15">
        <v>-0.31536999999999998</v>
      </c>
      <c r="F9" s="15">
        <v>-0.31795508</v>
      </c>
      <c r="G9" s="15">
        <v>2.58508E-3</v>
      </c>
      <c r="H9" s="15">
        <v>0.47201495999999998</v>
      </c>
      <c r="I9" s="15">
        <v>0.46704499999999999</v>
      </c>
      <c r="J9" s="15">
        <v>4.9699799999999997E-3</v>
      </c>
      <c r="K9" s="18">
        <v>26.55</v>
      </c>
      <c r="L9" s="18">
        <v>26.58</v>
      </c>
      <c r="M9" s="18">
        <v>-0.03</v>
      </c>
      <c r="N9" s="15">
        <v>5.3183590000000003E-2</v>
      </c>
      <c r="O9" s="15">
        <v>3.934228E-2</v>
      </c>
      <c r="P9" s="15">
        <v>1.3841310000000001E-2</v>
      </c>
      <c r="Q9" s="15">
        <v>-1.766479E-2</v>
      </c>
      <c r="R9" s="15">
        <v>9.0900900000000003E-3</v>
      </c>
      <c r="S9" s="15">
        <v>-2.6754880000000002E-2</v>
      </c>
      <c r="T9" s="14"/>
      <c r="U9" s="15">
        <f t="shared" si="5"/>
        <v>-1.2925400000000087E-3</v>
      </c>
      <c r="V9" s="15">
        <f t="shared" si="6"/>
        <v>2.4849799999999977E-3</v>
      </c>
      <c r="W9" s="15"/>
      <c r="X9" s="15"/>
      <c r="Y9" s="16">
        <f t="shared" si="0"/>
        <v>5.3183590000000003E-2</v>
      </c>
      <c r="Z9" s="16">
        <f t="shared" si="1"/>
        <v>-1.766479E-2</v>
      </c>
      <c r="AA9" s="16">
        <f t="shared" si="2"/>
        <v>3.934228E-2</v>
      </c>
      <c r="AB9" s="16">
        <f t="shared" si="3"/>
        <v>9.0900900000000003E-3</v>
      </c>
      <c r="AC9" s="17">
        <f t="shared" si="7"/>
        <v>3.2125678841570773</v>
      </c>
      <c r="AD9" s="17">
        <f t="shared" si="8"/>
        <v>2.3141620082774095</v>
      </c>
      <c r="AE9" s="17">
        <f t="shared" si="9"/>
        <v>341.62622810352536</v>
      </c>
      <c r="AF9" s="17">
        <f t="shared" si="4"/>
        <v>341.30827302352537</v>
      </c>
    </row>
    <row r="10" spans="1:32" x14ac:dyDescent="0.25">
      <c r="A10" s="14">
        <v>8</v>
      </c>
      <c r="B10" s="14" t="s">
        <v>63</v>
      </c>
      <c r="C10" s="14">
        <v>157.5</v>
      </c>
      <c r="D10" s="14">
        <v>16</v>
      </c>
      <c r="E10" s="15">
        <v>-0.31267496</v>
      </c>
      <c r="F10" s="15">
        <v>-0.31935629999999998</v>
      </c>
      <c r="G10" s="15">
        <v>6.6813200000000001E-3</v>
      </c>
      <c r="H10" s="15">
        <v>0.47271563999999999</v>
      </c>
      <c r="I10" s="15">
        <v>0.47220003999999999</v>
      </c>
      <c r="J10" s="15">
        <v>5.1561E-4</v>
      </c>
      <c r="K10" s="18">
        <v>26.51</v>
      </c>
      <c r="L10" s="18">
        <v>26.5</v>
      </c>
      <c r="M10" s="18">
        <v>0</v>
      </c>
      <c r="N10" s="15">
        <v>4.8099509999999998E-2</v>
      </c>
      <c r="O10" s="15">
        <v>4.4728700000000003E-2</v>
      </c>
      <c r="P10" s="15">
        <v>3.3708100000000001E-3</v>
      </c>
      <c r="Q10" s="15">
        <v>-1.9465639999999999E-2</v>
      </c>
      <c r="R10" s="15">
        <v>1.0778050000000001E-2</v>
      </c>
      <c r="S10" s="15">
        <v>-3.0243679999999998E-2</v>
      </c>
      <c r="T10" s="14"/>
      <c r="U10" s="15">
        <f t="shared" si="5"/>
        <v>-3.34066999999999E-3</v>
      </c>
      <c r="V10" s="15">
        <f t="shared" si="6"/>
        <v>2.5780000000000247E-4</v>
      </c>
      <c r="W10" s="15"/>
      <c r="X10" s="15"/>
      <c r="Y10" s="16">
        <f t="shared" si="0"/>
        <v>4.8099509999999998E-2</v>
      </c>
      <c r="Z10" s="16">
        <f t="shared" si="1"/>
        <v>-1.9465639999999999E-2</v>
      </c>
      <c r="AA10" s="16">
        <f t="shared" si="2"/>
        <v>4.4728700000000003E-2</v>
      </c>
      <c r="AB10" s="16">
        <f t="shared" si="3"/>
        <v>1.0778050000000001E-2</v>
      </c>
      <c r="AC10" s="17">
        <f t="shared" si="7"/>
        <v>2.974359590712409</v>
      </c>
      <c r="AD10" s="17">
        <f t="shared" si="8"/>
        <v>2.63704925407955</v>
      </c>
      <c r="AE10" s="17">
        <f t="shared" si="9"/>
        <v>337.96705786847633</v>
      </c>
      <c r="AF10" s="17">
        <f t="shared" si="4"/>
        <v>337.64770156847635</v>
      </c>
    </row>
    <row r="11" spans="1:32" x14ac:dyDescent="0.25">
      <c r="A11" s="14">
        <v>9</v>
      </c>
      <c r="B11" s="14" t="s">
        <v>63</v>
      </c>
      <c r="C11" s="14">
        <v>180</v>
      </c>
      <c r="D11" s="14">
        <v>11</v>
      </c>
      <c r="E11" s="15">
        <v>-0.31718639999999998</v>
      </c>
      <c r="F11" s="15">
        <v>-0.3190364</v>
      </c>
      <c r="G11" s="15">
        <v>1.85001E-3</v>
      </c>
      <c r="H11" s="15">
        <v>0.46846359999999998</v>
      </c>
      <c r="I11" s="15">
        <v>0.46871807999999998</v>
      </c>
      <c r="J11" s="15">
        <v>-2.5448000000000002E-4</v>
      </c>
      <c r="K11" s="18">
        <v>26.47</v>
      </c>
      <c r="L11" s="18">
        <v>26.48</v>
      </c>
      <c r="M11" s="18">
        <v>-0.01</v>
      </c>
      <c r="N11" s="15">
        <v>4.1556059999999999E-2</v>
      </c>
      <c r="O11" s="15">
        <v>5.1136359999999999E-2</v>
      </c>
      <c r="P11" s="15">
        <v>-9.5802999999999999E-3</v>
      </c>
      <c r="Q11" s="15">
        <v>-1.892023E-2</v>
      </c>
      <c r="R11" s="15">
        <v>1.0391070000000001E-2</v>
      </c>
      <c r="S11" s="15">
        <v>-2.9311299999999998E-2</v>
      </c>
      <c r="T11" s="14"/>
      <c r="U11" s="15">
        <f t="shared" si="5"/>
        <v>-9.2500000000000915E-4</v>
      </c>
      <c r="V11" s="15">
        <f t="shared" si="6"/>
        <v>-1.2724000000000069E-4</v>
      </c>
      <c r="W11" s="15"/>
      <c r="X11" s="15"/>
      <c r="Y11" s="16">
        <f t="shared" si="0"/>
        <v>4.1556059999999999E-2</v>
      </c>
      <c r="Z11" s="16">
        <f t="shared" si="1"/>
        <v>-1.892023E-2</v>
      </c>
      <c r="AA11" s="16">
        <f t="shared" si="2"/>
        <v>5.1136359999999999E-2</v>
      </c>
      <c r="AB11" s="16">
        <f t="shared" si="3"/>
        <v>1.0391070000000001E-2</v>
      </c>
      <c r="AC11" s="17">
        <f t="shared" si="7"/>
        <v>2.6170638345903248</v>
      </c>
      <c r="AD11" s="17">
        <f t="shared" si="8"/>
        <v>2.9911341911456244</v>
      </c>
      <c r="AE11" s="17">
        <f t="shared" si="9"/>
        <v>335.52050471001053</v>
      </c>
      <c r="AF11" s="17">
        <f t="shared" si="4"/>
        <v>335.20146831001051</v>
      </c>
    </row>
    <row r="12" spans="1:32" x14ac:dyDescent="0.25">
      <c r="A12" s="14">
        <v>10</v>
      </c>
      <c r="B12" s="14" t="s">
        <v>63</v>
      </c>
      <c r="C12" s="14">
        <v>202.5</v>
      </c>
      <c r="D12" s="14">
        <v>13</v>
      </c>
      <c r="E12" s="15">
        <v>-0.30904616000000001</v>
      </c>
      <c r="F12" s="15">
        <v>-0.31533845999999999</v>
      </c>
      <c r="G12" s="15">
        <v>6.2923099999999997E-3</v>
      </c>
      <c r="H12" s="15">
        <v>0.46546156</v>
      </c>
      <c r="I12" s="15">
        <v>0.47123843999999998</v>
      </c>
      <c r="J12" s="15">
        <v>-5.7768799999999999E-3</v>
      </c>
      <c r="K12" s="18">
        <v>26.58</v>
      </c>
      <c r="L12" s="18">
        <v>26.56</v>
      </c>
      <c r="M12" s="18">
        <v>0.01</v>
      </c>
      <c r="N12" s="15">
        <v>3.7440470000000003E-2</v>
      </c>
      <c r="O12" s="15">
        <v>5.6490949999999998E-2</v>
      </c>
      <c r="P12" s="15">
        <v>-1.905049E-2</v>
      </c>
      <c r="Q12" s="15">
        <v>-1.6448879999999999E-2</v>
      </c>
      <c r="R12" s="15">
        <v>7.5255399999999998E-3</v>
      </c>
      <c r="S12" s="15">
        <v>-2.397442E-2</v>
      </c>
      <c r="T12" s="14"/>
      <c r="U12" s="15">
        <f t="shared" si="5"/>
        <v>-3.1461499999999865E-3</v>
      </c>
      <c r="V12" s="15">
        <f t="shared" si="6"/>
        <v>-2.8884399999999921E-3</v>
      </c>
      <c r="W12" s="15"/>
      <c r="X12" s="15"/>
      <c r="Y12" s="16">
        <f t="shared" si="0"/>
        <v>3.7440470000000003E-2</v>
      </c>
      <c r="Z12" s="16">
        <f t="shared" si="1"/>
        <v>-1.6448879999999999E-2</v>
      </c>
      <c r="AA12" s="16">
        <f t="shared" si="2"/>
        <v>5.6490949999999998E-2</v>
      </c>
      <c r="AB12" s="16">
        <f t="shared" si="3"/>
        <v>7.5255399999999998E-3</v>
      </c>
      <c r="AC12" s="17">
        <f t="shared" si="7"/>
        <v>2.3437318422479598</v>
      </c>
      <c r="AD12" s="17">
        <f t="shared" si="8"/>
        <v>3.2670571409384603</v>
      </c>
      <c r="AE12" s="17">
        <f t="shared" si="9"/>
        <v>336.28247204586404</v>
      </c>
      <c r="AF12" s="17">
        <f t="shared" si="4"/>
        <v>335.96713358586402</v>
      </c>
    </row>
    <row r="13" spans="1:32" x14ac:dyDescent="0.25">
      <c r="A13" s="14">
        <v>11</v>
      </c>
      <c r="B13" s="14" t="s">
        <v>63</v>
      </c>
      <c r="C13" s="14">
        <v>225</v>
      </c>
      <c r="D13" s="14">
        <v>11</v>
      </c>
      <c r="E13" s="15">
        <v>-0.31927272000000001</v>
      </c>
      <c r="F13" s="15">
        <v>-0.32320458000000002</v>
      </c>
      <c r="G13" s="15">
        <v>3.9318499999999998E-3</v>
      </c>
      <c r="H13" s="15">
        <v>0.46972271999999998</v>
      </c>
      <c r="I13" s="15">
        <v>0.47799543999999999</v>
      </c>
      <c r="J13" s="15">
        <v>-8.2727100000000008E-3</v>
      </c>
      <c r="K13" s="18">
        <v>26.47</v>
      </c>
      <c r="L13" s="18">
        <v>26.46</v>
      </c>
      <c r="M13" s="18">
        <v>0.01</v>
      </c>
      <c r="N13" s="15">
        <v>3.2988730000000001E-2</v>
      </c>
      <c r="O13" s="15">
        <v>6.0386179999999998E-2</v>
      </c>
      <c r="P13" s="15">
        <v>-2.7397459999999998E-2</v>
      </c>
      <c r="Q13" s="15">
        <v>-1.1619539999999999E-2</v>
      </c>
      <c r="R13" s="15">
        <v>3.2559500000000001E-3</v>
      </c>
      <c r="S13" s="15">
        <v>-1.487549E-2</v>
      </c>
      <c r="T13" s="14"/>
      <c r="U13" s="15">
        <f t="shared" si="5"/>
        <v>-1.9659300000000046E-3</v>
      </c>
      <c r="V13" s="15">
        <f t="shared" si="6"/>
        <v>-4.1363600000000056E-3</v>
      </c>
      <c r="W13" s="15"/>
      <c r="X13" s="15"/>
      <c r="Y13" s="16">
        <f t="shared" si="0"/>
        <v>3.2988730000000001E-2</v>
      </c>
      <c r="Z13" s="16">
        <f t="shared" si="1"/>
        <v>-1.1619539999999999E-2</v>
      </c>
      <c r="AA13" s="16">
        <f t="shared" si="2"/>
        <v>6.0386179999999998E-2</v>
      </c>
      <c r="AB13" s="16">
        <f t="shared" si="3"/>
        <v>3.2559500000000001E-3</v>
      </c>
      <c r="AC13" s="17">
        <f t="shared" si="7"/>
        <v>2.0043445563319437</v>
      </c>
      <c r="AD13" s="17">
        <f t="shared" si="8"/>
        <v>3.4670143316313755</v>
      </c>
      <c r="AE13" s="17">
        <f t="shared" si="9"/>
        <v>340.59633128616349</v>
      </c>
      <c r="AF13" s="17">
        <f t="shared" si="4"/>
        <v>340.27312670616351</v>
      </c>
    </row>
    <row r="14" spans="1:32" x14ac:dyDescent="0.25">
      <c r="A14" s="14">
        <v>12</v>
      </c>
      <c r="B14" s="14" t="s">
        <v>63</v>
      </c>
      <c r="C14" s="14">
        <v>247.5</v>
      </c>
      <c r="D14" s="14">
        <v>8</v>
      </c>
      <c r="E14" s="15">
        <v>-0.31741876000000002</v>
      </c>
      <c r="F14" s="15">
        <v>-0.31786249999999999</v>
      </c>
      <c r="G14" s="15">
        <v>4.4376000000000002E-4</v>
      </c>
      <c r="H14" s="15">
        <v>0.46413744000000001</v>
      </c>
      <c r="I14" s="15">
        <v>0.47321876000000002</v>
      </c>
      <c r="J14" s="15">
        <v>-9.0813000000000005E-3</v>
      </c>
      <c r="K14" s="18">
        <v>26.6</v>
      </c>
      <c r="L14" s="18">
        <v>26.59</v>
      </c>
      <c r="M14" s="18">
        <v>0.02</v>
      </c>
      <c r="N14" s="15">
        <v>3.1315610000000001E-2</v>
      </c>
      <c r="O14" s="15">
        <v>6.2131350000000002E-2</v>
      </c>
      <c r="P14" s="15">
        <v>-3.0815740000000001E-2</v>
      </c>
      <c r="Q14" s="15">
        <v>-6.2228400000000003E-3</v>
      </c>
      <c r="R14" s="15">
        <v>-2.3968499999999998E-3</v>
      </c>
      <c r="S14" s="15">
        <v>-3.82599E-3</v>
      </c>
      <c r="T14" s="14"/>
      <c r="U14" s="15">
        <f t="shared" si="5"/>
        <v>-2.2186999999998513E-4</v>
      </c>
      <c r="V14" s="15">
        <f t="shared" si="6"/>
        <v>-4.5406600000000019E-3</v>
      </c>
      <c r="W14" s="15"/>
      <c r="X14" s="15"/>
      <c r="Y14" s="16">
        <f t="shared" si="0"/>
        <v>3.1315610000000001E-2</v>
      </c>
      <c r="Z14" s="16">
        <f t="shared" si="1"/>
        <v>-6.2228400000000003E-3</v>
      </c>
      <c r="AA14" s="16">
        <f t="shared" si="2"/>
        <v>6.2131350000000002E-2</v>
      </c>
      <c r="AB14" s="16">
        <f t="shared" si="3"/>
        <v>-2.3968499999999998E-3</v>
      </c>
      <c r="AC14" s="17">
        <f t="shared" si="7"/>
        <v>1.8296451935980262</v>
      </c>
      <c r="AD14" s="17">
        <f t="shared" si="8"/>
        <v>3.5648115108092311</v>
      </c>
      <c r="AE14" s="17">
        <f t="shared" si="9"/>
        <v>348.76095127277154</v>
      </c>
      <c r="AF14" s="17">
        <f t="shared" si="4"/>
        <v>348.44308877277155</v>
      </c>
    </row>
    <row r="15" spans="1:32" x14ac:dyDescent="0.25">
      <c r="A15" s="14">
        <v>13</v>
      </c>
      <c r="B15" s="14" t="s">
        <v>63</v>
      </c>
      <c r="C15" s="14">
        <v>270</v>
      </c>
      <c r="D15" s="14">
        <v>12</v>
      </c>
      <c r="E15" s="15">
        <v>-0.31778751999999999</v>
      </c>
      <c r="F15" s="15">
        <v>-0.31505003999999998</v>
      </c>
      <c r="G15" s="15">
        <v>-2.73749E-3</v>
      </c>
      <c r="H15" s="15">
        <v>0.46823749999999997</v>
      </c>
      <c r="I15" s="15">
        <v>0.47278740000000002</v>
      </c>
      <c r="J15" s="15">
        <v>-4.54989E-3</v>
      </c>
      <c r="K15" s="18">
        <v>26.52</v>
      </c>
      <c r="L15" s="18">
        <v>26.54</v>
      </c>
      <c r="M15" s="18">
        <v>-0.02</v>
      </c>
      <c r="N15" s="15">
        <v>3.0976770000000001E-2</v>
      </c>
      <c r="O15" s="15">
        <v>6.1451609999999997E-2</v>
      </c>
      <c r="P15" s="15">
        <v>-3.0474850000000001E-2</v>
      </c>
      <c r="Q15" s="15">
        <v>-2.8909999999999998E-4</v>
      </c>
      <c r="R15" s="15">
        <v>-8.2356800000000004E-3</v>
      </c>
      <c r="S15" s="15">
        <v>7.94657E-3</v>
      </c>
      <c r="T15" s="14"/>
      <c r="U15" s="15">
        <f t="shared" si="5"/>
        <v>1.3687400000000072E-3</v>
      </c>
      <c r="V15" s="15">
        <f t="shared" si="6"/>
        <v>-2.2749500000000256E-3</v>
      </c>
      <c r="W15" s="15"/>
      <c r="X15" s="15"/>
      <c r="Y15" s="16">
        <f t="shared" si="0"/>
        <v>3.0976770000000001E-2</v>
      </c>
      <c r="Z15" s="16">
        <f t="shared" si="1"/>
        <v>-2.8909999999999998E-4</v>
      </c>
      <c r="AA15" s="16">
        <f t="shared" si="2"/>
        <v>6.1451609999999997E-2</v>
      </c>
      <c r="AB15" s="16">
        <f t="shared" si="3"/>
        <v>-8.2356800000000004E-3</v>
      </c>
      <c r="AC15" s="17">
        <f t="shared" si="7"/>
        <v>1.7751994812776337</v>
      </c>
      <c r="AD15" s="17">
        <f t="shared" si="8"/>
        <v>3.5546768408489702</v>
      </c>
      <c r="AE15" s="17">
        <f t="shared" si="9"/>
        <v>359.46528547160494</v>
      </c>
      <c r="AF15" s="17">
        <f t="shared" si="4"/>
        <v>359.15023543160493</v>
      </c>
    </row>
    <row r="16" spans="1:32" x14ac:dyDescent="0.25">
      <c r="A16" s="14">
        <v>14</v>
      </c>
      <c r="B16" s="14" t="s">
        <v>63</v>
      </c>
      <c r="C16" s="14">
        <v>292.5</v>
      </c>
      <c r="D16" s="14">
        <v>15</v>
      </c>
      <c r="E16" s="15">
        <v>-0.31673669999999998</v>
      </c>
      <c r="F16" s="15">
        <v>-0.31368331999999999</v>
      </c>
      <c r="G16" s="15">
        <v>-3.0533700000000001E-3</v>
      </c>
      <c r="H16" s="15">
        <v>0.47339332000000001</v>
      </c>
      <c r="I16" s="15">
        <v>0.47970328000000001</v>
      </c>
      <c r="J16" s="15">
        <v>-6.3099599999999999E-3</v>
      </c>
      <c r="K16" s="18">
        <v>26.53</v>
      </c>
      <c r="L16" s="18">
        <v>26.52</v>
      </c>
      <c r="M16" s="18">
        <v>0.01</v>
      </c>
      <c r="N16" s="15">
        <v>3.3915359999999999E-2</v>
      </c>
      <c r="O16" s="15">
        <v>5.8839839999999997E-2</v>
      </c>
      <c r="P16" s="15">
        <v>-2.4924479999999999E-2</v>
      </c>
      <c r="Q16" s="15">
        <v>4.92611E-3</v>
      </c>
      <c r="R16" s="15">
        <v>-1.3718910000000001E-2</v>
      </c>
      <c r="S16" s="15">
        <v>1.8645020000000002E-2</v>
      </c>
      <c r="T16" s="14"/>
      <c r="U16" s="15">
        <f t="shared" si="5"/>
        <v>1.5266899999999972E-3</v>
      </c>
      <c r="V16" s="15">
        <f t="shared" si="6"/>
        <v>-3.1549800000000017E-3</v>
      </c>
      <c r="W16" s="15"/>
      <c r="X16" s="15"/>
      <c r="Y16" s="16">
        <f t="shared" si="0"/>
        <v>3.3915359999999999E-2</v>
      </c>
      <c r="Z16" s="16">
        <f t="shared" si="1"/>
        <v>4.92611E-3</v>
      </c>
      <c r="AA16" s="16">
        <f t="shared" si="2"/>
        <v>5.8839839999999997E-2</v>
      </c>
      <c r="AB16" s="16">
        <f t="shared" si="3"/>
        <v>-1.3718910000000001E-2</v>
      </c>
      <c r="AC16" s="17">
        <f t="shared" si="7"/>
        <v>1.9639822554254776</v>
      </c>
      <c r="AD16" s="17">
        <f t="shared" si="8"/>
        <v>3.4638061880603659</v>
      </c>
      <c r="AE16" s="17">
        <f t="shared" si="9"/>
        <v>8.2642568206366498</v>
      </c>
      <c r="AF16" s="17">
        <f t="shared" si="4"/>
        <v>7.9505735006366498</v>
      </c>
    </row>
    <row r="17" spans="1:32" x14ac:dyDescent="0.25">
      <c r="A17" s="14">
        <v>15</v>
      </c>
      <c r="B17" s="14" t="s">
        <v>63</v>
      </c>
      <c r="C17" s="14">
        <v>315</v>
      </c>
      <c r="D17" s="14">
        <v>13</v>
      </c>
      <c r="E17" s="15">
        <v>-0.31783850000000002</v>
      </c>
      <c r="F17" s="15">
        <v>-0.30938460000000001</v>
      </c>
      <c r="G17" s="15">
        <v>-8.4538800000000004E-3</v>
      </c>
      <c r="H17" s="15">
        <v>0.47414610000000001</v>
      </c>
      <c r="I17" s="15">
        <v>0.48240764000000003</v>
      </c>
      <c r="J17" s="15">
        <v>-8.2615299999999996E-3</v>
      </c>
      <c r="K17" s="18">
        <v>26.49</v>
      </c>
      <c r="L17" s="18">
        <v>26.49</v>
      </c>
      <c r="M17" s="18">
        <v>-0.01</v>
      </c>
      <c r="N17" s="15">
        <v>3.9326359999999998E-2</v>
      </c>
      <c r="O17" s="15">
        <v>5.5583880000000002E-2</v>
      </c>
      <c r="P17" s="15">
        <v>-1.6257509999999999E-2</v>
      </c>
      <c r="Q17" s="15">
        <v>8.8589199999999993E-3</v>
      </c>
      <c r="R17" s="15">
        <v>-1.7600660000000001E-2</v>
      </c>
      <c r="S17" s="15">
        <v>2.645958E-2</v>
      </c>
      <c r="T17" s="14"/>
      <c r="U17" s="15">
        <f t="shared" si="5"/>
        <v>4.2269500000000071E-3</v>
      </c>
      <c r="V17" s="15">
        <f t="shared" si="6"/>
        <v>-4.1307700000000058E-3</v>
      </c>
      <c r="W17" s="15"/>
      <c r="X17" s="15"/>
      <c r="Y17" s="16">
        <f t="shared" si="0"/>
        <v>3.9326359999999998E-2</v>
      </c>
      <c r="Z17" s="16">
        <f t="shared" si="1"/>
        <v>8.8589199999999993E-3</v>
      </c>
      <c r="AA17" s="16">
        <f t="shared" si="2"/>
        <v>5.5583880000000002E-2</v>
      </c>
      <c r="AB17" s="16">
        <f t="shared" si="3"/>
        <v>-1.7600660000000001E-2</v>
      </c>
      <c r="AC17" s="17">
        <f t="shared" si="7"/>
        <v>2.3103233262474507</v>
      </c>
      <c r="AD17" s="17">
        <f t="shared" si="8"/>
        <v>3.3424659717404848</v>
      </c>
      <c r="AE17" s="17">
        <f t="shared" si="9"/>
        <v>12.694928046247895</v>
      </c>
      <c r="AF17" s="17">
        <f t="shared" si="4"/>
        <v>12.385543446247896</v>
      </c>
    </row>
    <row r="18" spans="1:32" x14ac:dyDescent="0.25">
      <c r="A18" s="14">
        <v>16</v>
      </c>
      <c r="B18" s="14" t="s">
        <v>63</v>
      </c>
      <c r="C18" s="14">
        <v>337.5</v>
      </c>
      <c r="D18" s="14">
        <v>12</v>
      </c>
      <c r="E18" s="15">
        <v>-0.31970004000000002</v>
      </c>
      <c r="F18" s="15">
        <v>-0.31311664</v>
      </c>
      <c r="G18" s="15">
        <v>-6.5833899999999997E-3</v>
      </c>
      <c r="H18" s="15">
        <v>0.47832084000000002</v>
      </c>
      <c r="I18" s="15">
        <v>0.48157075999999999</v>
      </c>
      <c r="J18" s="15">
        <v>-3.24991E-3</v>
      </c>
      <c r="K18" s="18">
        <v>26.5</v>
      </c>
      <c r="L18" s="18">
        <v>26.5</v>
      </c>
      <c r="M18" s="18">
        <v>0</v>
      </c>
      <c r="N18" s="15">
        <v>4.458964E-2</v>
      </c>
      <c r="O18" s="15">
        <v>4.9391079999999997E-2</v>
      </c>
      <c r="P18" s="15">
        <v>-4.8014399999999997E-3</v>
      </c>
      <c r="Q18" s="15">
        <v>1.079773E-2</v>
      </c>
      <c r="R18" s="15">
        <v>-1.9432580000000001E-2</v>
      </c>
      <c r="S18" s="15">
        <v>3.023031E-2</v>
      </c>
      <c r="T18" s="14"/>
      <c r="U18" s="15">
        <f t="shared" si="5"/>
        <v>3.2917000000000085E-3</v>
      </c>
      <c r="V18" s="15">
        <f t="shared" si="6"/>
        <v>-1.6249599999999809E-3</v>
      </c>
      <c r="W18" s="15"/>
      <c r="X18" s="15"/>
      <c r="Y18" s="16">
        <f t="shared" si="0"/>
        <v>4.458964E-2</v>
      </c>
      <c r="Z18" s="16">
        <f t="shared" si="1"/>
        <v>1.079773E-2</v>
      </c>
      <c r="AA18" s="16">
        <f t="shared" si="2"/>
        <v>4.9391079999999997E-2</v>
      </c>
      <c r="AB18" s="16">
        <f t="shared" si="3"/>
        <v>-1.9432580000000001E-2</v>
      </c>
      <c r="AC18" s="17">
        <f t="shared" si="7"/>
        <v>2.6295613175181041</v>
      </c>
      <c r="AD18" s="17">
        <f t="shared" si="8"/>
        <v>3.0424831967581563</v>
      </c>
      <c r="AE18" s="17">
        <f t="shared" si="9"/>
        <v>13.612576392946858</v>
      </c>
      <c r="AF18" s="17">
        <f t="shared" si="4"/>
        <v>13.299459752946857</v>
      </c>
    </row>
    <row r="19" spans="1:32" x14ac:dyDescent="0.25">
      <c r="A19" s="19">
        <v>17</v>
      </c>
      <c r="B19" s="19" t="s">
        <v>64</v>
      </c>
      <c r="C19" s="19">
        <v>0</v>
      </c>
      <c r="D19" s="19">
        <v>14</v>
      </c>
      <c r="E19" s="20">
        <v>-0.31381424000000002</v>
      </c>
      <c r="F19" s="20">
        <v>-0.31217857999999998</v>
      </c>
      <c r="G19" s="20">
        <v>-1.6356700000000001E-3</v>
      </c>
      <c r="H19" s="20">
        <v>0.4826607</v>
      </c>
      <c r="I19" s="20">
        <v>0.48017855999999998</v>
      </c>
      <c r="J19" s="20">
        <v>2.4821499999999998E-3</v>
      </c>
      <c r="K19" s="21">
        <v>26.47</v>
      </c>
      <c r="L19" s="21">
        <v>26.48</v>
      </c>
      <c r="M19" s="21">
        <v>-0.01</v>
      </c>
      <c r="N19" s="20">
        <v>5.0739920000000001E-2</v>
      </c>
      <c r="O19" s="20">
        <v>4.470756E-2</v>
      </c>
      <c r="P19" s="20">
        <v>6.0323599999999996E-3</v>
      </c>
      <c r="Q19" s="20">
        <v>1.025792E-2</v>
      </c>
      <c r="R19" s="20">
        <v>-1.906163E-2</v>
      </c>
      <c r="S19" s="20">
        <v>2.9319540000000002E-2</v>
      </c>
      <c r="T19" s="19"/>
      <c r="U19" s="20">
        <f t="shared" si="5"/>
        <v>8.1783000000001937E-4</v>
      </c>
      <c r="V19" s="20">
        <f t="shared" si="6"/>
        <v>1.2410700000000108E-3</v>
      </c>
      <c r="W19" s="20"/>
      <c r="X19" s="20"/>
      <c r="Y19" s="22">
        <f t="shared" si="0"/>
        <v>5.0739920000000001E-2</v>
      </c>
      <c r="Z19" s="22">
        <f t="shared" si="1"/>
        <v>1.025792E-2</v>
      </c>
      <c r="AA19" s="22">
        <f t="shared" si="2"/>
        <v>4.470756E-2</v>
      </c>
      <c r="AB19" s="22">
        <f t="shared" si="3"/>
        <v>-1.906163E-2</v>
      </c>
      <c r="AC19" s="23">
        <f t="shared" ref="AC19:AC34" si="10">IF(Y19="","",DEGREES(ASIN(SQRT(Y19^2+Z19^2))))</f>
        <v>2.9673248807044708</v>
      </c>
      <c r="AD19" s="23">
        <f t="shared" ref="AD19:AD34" si="11">IF(AA19="","",DEGREES(ASIN(SQRT(AA19^2+AB19^2))))</f>
        <v>2.7857617287352987</v>
      </c>
      <c r="AE19" s="23">
        <f t="shared" ref="AE19:AE34" si="12">IF(Y19="","",MOD(DEGREES(ATAN2(Y19,Z19)),360))</f>
        <v>11.429248258455871</v>
      </c>
      <c r="AF19" s="23">
        <f t="shared" si="4"/>
        <v>11.117069678455872</v>
      </c>
    </row>
    <row r="20" spans="1:32" x14ac:dyDescent="0.25">
      <c r="A20" s="14">
        <v>18</v>
      </c>
      <c r="B20" s="14" t="s">
        <v>64</v>
      </c>
      <c r="C20" s="14">
        <v>22.5</v>
      </c>
      <c r="D20" s="14">
        <v>14</v>
      </c>
      <c r="E20" s="15">
        <v>-0.31855716000000001</v>
      </c>
      <c r="F20" s="15">
        <v>-0.31446076000000001</v>
      </c>
      <c r="G20" s="15">
        <v>-4.0964199999999999E-3</v>
      </c>
      <c r="H20" s="15">
        <v>0.47799283999999997</v>
      </c>
      <c r="I20" s="15">
        <v>0.47168211999999998</v>
      </c>
      <c r="J20" s="15">
        <v>6.3106999999999998E-3</v>
      </c>
      <c r="K20" s="18">
        <v>26.58</v>
      </c>
      <c r="L20" s="18">
        <v>26.57</v>
      </c>
      <c r="M20" s="18">
        <v>0.01</v>
      </c>
      <c r="N20" s="15">
        <v>5.6394909999999999E-2</v>
      </c>
      <c r="O20" s="15">
        <v>3.8754009999999998E-2</v>
      </c>
      <c r="P20" s="15">
        <v>1.7640900000000001E-2</v>
      </c>
      <c r="Q20" s="15">
        <v>7.5652200000000001E-3</v>
      </c>
      <c r="R20" s="15">
        <v>-1.6274239999999999E-2</v>
      </c>
      <c r="S20" s="15">
        <v>2.383946E-2</v>
      </c>
      <c r="T20" s="14"/>
      <c r="U20" s="15">
        <f t="shared" si="5"/>
        <v>2.0482E-3</v>
      </c>
      <c r="V20" s="15">
        <f t="shared" si="6"/>
        <v>3.1553599999999959E-3</v>
      </c>
      <c r="W20" s="15"/>
      <c r="X20" s="15"/>
      <c r="Y20" s="16">
        <f t="shared" si="0"/>
        <v>5.6394909999999999E-2</v>
      </c>
      <c r="Z20" s="16">
        <f t="shared" si="1"/>
        <v>7.5652200000000001E-3</v>
      </c>
      <c r="AA20" s="16">
        <f t="shared" si="2"/>
        <v>3.8754009999999998E-2</v>
      </c>
      <c r="AB20" s="16">
        <f t="shared" si="3"/>
        <v>-1.6274239999999999E-2</v>
      </c>
      <c r="AC20" s="17">
        <f t="shared" si="10"/>
        <v>3.2618958436982668</v>
      </c>
      <c r="AD20" s="17">
        <f t="shared" si="11"/>
        <v>2.4089898570193347</v>
      </c>
      <c r="AE20" s="17">
        <f t="shared" si="12"/>
        <v>7.640455809796717</v>
      </c>
      <c r="AF20" s="17">
        <f t="shared" si="4"/>
        <v>7.3259950497967168</v>
      </c>
    </row>
    <row r="21" spans="1:32" x14ac:dyDescent="0.25">
      <c r="A21" s="14">
        <v>19</v>
      </c>
      <c r="B21" s="14" t="s">
        <v>64</v>
      </c>
      <c r="C21" s="14">
        <v>45</v>
      </c>
      <c r="D21" s="14">
        <v>20</v>
      </c>
      <c r="E21" s="15">
        <v>-0.31781004000000002</v>
      </c>
      <c r="F21" s="15">
        <v>-0.31325006</v>
      </c>
      <c r="G21" s="15">
        <v>-4.5599600000000001E-3</v>
      </c>
      <c r="H21" s="15">
        <v>0.4707074</v>
      </c>
      <c r="I21" s="15">
        <v>0.46945490000000001</v>
      </c>
      <c r="J21" s="15">
        <v>1.2524999999999999E-3</v>
      </c>
      <c r="K21" s="18">
        <v>26.59</v>
      </c>
      <c r="L21" s="18">
        <v>26.58</v>
      </c>
      <c r="M21" s="18">
        <v>0.01</v>
      </c>
      <c r="N21" s="15">
        <v>5.9951419999999998E-2</v>
      </c>
      <c r="O21" s="15">
        <v>3.2612670000000003E-2</v>
      </c>
      <c r="P21" s="15">
        <v>2.7338749999999998E-2</v>
      </c>
      <c r="Q21" s="15">
        <v>3.02454E-3</v>
      </c>
      <c r="R21" s="15">
        <v>-1.18689E-2</v>
      </c>
      <c r="S21" s="15">
        <v>1.4893429999999999E-2</v>
      </c>
      <c r="T21" s="14"/>
      <c r="U21" s="15">
        <f t="shared" si="5"/>
        <v>2.2799900000000095E-3</v>
      </c>
      <c r="V21" s="15">
        <f t="shared" si="6"/>
        <v>6.2624999999999487E-4</v>
      </c>
      <c r="W21" s="15"/>
      <c r="X21" s="15"/>
      <c r="Y21" s="16">
        <f t="shared" si="0"/>
        <v>5.9951419999999998E-2</v>
      </c>
      <c r="Z21" s="16">
        <f t="shared" si="1"/>
        <v>3.02454E-3</v>
      </c>
      <c r="AA21" s="16">
        <f t="shared" si="2"/>
        <v>3.2612670000000003E-2</v>
      </c>
      <c r="AB21" s="16">
        <f t="shared" si="3"/>
        <v>-1.18689E-2</v>
      </c>
      <c r="AC21" s="17">
        <f t="shared" si="10"/>
        <v>3.441400735093517</v>
      </c>
      <c r="AD21" s="17">
        <f t="shared" si="11"/>
        <v>1.9888659297950295</v>
      </c>
      <c r="AE21" s="17">
        <f t="shared" si="12"/>
        <v>2.888114738938715</v>
      </c>
      <c r="AF21" s="17">
        <f t="shared" si="4"/>
        <v>2.5748646789387148</v>
      </c>
    </row>
    <row r="22" spans="1:32" x14ac:dyDescent="0.25">
      <c r="A22" s="14">
        <v>20</v>
      </c>
      <c r="B22" s="14" t="s">
        <v>64</v>
      </c>
      <c r="C22" s="14">
        <v>67.5</v>
      </c>
      <c r="D22" s="14">
        <v>26</v>
      </c>
      <c r="E22" s="15">
        <v>-0.31470582000000002</v>
      </c>
      <c r="F22" s="15">
        <v>-0.31224039999999997</v>
      </c>
      <c r="G22" s="15">
        <v>-2.4654299999999998E-3</v>
      </c>
      <c r="H22" s="15">
        <v>0.48212692000000001</v>
      </c>
      <c r="I22" s="15">
        <v>0.47575768000000002</v>
      </c>
      <c r="J22" s="15">
        <v>6.3692599999999999E-3</v>
      </c>
      <c r="K22" s="18">
        <v>26.53</v>
      </c>
      <c r="L22" s="18">
        <v>26.54</v>
      </c>
      <c r="M22" s="18">
        <v>-0.01</v>
      </c>
      <c r="N22" s="15">
        <v>6.204204E-2</v>
      </c>
      <c r="O22" s="15">
        <v>3.1546070000000002E-2</v>
      </c>
      <c r="P22" s="15">
        <v>3.0495970000000001E-2</v>
      </c>
      <c r="Q22" s="15">
        <v>-2.6910900000000001E-3</v>
      </c>
      <c r="R22" s="15">
        <v>-6.1255800000000003E-3</v>
      </c>
      <c r="S22" s="15">
        <v>3.4345000000000001E-3</v>
      </c>
      <c r="T22" s="14"/>
      <c r="U22" s="15">
        <f t="shared" si="5"/>
        <v>1.2327100000000257E-3</v>
      </c>
      <c r="V22" s="15">
        <f t="shared" si="6"/>
        <v>3.1846199999999991E-3</v>
      </c>
      <c r="W22" s="15"/>
      <c r="X22" s="15"/>
      <c r="Y22" s="16">
        <f t="shared" si="0"/>
        <v>6.204204E-2</v>
      </c>
      <c r="Z22" s="16">
        <f t="shared" si="1"/>
        <v>-2.6910900000000001E-3</v>
      </c>
      <c r="AA22" s="16">
        <f t="shared" si="2"/>
        <v>3.1546070000000002E-2</v>
      </c>
      <c r="AB22" s="16">
        <f t="shared" si="3"/>
        <v>-6.1255800000000003E-3</v>
      </c>
      <c r="AC22" s="17">
        <f t="shared" si="10"/>
        <v>3.5603803621416685</v>
      </c>
      <c r="AD22" s="17">
        <f t="shared" si="11"/>
        <v>1.8415338909656245</v>
      </c>
      <c r="AE22" s="17">
        <f t="shared" si="12"/>
        <v>357.51633713046544</v>
      </c>
      <c r="AF22" s="17">
        <f t="shared" si="4"/>
        <v>357.20409673046544</v>
      </c>
    </row>
    <row r="23" spans="1:32" x14ac:dyDescent="0.25">
      <c r="A23" s="14">
        <v>21</v>
      </c>
      <c r="B23" s="14" t="s">
        <v>64</v>
      </c>
      <c r="C23" s="14">
        <v>90</v>
      </c>
      <c r="D23" s="14">
        <v>20</v>
      </c>
      <c r="E23" s="15">
        <v>-0.31305497999999998</v>
      </c>
      <c r="F23" s="15">
        <v>-0.31671004000000003</v>
      </c>
      <c r="G23" s="15">
        <v>3.6550799999999998E-3</v>
      </c>
      <c r="H23" s="15">
        <v>0.48133492</v>
      </c>
      <c r="I23" s="15">
        <v>0.47142995999999998</v>
      </c>
      <c r="J23" s="15">
        <v>9.9049499999999992E-3</v>
      </c>
      <c r="K23" s="18">
        <v>26.53</v>
      </c>
      <c r="L23" s="18">
        <v>26.54</v>
      </c>
      <c r="M23" s="18">
        <v>-0.01</v>
      </c>
      <c r="N23" s="15">
        <v>6.1599370000000001E-2</v>
      </c>
      <c r="O23" s="15">
        <v>3.2561519999999997E-2</v>
      </c>
      <c r="P23" s="15">
        <v>2.9037839999999999E-2</v>
      </c>
      <c r="Q23" s="15">
        <v>-8.5887399999999992E-3</v>
      </c>
      <c r="R23" s="15">
        <v>-2.3376000000000001E-4</v>
      </c>
      <c r="S23" s="15">
        <v>-8.3549799999999997E-3</v>
      </c>
      <c r="T23" s="14"/>
      <c r="U23" s="15">
        <f t="shared" si="5"/>
        <v>-1.8275300000000216E-3</v>
      </c>
      <c r="V23" s="15">
        <f t="shared" si="6"/>
        <v>4.9524800000000091E-3</v>
      </c>
      <c r="W23" s="15"/>
      <c r="X23" s="15"/>
      <c r="Y23" s="16">
        <f t="shared" si="0"/>
        <v>6.1599370000000001E-2</v>
      </c>
      <c r="Z23" s="16">
        <f t="shared" si="1"/>
        <v>-8.5887399999999992E-3</v>
      </c>
      <c r="AA23" s="16">
        <f t="shared" si="2"/>
        <v>3.2561519999999997E-2</v>
      </c>
      <c r="AB23" s="16">
        <f t="shared" si="3"/>
        <v>-2.3376000000000001E-4</v>
      </c>
      <c r="AC23" s="17">
        <f t="shared" si="10"/>
        <v>3.5658266423397547</v>
      </c>
      <c r="AD23" s="17">
        <f t="shared" si="11"/>
        <v>1.8660156033411259</v>
      </c>
      <c r="AE23" s="17">
        <f t="shared" si="12"/>
        <v>352.06247778933823</v>
      </c>
      <c r="AF23" s="17">
        <f t="shared" si="4"/>
        <v>351.74576774933826</v>
      </c>
    </row>
    <row r="24" spans="1:32" x14ac:dyDescent="0.25">
      <c r="A24" s="14">
        <v>22</v>
      </c>
      <c r="B24" s="14" t="s">
        <v>64</v>
      </c>
      <c r="C24" s="14">
        <v>112.5</v>
      </c>
      <c r="D24" s="14">
        <v>21</v>
      </c>
      <c r="E24" s="15">
        <v>-0.31879526000000002</v>
      </c>
      <c r="F24" s="15">
        <v>-0.31882379999999999</v>
      </c>
      <c r="G24" s="15">
        <v>2.8549999999999999E-5</v>
      </c>
      <c r="H24" s="15">
        <v>0.48634519999999998</v>
      </c>
      <c r="I24" s="15">
        <v>0.48118568</v>
      </c>
      <c r="J24" s="15">
        <v>5.1595299999999998E-3</v>
      </c>
      <c r="K24" s="18">
        <v>26.49</v>
      </c>
      <c r="L24" s="18">
        <v>26.49</v>
      </c>
      <c r="M24" s="18">
        <v>0</v>
      </c>
      <c r="N24" s="15">
        <v>5.8725350000000003E-2</v>
      </c>
      <c r="O24" s="15">
        <v>3.4197940000000003E-2</v>
      </c>
      <c r="P24" s="15">
        <v>2.4527400000000001E-2</v>
      </c>
      <c r="Q24" s="15">
        <v>-1.394427E-2</v>
      </c>
      <c r="R24" s="15">
        <v>5.0905600000000001E-3</v>
      </c>
      <c r="S24" s="15">
        <v>-1.9034829999999999E-2</v>
      </c>
      <c r="T24" s="14"/>
      <c r="U24" s="15">
        <f t="shared" si="5"/>
        <v>-1.4269999999982907E-5</v>
      </c>
      <c r="V24" s="15">
        <f t="shared" si="6"/>
        <v>2.5797599999999865E-3</v>
      </c>
      <c r="W24" s="15"/>
      <c r="X24" s="15"/>
      <c r="Y24" s="16">
        <f t="shared" si="0"/>
        <v>5.8725350000000003E-2</v>
      </c>
      <c r="Z24" s="16">
        <f t="shared" si="1"/>
        <v>-1.394427E-2</v>
      </c>
      <c r="AA24" s="16">
        <f t="shared" si="2"/>
        <v>3.4197940000000003E-2</v>
      </c>
      <c r="AB24" s="16">
        <f t="shared" si="3"/>
        <v>5.0905600000000001E-3</v>
      </c>
      <c r="AC24" s="17">
        <f t="shared" si="10"/>
        <v>3.4603719968713489</v>
      </c>
      <c r="AD24" s="17">
        <f t="shared" si="11"/>
        <v>1.9813817866360974</v>
      </c>
      <c r="AE24" s="17">
        <f t="shared" si="12"/>
        <v>346.64255285030123</v>
      </c>
      <c r="AF24" s="17">
        <f t="shared" si="4"/>
        <v>346.32372905030121</v>
      </c>
    </row>
    <row r="25" spans="1:32" x14ac:dyDescent="0.25">
      <c r="A25" s="14">
        <v>23</v>
      </c>
      <c r="B25" s="14" t="s">
        <v>64</v>
      </c>
      <c r="C25" s="14">
        <v>135</v>
      </c>
      <c r="D25" s="14">
        <v>17</v>
      </c>
      <c r="E25" s="15">
        <v>-0.31722943999999997</v>
      </c>
      <c r="F25" s="15">
        <v>-0.31906474000000001</v>
      </c>
      <c r="G25" s="15">
        <v>1.8352900000000001E-3</v>
      </c>
      <c r="H25" s="15">
        <v>0.48357936000000001</v>
      </c>
      <c r="I25" s="15">
        <v>0.48019711999999998</v>
      </c>
      <c r="J25" s="15">
        <v>3.3822399999999999E-3</v>
      </c>
      <c r="K25" s="18">
        <v>26.52</v>
      </c>
      <c r="L25" s="18">
        <v>26.5</v>
      </c>
      <c r="M25" s="18">
        <v>0.02</v>
      </c>
      <c r="N25" s="15">
        <v>5.4520190000000003E-2</v>
      </c>
      <c r="O25" s="15">
        <v>3.9969119999999997E-2</v>
      </c>
      <c r="P25" s="15">
        <v>1.4551069999999999E-2</v>
      </c>
      <c r="Q25" s="15">
        <v>-1.7590330000000001E-2</v>
      </c>
      <c r="R25" s="15">
        <v>9.0185600000000001E-3</v>
      </c>
      <c r="S25" s="15">
        <v>-2.660889E-2</v>
      </c>
      <c r="T25" s="14"/>
      <c r="U25" s="15">
        <f t="shared" si="5"/>
        <v>-9.1765000000001984E-4</v>
      </c>
      <c r="V25" s="15">
        <f t="shared" si="6"/>
        <v>1.6911200000000182E-3</v>
      </c>
      <c r="W25" s="15"/>
      <c r="X25" s="15"/>
      <c r="Y25" s="16">
        <f t="shared" si="0"/>
        <v>5.4520190000000003E-2</v>
      </c>
      <c r="Z25" s="16">
        <f t="shared" si="1"/>
        <v>-1.7590330000000001E-2</v>
      </c>
      <c r="AA25" s="16">
        <f t="shared" si="2"/>
        <v>3.9969119999999997E-2</v>
      </c>
      <c r="AB25" s="16">
        <f t="shared" si="3"/>
        <v>9.0185600000000001E-3</v>
      </c>
      <c r="AC25" s="17">
        <f t="shared" si="10"/>
        <v>3.284136580439895</v>
      </c>
      <c r="AD25" s="17">
        <f t="shared" si="11"/>
        <v>2.3482920746429889</v>
      </c>
      <c r="AE25" s="17">
        <f t="shared" si="12"/>
        <v>342.11828421559267</v>
      </c>
      <c r="AF25" s="17">
        <f t="shared" si="4"/>
        <v>341.79921947559268</v>
      </c>
    </row>
    <row r="26" spans="1:32" x14ac:dyDescent="0.25">
      <c r="A26" s="14">
        <v>24</v>
      </c>
      <c r="B26" s="14" t="s">
        <v>64</v>
      </c>
      <c r="C26" s="14">
        <v>157.5</v>
      </c>
      <c r="D26" s="14">
        <v>20</v>
      </c>
      <c r="E26" s="15">
        <v>-0.31463247999999999</v>
      </c>
      <c r="F26" s="15">
        <v>-0.32169505999999998</v>
      </c>
      <c r="G26" s="15">
        <v>7.0625799999999997E-3</v>
      </c>
      <c r="H26" s="15">
        <v>0.47304750000000001</v>
      </c>
      <c r="I26" s="15">
        <v>0.47351996000000002</v>
      </c>
      <c r="J26" s="15">
        <v>-4.7246000000000001E-4</v>
      </c>
      <c r="K26" s="18">
        <v>26.52</v>
      </c>
      <c r="L26" s="18">
        <v>26.53</v>
      </c>
      <c r="M26" s="18">
        <v>0</v>
      </c>
      <c r="N26" s="15">
        <v>4.8665279999999998E-2</v>
      </c>
      <c r="O26" s="15">
        <v>4.4674440000000003E-2</v>
      </c>
      <c r="P26" s="15">
        <v>3.9908499999999998E-3</v>
      </c>
      <c r="Q26" s="15">
        <v>-1.931714E-2</v>
      </c>
      <c r="R26" s="15">
        <v>1.1045900000000001E-2</v>
      </c>
      <c r="S26" s="15">
        <v>-3.0363040000000001E-2</v>
      </c>
      <c r="T26" s="14"/>
      <c r="U26" s="15">
        <f t="shared" si="5"/>
        <v>-3.5312899999999925E-3</v>
      </c>
      <c r="V26" s="15">
        <f t="shared" si="6"/>
        <v>-2.3623000000000394E-4</v>
      </c>
      <c r="W26" s="15"/>
      <c r="X26" s="15"/>
      <c r="Y26" s="16">
        <f t="shared" si="0"/>
        <v>4.8665279999999998E-2</v>
      </c>
      <c r="Z26" s="16">
        <f t="shared" si="1"/>
        <v>-1.931714E-2</v>
      </c>
      <c r="AA26" s="16">
        <f t="shared" si="2"/>
        <v>4.4674440000000003E-2</v>
      </c>
      <c r="AB26" s="16">
        <f t="shared" si="3"/>
        <v>1.1045900000000001E-2</v>
      </c>
      <c r="AC26" s="17">
        <f t="shared" si="10"/>
        <v>3.0013202019657208</v>
      </c>
      <c r="AD26" s="17">
        <f t="shared" si="11"/>
        <v>2.6376690914941539</v>
      </c>
      <c r="AE26" s="17">
        <f t="shared" si="12"/>
        <v>338.3499493309543</v>
      </c>
      <c r="AF26" s="17">
        <f t="shared" si="4"/>
        <v>338.02825427095428</v>
      </c>
    </row>
    <row r="27" spans="1:32" x14ac:dyDescent="0.25">
      <c r="A27" s="14">
        <v>25</v>
      </c>
      <c r="B27" s="14" t="s">
        <v>64</v>
      </c>
      <c r="C27" s="14">
        <v>180</v>
      </c>
      <c r="D27" s="14">
        <v>19</v>
      </c>
      <c r="E27" s="15">
        <v>-0.31112102000000003</v>
      </c>
      <c r="F27" s="15">
        <v>-0.31850265999999999</v>
      </c>
      <c r="G27" s="15">
        <v>7.38165E-3</v>
      </c>
      <c r="H27" s="15">
        <v>0.47605784000000001</v>
      </c>
      <c r="I27" s="15">
        <v>0.47686832000000001</v>
      </c>
      <c r="J27" s="15">
        <v>-8.1046999999999998E-4</v>
      </c>
      <c r="K27" s="18">
        <v>26.55</v>
      </c>
      <c r="L27" s="18">
        <v>26.54</v>
      </c>
      <c r="M27" s="18">
        <v>0</v>
      </c>
      <c r="N27" s="15">
        <v>4.3847650000000002E-2</v>
      </c>
      <c r="O27" s="15">
        <v>5.0483399999999998E-2</v>
      </c>
      <c r="P27" s="15">
        <v>-6.6357500000000002E-3</v>
      </c>
      <c r="Q27" s="15">
        <v>-1.907445E-2</v>
      </c>
      <c r="R27" s="15">
        <v>1.036865E-2</v>
      </c>
      <c r="S27" s="15">
        <v>-2.94431E-2</v>
      </c>
      <c r="T27" s="14"/>
      <c r="U27" s="15">
        <f t="shared" si="5"/>
        <v>-3.6908199999999836E-3</v>
      </c>
      <c r="V27" s="15">
        <f t="shared" si="6"/>
        <v>-4.0524000000000115E-4</v>
      </c>
      <c r="W27" s="15"/>
      <c r="X27" s="15"/>
      <c r="Y27" s="16">
        <f t="shared" si="0"/>
        <v>4.3847650000000002E-2</v>
      </c>
      <c r="Z27" s="16">
        <f t="shared" si="1"/>
        <v>-1.907445E-2</v>
      </c>
      <c r="AA27" s="16">
        <f t="shared" si="2"/>
        <v>5.0483399999999998E-2</v>
      </c>
      <c r="AB27" s="16">
        <f t="shared" si="3"/>
        <v>1.036865E-2</v>
      </c>
      <c r="AC27" s="17">
        <f t="shared" si="10"/>
        <v>2.7407487490502933</v>
      </c>
      <c r="AD27" s="17">
        <f t="shared" si="11"/>
        <v>2.9541725624253625</v>
      </c>
      <c r="AE27" s="17">
        <f t="shared" si="12"/>
        <v>336.49016618393142</v>
      </c>
      <c r="AF27" s="17">
        <f t="shared" si="4"/>
        <v>336.17166352393144</v>
      </c>
    </row>
    <row r="28" spans="1:32" x14ac:dyDescent="0.25">
      <c r="A28" s="14">
        <v>26</v>
      </c>
      <c r="B28" s="14" t="s">
        <v>64</v>
      </c>
      <c r="C28" s="14">
        <v>202.5</v>
      </c>
      <c r="D28" s="14">
        <v>14</v>
      </c>
      <c r="E28" s="15">
        <v>-0.31475002000000002</v>
      </c>
      <c r="F28" s="15">
        <v>-0.31956069999999998</v>
      </c>
      <c r="G28" s="15">
        <v>4.8106900000000003E-3</v>
      </c>
      <c r="H28" s="15">
        <v>0.47665352</v>
      </c>
      <c r="I28" s="15">
        <v>0.48185356000000001</v>
      </c>
      <c r="J28" s="15">
        <v>-5.2000600000000003E-3</v>
      </c>
      <c r="K28" s="18">
        <v>26.49</v>
      </c>
      <c r="L28" s="18">
        <v>26.5</v>
      </c>
      <c r="M28" s="18">
        <v>0</v>
      </c>
      <c r="N28" s="15">
        <v>3.7252899999999999E-2</v>
      </c>
      <c r="O28" s="15">
        <v>5.6135600000000001E-2</v>
      </c>
      <c r="P28" s="15">
        <v>-1.888271E-2</v>
      </c>
      <c r="Q28" s="15">
        <v>-1.626151E-2</v>
      </c>
      <c r="R28" s="15">
        <v>7.7795399999999997E-3</v>
      </c>
      <c r="S28" s="15">
        <v>-2.4041050000000001E-2</v>
      </c>
      <c r="T28" s="14"/>
      <c r="U28" s="15">
        <f t="shared" si="5"/>
        <v>-2.4053399999999781E-3</v>
      </c>
      <c r="V28" s="15">
        <f t="shared" si="6"/>
        <v>-2.6000200000000084E-3</v>
      </c>
      <c r="W28" s="15"/>
      <c r="X28" s="15"/>
      <c r="Y28" s="16">
        <f t="shared" si="0"/>
        <v>3.7252899999999999E-2</v>
      </c>
      <c r="Z28" s="16">
        <f t="shared" si="1"/>
        <v>-1.626151E-2</v>
      </c>
      <c r="AA28" s="16">
        <f t="shared" si="2"/>
        <v>5.6135600000000001E-2</v>
      </c>
      <c r="AB28" s="16">
        <f t="shared" si="3"/>
        <v>7.7795399999999997E-3</v>
      </c>
      <c r="AC28" s="17">
        <f t="shared" si="10"/>
        <v>2.3295691775782514</v>
      </c>
      <c r="AD28" s="17">
        <f t="shared" si="11"/>
        <v>3.248812736410533</v>
      </c>
      <c r="AE28" s="17">
        <f t="shared" si="12"/>
        <v>336.41793094674932</v>
      </c>
      <c r="AF28" s="17">
        <f t="shared" si="4"/>
        <v>336.09837024674931</v>
      </c>
    </row>
    <row r="29" spans="1:32" x14ac:dyDescent="0.25">
      <c r="A29" s="14">
        <v>27</v>
      </c>
      <c r="B29" s="14" t="s">
        <v>64</v>
      </c>
      <c r="C29" s="14">
        <v>225</v>
      </c>
      <c r="D29" s="14">
        <v>13</v>
      </c>
      <c r="E29" s="15">
        <v>-0.31640002</v>
      </c>
      <c r="F29" s="15">
        <v>-0.31933080000000003</v>
      </c>
      <c r="G29" s="15">
        <v>2.93079E-3</v>
      </c>
      <c r="H29" s="15">
        <v>0.47093459999999998</v>
      </c>
      <c r="I29" s="15">
        <v>0.47734991999999998</v>
      </c>
      <c r="J29" s="15">
        <v>-6.4153400000000003E-3</v>
      </c>
      <c r="K29" s="18">
        <v>26.5</v>
      </c>
      <c r="L29" s="18">
        <v>26.51</v>
      </c>
      <c r="M29" s="18">
        <v>-0.01</v>
      </c>
      <c r="N29" s="15">
        <v>3.2811189999999997E-2</v>
      </c>
      <c r="O29" s="15">
        <v>6.0278320000000003E-2</v>
      </c>
      <c r="P29" s="15">
        <v>-2.7467129999999999E-2</v>
      </c>
      <c r="Q29" s="15">
        <v>-1.17334E-2</v>
      </c>
      <c r="R29" s="15">
        <v>3.34623E-3</v>
      </c>
      <c r="S29" s="15">
        <v>-1.507963E-2</v>
      </c>
      <c r="T29" s="14"/>
      <c r="U29" s="15">
        <f t="shared" si="5"/>
        <v>-1.4653900000000109E-3</v>
      </c>
      <c r="V29" s="15">
        <f t="shared" si="6"/>
        <v>-3.2076600000000011E-3</v>
      </c>
      <c r="W29" s="15"/>
      <c r="X29" s="15"/>
      <c r="Y29" s="16">
        <f t="shared" si="0"/>
        <v>3.2811189999999997E-2</v>
      </c>
      <c r="Z29" s="16">
        <f t="shared" si="1"/>
        <v>-1.17334E-2</v>
      </c>
      <c r="AA29" s="16">
        <f t="shared" si="2"/>
        <v>6.0278320000000003E-2</v>
      </c>
      <c r="AB29" s="16">
        <f t="shared" si="3"/>
        <v>3.34623E-3</v>
      </c>
      <c r="AC29" s="17">
        <f t="shared" si="10"/>
        <v>1.996935589528166</v>
      </c>
      <c r="AD29" s="17">
        <f t="shared" si="11"/>
        <v>3.461115463181121</v>
      </c>
      <c r="AE29" s="17">
        <f t="shared" si="12"/>
        <v>340.32276648790906</v>
      </c>
      <c r="AF29" s="17">
        <f t="shared" si="4"/>
        <v>340.00343568790908</v>
      </c>
    </row>
    <row r="30" spans="1:32" x14ac:dyDescent="0.25">
      <c r="A30" s="14">
        <v>28</v>
      </c>
      <c r="B30" s="14" t="s">
        <v>64</v>
      </c>
      <c r="C30" s="14">
        <v>247.5</v>
      </c>
      <c r="D30" s="14">
        <v>16</v>
      </c>
      <c r="E30" s="15">
        <v>-0.31465004000000002</v>
      </c>
      <c r="F30" s="15">
        <v>-0.31553754000000001</v>
      </c>
      <c r="G30" s="15">
        <v>8.8750999999999999E-4</v>
      </c>
      <c r="H30" s="15">
        <v>0.46756871999999999</v>
      </c>
      <c r="I30" s="15">
        <v>0.47406870000000001</v>
      </c>
      <c r="J30" s="15">
        <v>-6.4999799999999998E-3</v>
      </c>
      <c r="K30" s="18">
        <v>26.54</v>
      </c>
      <c r="L30" s="18">
        <v>26.54</v>
      </c>
      <c r="M30" s="18">
        <v>0</v>
      </c>
      <c r="N30" s="15">
        <v>3.0985410000000001E-2</v>
      </c>
      <c r="O30" s="15">
        <v>6.2017660000000002E-2</v>
      </c>
      <c r="P30" s="15">
        <v>-3.1032250000000001E-2</v>
      </c>
      <c r="Q30" s="15">
        <v>-6.0936000000000002E-3</v>
      </c>
      <c r="R30" s="15">
        <v>-2.2651699999999999E-3</v>
      </c>
      <c r="S30" s="15">
        <v>-3.8284299999999999E-3</v>
      </c>
      <c r="T30" s="14"/>
      <c r="U30" s="15">
        <f t="shared" si="5"/>
        <v>-4.4374999999999276E-4</v>
      </c>
      <c r="V30" s="15">
        <f t="shared" si="6"/>
        <v>-3.2499900000000082E-3</v>
      </c>
      <c r="W30" s="15"/>
      <c r="X30" s="15"/>
      <c r="Y30" s="16">
        <f t="shared" si="0"/>
        <v>3.0985410000000001E-2</v>
      </c>
      <c r="Z30" s="16">
        <f t="shared" si="1"/>
        <v>-6.0936000000000002E-3</v>
      </c>
      <c r="AA30" s="16">
        <f t="shared" si="2"/>
        <v>6.2017660000000002E-2</v>
      </c>
      <c r="AB30" s="16">
        <f t="shared" si="3"/>
        <v>-2.2651699999999999E-3</v>
      </c>
      <c r="AC30" s="17">
        <f t="shared" si="10"/>
        <v>1.8096391536009762</v>
      </c>
      <c r="AD30" s="17">
        <f t="shared" si="11"/>
        <v>3.5580058841723434</v>
      </c>
      <c r="AE30" s="17">
        <f t="shared" si="12"/>
        <v>348.87417625517088</v>
      </c>
      <c r="AF30" s="17">
        <f t="shared" si="4"/>
        <v>348.5586387151709</v>
      </c>
    </row>
    <row r="31" spans="1:32" x14ac:dyDescent="0.25">
      <c r="A31" s="14">
        <v>29</v>
      </c>
      <c r="B31" s="14" t="s">
        <v>64</v>
      </c>
      <c r="C31" s="14">
        <v>270</v>
      </c>
      <c r="D31" s="14">
        <v>13</v>
      </c>
      <c r="E31" s="15">
        <v>-0.31701156000000003</v>
      </c>
      <c r="F31" s="15">
        <v>-0.31748075999999997</v>
      </c>
      <c r="G31" s="15">
        <v>4.6921000000000002E-4</v>
      </c>
      <c r="H31" s="15">
        <v>0.46806150000000002</v>
      </c>
      <c r="I31" s="15">
        <v>0.47313070000000002</v>
      </c>
      <c r="J31" s="15">
        <v>-5.0692000000000003E-3</v>
      </c>
      <c r="K31" s="18">
        <v>26.53</v>
      </c>
      <c r="L31" s="18">
        <v>26.53</v>
      </c>
      <c r="M31" s="18">
        <v>0</v>
      </c>
      <c r="N31" s="15">
        <v>3.1713680000000001E-2</v>
      </c>
      <c r="O31" s="15">
        <v>6.1670669999999997E-2</v>
      </c>
      <c r="P31" s="15">
        <v>-2.9956989999999999E-2</v>
      </c>
      <c r="Q31" s="15">
        <v>-1.5474999999999999E-4</v>
      </c>
      <c r="R31" s="15">
        <v>-8.1800199999999997E-3</v>
      </c>
      <c r="S31" s="15">
        <v>8.0252799999999992E-3</v>
      </c>
      <c r="T31" s="14"/>
      <c r="U31" s="15">
        <f t="shared" si="5"/>
        <v>-2.3459999999997372E-4</v>
      </c>
      <c r="V31" s="15">
        <f t="shared" si="6"/>
        <v>-2.534599999999998E-3</v>
      </c>
      <c r="W31" s="15"/>
      <c r="X31" s="15"/>
      <c r="Y31" s="16">
        <f t="shared" si="0"/>
        <v>3.1713680000000001E-2</v>
      </c>
      <c r="Z31" s="16">
        <f t="shared" si="1"/>
        <v>-1.5474999999999999E-4</v>
      </c>
      <c r="AA31" s="16">
        <f t="shared" si="2"/>
        <v>6.1670669999999997E-2</v>
      </c>
      <c r="AB31" s="16">
        <f t="shared" si="3"/>
        <v>-8.1800199999999997E-3</v>
      </c>
      <c r="AC31" s="17">
        <f t="shared" si="10"/>
        <v>1.817386385008632</v>
      </c>
      <c r="AD31" s="17">
        <f t="shared" si="11"/>
        <v>3.5667197412744778</v>
      </c>
      <c r="AE31" s="17">
        <f t="shared" si="12"/>
        <v>359.72042186499243</v>
      </c>
      <c r="AF31" s="17">
        <f t="shared" si="4"/>
        <v>359.40294110499241</v>
      </c>
    </row>
    <row r="32" spans="1:32" x14ac:dyDescent="0.25">
      <c r="A32" s="14">
        <v>30</v>
      </c>
      <c r="B32" s="14" t="s">
        <v>64</v>
      </c>
      <c r="C32" s="14">
        <v>292.5</v>
      </c>
      <c r="D32" s="14">
        <v>11</v>
      </c>
      <c r="E32" s="15">
        <v>-0.31730002000000002</v>
      </c>
      <c r="F32" s="15">
        <v>-0.31592727999999998</v>
      </c>
      <c r="G32" s="15">
        <v>-1.3727500000000001E-3</v>
      </c>
      <c r="H32" s="15">
        <v>0.46747724000000002</v>
      </c>
      <c r="I32" s="15">
        <v>0.47375</v>
      </c>
      <c r="J32" s="15">
        <v>-6.2727900000000003E-3</v>
      </c>
      <c r="K32" s="18">
        <v>26.56</v>
      </c>
      <c r="L32" s="18">
        <v>26.56</v>
      </c>
      <c r="M32" s="18">
        <v>0</v>
      </c>
      <c r="N32" s="15">
        <v>3.4483979999999997E-2</v>
      </c>
      <c r="O32" s="15">
        <v>5.896129E-2</v>
      </c>
      <c r="P32" s="15">
        <v>-2.4477309999999999E-2</v>
      </c>
      <c r="Q32" s="15">
        <v>5.0541600000000002E-3</v>
      </c>
      <c r="R32" s="15">
        <v>-1.353582E-2</v>
      </c>
      <c r="S32" s="15">
        <v>1.8589979999999999E-2</v>
      </c>
      <c r="T32" s="14"/>
      <c r="U32" s="15">
        <f t="shared" si="5"/>
        <v>6.8637000000001946E-4</v>
      </c>
      <c r="V32" s="15">
        <f t="shared" si="6"/>
        <v>-3.1363799999999942E-3</v>
      </c>
      <c r="W32" s="15"/>
      <c r="X32" s="15"/>
      <c r="Y32" s="16">
        <f t="shared" si="0"/>
        <v>3.4483979999999997E-2</v>
      </c>
      <c r="Z32" s="16">
        <f t="shared" si="1"/>
        <v>5.0541600000000002E-3</v>
      </c>
      <c r="AA32" s="16">
        <f t="shared" si="2"/>
        <v>5.896129E-2</v>
      </c>
      <c r="AB32" s="16">
        <f t="shared" si="3"/>
        <v>-1.353582E-2</v>
      </c>
      <c r="AC32" s="17">
        <f t="shared" si="10"/>
        <v>1.9972996060198311</v>
      </c>
      <c r="AD32" s="17">
        <f t="shared" si="11"/>
        <v>3.4682291680683486</v>
      </c>
      <c r="AE32" s="17">
        <f t="shared" si="12"/>
        <v>8.3382142602510889</v>
      </c>
      <c r="AF32" s="17">
        <f t="shared" si="4"/>
        <v>8.0222869802510886</v>
      </c>
    </row>
    <row r="33" spans="1:32" x14ac:dyDescent="0.25">
      <c r="A33" s="14">
        <v>31</v>
      </c>
      <c r="B33" s="14" t="s">
        <v>64</v>
      </c>
      <c r="C33" s="14">
        <v>315</v>
      </c>
      <c r="D33" s="14">
        <v>13</v>
      </c>
      <c r="E33" s="15">
        <v>-0.32327696</v>
      </c>
      <c r="F33" s="15">
        <v>-0.31564231999999998</v>
      </c>
      <c r="G33" s="15">
        <v>-7.6346399999999998E-3</v>
      </c>
      <c r="H33" s="15">
        <v>0.47239991999999997</v>
      </c>
      <c r="I33" s="15">
        <v>0.47655767999999998</v>
      </c>
      <c r="J33" s="15">
        <v>-4.15775E-3</v>
      </c>
      <c r="K33" s="18">
        <v>26.53</v>
      </c>
      <c r="L33" s="18">
        <v>26.52</v>
      </c>
      <c r="M33" s="18">
        <v>0.01</v>
      </c>
      <c r="N33" s="15">
        <v>3.8684080000000003E-2</v>
      </c>
      <c r="O33" s="15">
        <v>5.5776180000000002E-2</v>
      </c>
      <c r="P33" s="15">
        <v>-1.7092090000000001E-2</v>
      </c>
      <c r="Q33" s="15">
        <v>8.9533900000000003E-3</v>
      </c>
      <c r="R33" s="15">
        <v>-1.7483660000000002E-2</v>
      </c>
      <c r="S33" s="15">
        <v>2.643705E-2</v>
      </c>
      <c r="T33" s="14"/>
      <c r="U33" s="15">
        <f t="shared" si="5"/>
        <v>3.8173200000000129E-3</v>
      </c>
      <c r="V33" s="15">
        <f t="shared" si="6"/>
        <v>-2.0788800000000052E-3</v>
      </c>
      <c r="W33" s="15"/>
      <c r="X33" s="15"/>
      <c r="Y33" s="16">
        <f t="shared" si="0"/>
        <v>3.8684080000000003E-2</v>
      </c>
      <c r="Z33" s="16">
        <f t="shared" si="1"/>
        <v>8.9533900000000003E-3</v>
      </c>
      <c r="AA33" s="16">
        <f t="shared" si="2"/>
        <v>5.5776180000000002E-2</v>
      </c>
      <c r="AB33" s="16">
        <f t="shared" si="3"/>
        <v>-1.7483660000000002E-2</v>
      </c>
      <c r="AC33" s="17">
        <f t="shared" si="10"/>
        <v>2.2756239941365499</v>
      </c>
      <c r="AD33" s="17">
        <f t="shared" si="11"/>
        <v>3.3509748638807131</v>
      </c>
      <c r="AE33" s="17">
        <f t="shared" si="12"/>
        <v>13.031587617619923</v>
      </c>
      <c r="AF33" s="17">
        <f t="shared" si="4"/>
        <v>12.715945297619923</v>
      </c>
    </row>
    <row r="34" spans="1:32" x14ac:dyDescent="0.25">
      <c r="A34" s="14">
        <v>32</v>
      </c>
      <c r="B34" s="14" t="s">
        <v>64</v>
      </c>
      <c r="C34" s="14">
        <v>337.5</v>
      </c>
      <c r="D34" s="14">
        <v>16</v>
      </c>
      <c r="E34" s="15">
        <v>-0.31688124000000001</v>
      </c>
      <c r="F34" s="15">
        <v>-0.30967499999999998</v>
      </c>
      <c r="G34" s="15">
        <v>-7.2062300000000001E-3</v>
      </c>
      <c r="H34" s="15">
        <v>0.47726871999999998</v>
      </c>
      <c r="I34" s="15">
        <v>0.47756556</v>
      </c>
      <c r="J34" s="15">
        <v>-2.9682999999999999E-4</v>
      </c>
      <c r="K34" s="18">
        <v>26.52</v>
      </c>
      <c r="L34" s="18">
        <v>26.52</v>
      </c>
      <c r="M34" s="18">
        <v>0</v>
      </c>
      <c r="N34" s="15">
        <v>4.4767599999999998E-2</v>
      </c>
      <c r="O34" s="15">
        <v>5.0345760000000003E-2</v>
      </c>
      <c r="P34" s="15">
        <v>-5.5781499999999996E-3</v>
      </c>
      <c r="Q34" s="15">
        <v>1.077057E-2</v>
      </c>
      <c r="R34" s="15">
        <v>-1.9544829999999999E-2</v>
      </c>
      <c r="S34" s="15">
        <v>3.0315399999999999E-2</v>
      </c>
      <c r="T34" s="14"/>
      <c r="U34" s="15">
        <f t="shared" si="5"/>
        <v>3.6031200000000152E-3</v>
      </c>
      <c r="V34" s="15">
        <f t="shared" si="6"/>
        <v>-1.4842000000001021E-4</v>
      </c>
      <c r="W34" s="15"/>
      <c r="X34" s="15"/>
      <c r="Y34" s="16">
        <f t="shared" si="0"/>
        <v>4.4767599999999998E-2</v>
      </c>
      <c r="Z34" s="16">
        <f t="shared" si="1"/>
        <v>1.077057E-2</v>
      </c>
      <c r="AA34" s="16">
        <f t="shared" si="2"/>
        <v>5.0345760000000003E-2</v>
      </c>
      <c r="AB34" s="16">
        <f t="shared" si="3"/>
        <v>-1.9544829999999999E-2</v>
      </c>
      <c r="AC34" s="17">
        <f t="shared" si="10"/>
        <v>2.6391180033381318</v>
      </c>
      <c r="AD34" s="17">
        <f t="shared" si="11"/>
        <v>3.0958474603515205</v>
      </c>
      <c r="AE34" s="17">
        <f t="shared" si="12"/>
        <v>13.527611497957995</v>
      </c>
      <c r="AF34" s="17">
        <f t="shared" si="4"/>
        <v>13.217936497957995</v>
      </c>
    </row>
    <row r="37" spans="1:32" x14ac:dyDescent="0.25">
      <c r="A37">
        <v>1</v>
      </c>
      <c r="C37">
        <v>0</v>
      </c>
      <c r="U37">
        <f>(U3+U19)/2</f>
        <v>8.7854500000000835E-4</v>
      </c>
      <c r="V37">
        <f>(V3+V19)/2</f>
        <v>7.8602000000001226E-4</v>
      </c>
      <c r="AC37">
        <f>(AC3+AC19)/2</f>
        <v>2.9516565670429387</v>
      </c>
      <c r="AD37">
        <f>(AD3+AD19)/2</f>
        <v>2.7271709371441162</v>
      </c>
    </row>
    <row r="38" spans="1:32" x14ac:dyDescent="0.25">
      <c r="A38">
        <v>2</v>
      </c>
      <c r="C38">
        <v>22.5</v>
      </c>
      <c r="U38">
        <f t="shared" ref="U38:V52" si="13">(U4+U20)/2</f>
        <v>1.1091099999999965E-3</v>
      </c>
      <c r="V38">
        <f t="shared" si="13"/>
        <v>2.4639299999999892E-3</v>
      </c>
      <c r="AC38">
        <f t="shared" ref="AC38:AD52" si="14">(AC4+AC20)/2</f>
        <v>3.2451962074999221</v>
      </c>
      <c r="AD38">
        <f t="shared" si="14"/>
        <v>2.3723633209698685</v>
      </c>
    </row>
    <row r="39" spans="1:32" x14ac:dyDescent="0.25">
      <c r="A39">
        <v>3</v>
      </c>
      <c r="C39">
        <v>45</v>
      </c>
      <c r="U39">
        <f t="shared" si="13"/>
        <v>2.4451950000000111E-3</v>
      </c>
      <c r="V39">
        <f t="shared" si="13"/>
        <v>3.3290499999999446E-4</v>
      </c>
      <c r="AC39">
        <f t="shared" si="14"/>
        <v>3.4342968618214185</v>
      </c>
      <c r="AD39">
        <f t="shared" si="14"/>
        <v>2.0104371601293396</v>
      </c>
    </row>
    <row r="40" spans="1:32" x14ac:dyDescent="0.25">
      <c r="A40">
        <v>4</v>
      </c>
      <c r="C40">
        <v>67.5</v>
      </c>
      <c r="U40">
        <f t="shared" si="13"/>
        <v>-2.7884999999998328E-4</v>
      </c>
      <c r="V40">
        <f t="shared" si="13"/>
        <v>3.1567249999999991E-3</v>
      </c>
      <c r="AC40">
        <f t="shared" si="14"/>
        <v>3.5458851427029803</v>
      </c>
      <c r="AD40">
        <f t="shared" si="14"/>
        <v>1.8478907188557216</v>
      </c>
    </row>
    <row r="41" spans="1:32" x14ac:dyDescent="0.25">
      <c r="A41">
        <v>5</v>
      </c>
      <c r="C41">
        <v>90</v>
      </c>
      <c r="U41">
        <f t="shared" si="13"/>
        <v>-1.5330850000000035E-3</v>
      </c>
      <c r="V41">
        <f t="shared" si="13"/>
        <v>4.2410100000000034E-3</v>
      </c>
      <c r="AC41">
        <f t="shared" si="14"/>
        <v>3.5187226811140953</v>
      </c>
      <c r="AD41">
        <f t="shared" si="14"/>
        <v>1.8408589463859526</v>
      </c>
    </row>
    <row r="42" spans="1:32" x14ac:dyDescent="0.25">
      <c r="A42">
        <v>6</v>
      </c>
      <c r="C42">
        <v>112.5</v>
      </c>
      <c r="U42">
        <f t="shared" si="13"/>
        <v>-1.1613199999999935E-3</v>
      </c>
      <c r="V42">
        <f t="shared" si="13"/>
        <v>2.1515699999999915E-3</v>
      </c>
      <c r="AC42">
        <f t="shared" si="14"/>
        <v>3.4450359220272344</v>
      </c>
      <c r="AD42">
        <f t="shared" si="14"/>
        <v>1.9813597148584146</v>
      </c>
    </row>
    <row r="43" spans="1:32" x14ac:dyDescent="0.25">
      <c r="A43">
        <v>7</v>
      </c>
      <c r="C43">
        <v>135</v>
      </c>
      <c r="U43">
        <f t="shared" si="13"/>
        <v>-1.1050950000000143E-3</v>
      </c>
      <c r="V43">
        <f t="shared" si="13"/>
        <v>2.088050000000008E-3</v>
      </c>
      <c r="AC43">
        <f t="shared" si="14"/>
        <v>3.2483522322984859</v>
      </c>
      <c r="AD43">
        <f t="shared" si="14"/>
        <v>2.331227041460199</v>
      </c>
    </row>
    <row r="44" spans="1:32" x14ac:dyDescent="0.25">
      <c r="A44">
        <v>8</v>
      </c>
      <c r="C44">
        <v>157.5</v>
      </c>
      <c r="U44">
        <f t="shared" si="13"/>
        <v>-3.4359799999999913E-3</v>
      </c>
      <c r="V44">
        <f t="shared" si="13"/>
        <v>1.0784999999999267E-5</v>
      </c>
      <c r="AC44">
        <f t="shared" si="14"/>
        <v>2.9878398963390649</v>
      </c>
      <c r="AD44">
        <f t="shared" si="14"/>
        <v>2.6373591727868519</v>
      </c>
    </row>
    <row r="45" spans="1:32" x14ac:dyDescent="0.25">
      <c r="A45">
        <v>9</v>
      </c>
      <c r="C45">
        <v>180</v>
      </c>
      <c r="U45">
        <f t="shared" si="13"/>
        <v>-2.3079099999999964E-3</v>
      </c>
      <c r="V45">
        <f t="shared" si="13"/>
        <v>-2.6624000000000092E-4</v>
      </c>
      <c r="AC45">
        <f t="shared" si="14"/>
        <v>2.6789062918203088</v>
      </c>
      <c r="AD45">
        <f t="shared" si="14"/>
        <v>2.9726533767854937</v>
      </c>
    </row>
    <row r="46" spans="1:32" x14ac:dyDescent="0.25">
      <c r="A46">
        <v>10</v>
      </c>
      <c r="C46">
        <v>202.5</v>
      </c>
      <c r="U46">
        <f t="shared" si="13"/>
        <v>-2.7757449999999823E-3</v>
      </c>
      <c r="V46">
        <f t="shared" si="13"/>
        <v>-2.7442300000000003E-3</v>
      </c>
      <c r="AC46">
        <f t="shared" si="14"/>
        <v>2.3366505099131056</v>
      </c>
      <c r="AD46">
        <f t="shared" si="14"/>
        <v>3.2579349386744969</v>
      </c>
    </row>
    <row r="47" spans="1:32" x14ac:dyDescent="0.25">
      <c r="A47">
        <v>11</v>
      </c>
      <c r="C47">
        <v>225</v>
      </c>
      <c r="U47">
        <f t="shared" si="13"/>
        <v>-1.7156600000000077E-3</v>
      </c>
      <c r="V47">
        <f t="shared" si="13"/>
        <v>-3.6720100000000033E-3</v>
      </c>
      <c r="AC47">
        <f t="shared" si="14"/>
        <v>2.0006400729300546</v>
      </c>
      <c r="AD47">
        <f t="shared" si="14"/>
        <v>3.4640648974062485</v>
      </c>
    </row>
    <row r="48" spans="1:32" x14ac:dyDescent="0.25">
      <c r="A48">
        <v>12</v>
      </c>
      <c r="C48">
        <v>247.5</v>
      </c>
      <c r="U48">
        <f t="shared" si="13"/>
        <v>-3.3280999999998895E-4</v>
      </c>
      <c r="V48">
        <f t="shared" si="13"/>
        <v>-3.895325000000005E-3</v>
      </c>
      <c r="AC48">
        <f t="shared" si="14"/>
        <v>1.8196421735995012</v>
      </c>
      <c r="AD48">
        <f t="shared" si="14"/>
        <v>3.561408697490787</v>
      </c>
    </row>
    <row r="49" spans="1:30" x14ac:dyDescent="0.25">
      <c r="A49">
        <v>13</v>
      </c>
      <c r="C49">
        <v>270</v>
      </c>
      <c r="U49">
        <f t="shared" si="13"/>
        <v>5.6707000000001673E-4</v>
      </c>
      <c r="V49">
        <f t="shared" si="13"/>
        <v>-2.4047750000000118E-3</v>
      </c>
      <c r="AC49">
        <f t="shared" si="14"/>
        <v>1.7962929331431328</v>
      </c>
      <c r="AD49">
        <f t="shared" si="14"/>
        <v>3.560698291061724</v>
      </c>
    </row>
    <row r="50" spans="1:30" x14ac:dyDescent="0.25">
      <c r="A50">
        <v>14</v>
      </c>
      <c r="C50">
        <v>292.5</v>
      </c>
      <c r="U50">
        <f t="shared" si="13"/>
        <v>1.1065300000000083E-3</v>
      </c>
      <c r="V50">
        <f t="shared" si="13"/>
        <v>-3.1456799999999979E-3</v>
      </c>
      <c r="AC50">
        <f t="shared" si="14"/>
        <v>1.9806409307226542</v>
      </c>
      <c r="AD50">
        <f t="shared" si="14"/>
        <v>3.4660176780643575</v>
      </c>
    </row>
    <row r="51" spans="1:30" x14ac:dyDescent="0.25">
      <c r="A51">
        <v>15</v>
      </c>
      <c r="C51">
        <v>315</v>
      </c>
      <c r="U51">
        <f t="shared" si="13"/>
        <v>4.02213500000001E-3</v>
      </c>
      <c r="V51">
        <f t="shared" si="13"/>
        <v>-3.1048250000000055E-3</v>
      </c>
      <c r="AC51">
        <f t="shared" si="14"/>
        <v>2.2929736601920006</v>
      </c>
      <c r="AD51">
        <f t="shared" si="14"/>
        <v>3.3467204178105989</v>
      </c>
    </row>
    <row r="52" spans="1:30" x14ac:dyDescent="0.25">
      <c r="A52">
        <v>16</v>
      </c>
      <c r="C52">
        <v>337.5</v>
      </c>
      <c r="U52">
        <f t="shared" si="13"/>
        <v>3.4474100000000119E-3</v>
      </c>
      <c r="V52">
        <f t="shared" si="13"/>
        <v>-8.8668999999999554E-4</v>
      </c>
      <c r="AC52">
        <f t="shared" si="14"/>
        <v>2.6343396604281182</v>
      </c>
      <c r="AD52">
        <f t="shared" si="14"/>
        <v>3.0691653285548384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T16-2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2026-08-02T16:47:36Z</dcterms:modified>
</cp:coreProperties>
</file>