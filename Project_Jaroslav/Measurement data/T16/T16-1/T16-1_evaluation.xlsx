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1\"/>
    </mc:Choice>
  </mc:AlternateContent>
  <xr:revisionPtr revIDLastSave="0" documentId="13_ncr:1_{197710E0-B15E-4D7F-956D-A6D33A2CCA49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D52" i="1"/>
  <c r="AC52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G18" i="2"/>
  <c r="AB14" i="1"/>
  <c r="AA14" i="1"/>
  <c r="Z14" i="1"/>
  <c r="Y14" i="1"/>
  <c r="V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D4" i="1" s="1"/>
  <c r="AB3" i="1"/>
  <c r="AA34" i="1"/>
  <c r="AD34" i="1" s="1"/>
  <c r="AA33" i="1"/>
  <c r="AD33" i="1" s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AC34" i="1" s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3" i="1"/>
  <c r="V12" i="1"/>
  <c r="V11" i="1"/>
  <c r="V10" i="1"/>
  <c r="V9" i="1"/>
  <c r="V8" i="1"/>
  <c r="V7" i="1"/>
  <c r="V6" i="1"/>
  <c r="V5" i="1"/>
  <c r="V4" i="1"/>
  <c r="V3" i="1"/>
  <c r="G12" i="2"/>
  <c r="G10" i="2"/>
  <c r="AD28" i="1" l="1"/>
  <c r="AD19" i="1"/>
  <c r="AE25" i="1"/>
  <c r="AE31" i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F31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F25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<sst xmlns="http://schemas.openxmlformats.org/spreadsheetml/2006/main" count="113" uniqueCount="67">
  <si>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</si>
  <si>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</si>
  <si>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</si>
  <si>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</si>
  <si>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</si>
  <si>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</si>
  <si>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</si>
  <si>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</si>
  <si>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</si>
  <si>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</si>
  <si>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</si>
  <si>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</si>
  <si>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</si>
  <si>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</si>
  <si>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</si>
  <si>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</si>
  <si>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</si>
  <si>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</si>
  <si>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</si>
  <si>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</si>
  <si>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</si>
  <si>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</si>
  <si>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</si>
  <si>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</si>
  <si>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</si>
  <si>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</si>
  <si>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</si>
  <si>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</si>
  <si>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</si>
  <si>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</si>
  <si>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</si>
  <si>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</si>
  <si>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</si>
  <si>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</si>
  <si>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</si>
  <si>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</si>
  <si>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</si>
  <si>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</si>
  <si>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</si>
  <si>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</si>
  <si>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</si>
  <si>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</si>
  <si>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</si>
  <si>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</si>
  <si>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</si>
  <si>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</si>
  <si>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</si>
  <si>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</si>
  <si>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</si>
  <si>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T16-1</t>
  </si>
  <si>
    <t>|</t>
  </si>
  <si>
    <t>0°</t>
  </si>
  <si>
    <t>↗</t>
  </si>
  <si>
    <t>Location</t>
  </si>
  <si>
    <t>bathroom</t>
  </si>
  <si>
    <t>Orientation</t>
  </si>
  <si>
    <t>smer</t>
  </si>
  <si>
    <t>tA_prumer</t>
  </si>
  <si>
    <t>tC_prumer</t>
  </si>
  <si>
    <t>difft_prumer</t>
  </si>
  <si>
    <t>CCW</t>
  </si>
  <si>
    <t>CW</t>
  </si>
  <si>
    <t>cyklus</t>
  </si>
  <si>
    <t>N</t>
  </si>
  <si>
    <t>Azimuth-Dependence Test (Randomized 360° Step Scan)</t>
  </si>
  <si>
    <t>- Test v různých místnostech
- Rotace ramene CW/CCW
- Náhodné azimuty pro celých 360°
- Různý azimut měřicí sestavy
- Různý azimut ramene při startu
- Různý náklon měřicí sestavy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</si>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</sst>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 textRotation="45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'T16-1'!$C$19:$C$34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'T16-1'!$U$3:$U$18</c:f>
              <c:numCache>
                <c:formatCode>0.000000</c:formatCode>
                <c:ptCount val="16"/>
                <c:pt idx="0">
                  <c:v>2.2958299999999987E-3</c:v>
                </c:pt>
                <c:pt idx="1">
                  <c:v>7.9063999999998136E-4</c:v>
                </c:pt>
                <c:pt idx="2">
                  <c:v>1.8149900000000163E-3</c:v>
                </c:pt>
                <c:pt idx="3">
                  <c:v>1.9407899999999978E-3</c:v>
                </c:pt>
                <c:pt idx="4">
                  <c:v>-1.3283999999999518E-4</c:v>
                </c:pt>
                <c:pt idx="5">
                  <c:v>-2.6829700000000067E-3</c:v>
                </c:pt>
                <c:pt idx="6">
                  <c:v>-3.2250199999999951E-3</c:v>
                </c:pt>
                <c:pt idx="7">
                  <c:v>-3.380909999999987E-3</c:v>
                </c:pt>
                <c:pt idx="8">
                  <c:v>-1.8700100000000053E-3</c:v>
                </c:pt>
                <c:pt idx="9">
                  <c:v>-1.3178400000000146E-3</c:v>
                </c:pt>
                <c:pt idx="10">
                  <c:v>-3.0316800000000088E-3</c:v>
                </c:pt>
                <c:pt idx="11">
                  <c:v>-2.2156100000000067E-3</c:v>
                </c:pt>
                <c:pt idx="12">
                  <c:v>-4.3002000000000318E-4</c:v>
                </c:pt>
                <c:pt idx="13">
                  <c:v>2.7714299999999914E-3</c:v>
                </c:pt>
                <c:pt idx="14">
                  <c:v>1.8069400000000069E-3</c:v>
                </c:pt>
                <c:pt idx="15">
                  <c:v>4.1983400000000226E-3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'T16-1'!$C$19:$C$34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'T16-1'!$V$3:$V$18</c:f>
              <c:numCache>
                <c:formatCode>0.000000</c:formatCode>
                <c:ptCount val="16"/>
                <c:pt idx="0">
                  <c:v>2.5812600000000019E-3</c:v>
                </c:pt>
                <c:pt idx="1">
                  <c:v>2.5203400000000098E-3</c:v>
                </c:pt>
                <c:pt idx="2">
                  <c:v>3.6299999999999943E-3</c:v>
                </c:pt>
                <c:pt idx="3">
                  <c:v>3.3104700000000098E-3</c:v>
                </c:pt>
                <c:pt idx="4">
                  <c:v>3.6233800000000094E-3</c:v>
                </c:pt>
                <c:pt idx="5">
                  <c:v>3.5352499999999898E-3</c:v>
                </c:pt>
                <c:pt idx="6">
                  <c:v>2.0953300000000341E-3</c:v>
                </c:pt>
                <c:pt idx="7">
                  <c:v>5.6326000000000986E-4</c:v>
                </c:pt>
                <c:pt idx="8">
                  <c:v>1.4850200000000036E-3</c:v>
                </c:pt>
                <c:pt idx="9">
                  <c:v>-1.1446199999999851E-3</c:v>
                </c:pt>
                <c:pt idx="10">
                  <c:v>-1.5533400000000142E-3</c:v>
                </c:pt>
                <c:pt idx="11">
                  <c:v>-4.3968499999999799E-3</c:v>
                </c:pt>
                <c:pt idx="12">
                  <c:v>-2.9332999999999998E-3</c:v>
                </c:pt>
                <c:pt idx="13">
                  <c:v>-2.3071000000000064E-3</c:v>
                </c:pt>
                <c:pt idx="14">
                  <c:v>-2.5861300000000198E-3</c:v>
                </c:pt>
                <c:pt idx="15">
                  <c:v>5.3004000000000939E-4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4"/>
          <c:order val="2"/>
          <c:tx>
            <c:strRef>
              <c:f>'T16-1'!$U$2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'T16-1'!$C$19:$C$34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'T16-1'!$U$19:$U$34</c:f>
              <c:numCache>
                <c:formatCode>0.000000</c:formatCode>
                <c:ptCount val="16"/>
                <c:pt idx="0">
                  <c:v>3.591060000000007E-3</c:v>
                </c:pt>
                <c:pt idx="1">
                  <c:v>2.6708199999999904E-3</c:v>
                </c:pt>
                <c:pt idx="2">
                  <c:v>-1.4035999999997828E-4</c:v>
                </c:pt>
                <c:pt idx="3">
                  <c:v>-2.2919000000001799E-4</c:v>
                </c:pt>
                <c:pt idx="4">
                  <c:v>-2.4575300000000133E-3</c:v>
                </c:pt>
                <c:pt idx="5">
                  <c:v>-1.5750200000000103E-3</c:v>
                </c:pt>
                <c:pt idx="6">
                  <c:v>-9.327099999999755E-4</c:v>
                </c:pt>
                <c:pt idx="7">
                  <c:v>-2.9634799999999906E-3</c:v>
                </c:pt>
                <c:pt idx="8">
                  <c:v>-3.4952799999999895E-3</c:v>
                </c:pt>
                <c:pt idx="9">
                  <c:v>-3.0749899999999997E-3</c:v>
                </c:pt>
                <c:pt idx="10">
                  <c:v>1.8115400000000004E-3</c:v>
                </c:pt>
                <c:pt idx="11">
                  <c:v>2.9998999999999998E-4</c:v>
                </c:pt>
                <c:pt idx="12">
                  <c:v>1.3216100000000008E-3</c:v>
                </c:pt>
                <c:pt idx="13">
                  <c:v>1.2765600000000099E-3</c:v>
                </c:pt>
                <c:pt idx="14">
                  <c:v>2.1393200000000001E-3</c:v>
                </c:pt>
                <c:pt idx="15">
                  <c:v>2.860750000000023E-3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3-4ACF-B5AD-56BFEB75BC4A}"/>
            </c:ext>
          </c:extLst>
        </c:ser>
        <c:ser>
          <c:idx val="5"/>
          <c:order val="3"/>
          <c:tx>
            <c:strRef>
              <c:f>'T16-1'!$V$2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'T16-1'!$C$19:$C$34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'T16-1'!$V$19:$V$34</c:f>
              <c:numCache>
                <c:formatCode>0.000000</c:formatCode>
                <c:ptCount val="16"/>
                <c:pt idx="0">
                  <c:v>2.4732199999999982E-3</c:v>
                </c:pt>
                <c:pt idx="1">
                  <c:v>3.965260000000026E-3</c:v>
                </c:pt>
                <c:pt idx="2">
                  <c:v>3.0923200000000095E-3</c:v>
                </c:pt>
                <c:pt idx="3">
                  <c:v>3.545920000000008E-3</c:v>
                </c:pt>
                <c:pt idx="4">
                  <c:v>3.3199999999999896E-3</c:v>
                </c:pt>
                <c:pt idx="5">
                  <c:v>2.6174900000000001E-3</c:v>
                </c:pt>
                <c:pt idx="6">
                  <c:v>-1.6191999999999873E-3</c:v>
                </c:pt>
                <c:pt idx="7">
                  <c:v>-1.4788399999999813E-3</c:v>
                </c:pt>
                <c:pt idx="8">
                  <c:v>-1.1952500000000088E-3</c:v>
                </c:pt>
                <c:pt idx="9">
                  <c:v>-2.3343500000000406E-3</c:v>
                </c:pt>
                <c:pt idx="10">
                  <c:v>-1.9288600000000045E-3</c:v>
                </c:pt>
                <c:pt idx="11">
                  <c:v>-2.0200499999999955E-3</c:v>
                </c:pt>
                <c:pt idx="12">
                  <c:v>-4.5522200000000235E-3</c:v>
                </c:pt>
                <c:pt idx="13">
                  <c:v>-3.7421599999999666E-3</c:v>
                </c:pt>
                <c:pt idx="14">
                  <c:v>1.9639999999998548E-4</c:v>
                </c:pt>
                <c:pt idx="15">
                  <c:v>1.8892799999999932E-3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3-4ACF-B5AD-56BFEB75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'T16-1'!$AC$2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'T16-1'!$AC$37:$AC$52</c:f>
              <c:numCache>
                <c:formatCode>General</c:formatCode>
                <c:ptCount val="16"/>
                <c:pt idx="0">
                  <c:v>3.0235777548859368</c:v>
                </c:pt>
                <c:pt idx="1">
                  <c:v>3.2160693834344571</c:v>
                </c:pt>
                <c:pt idx="2">
                  <c:v>3.3095492388981471</c:v>
                </c:pt>
                <c:pt idx="3">
                  <c:v>3.347496089728411</c:v>
                </c:pt>
                <c:pt idx="4">
                  <c:v>3.2597880923295688</c:v>
                </c:pt>
                <c:pt idx="5">
                  <c:v>3.129668728867232</c:v>
                </c:pt>
                <c:pt idx="6">
                  <c:v>2.9220594275676799</c:v>
                </c:pt>
                <c:pt idx="7">
                  <c:v>2.692553498485093</c:v>
                </c:pt>
                <c:pt idx="8">
                  <c:v>2.4127393395937506</c:v>
                </c:pt>
                <c:pt idx="9">
                  <c:v>2.1632812045506746</c:v>
                </c:pt>
                <c:pt idx="10">
                  <c:v>2.0056423833399259</c:v>
                </c:pt>
                <c:pt idx="11">
                  <c:v>2.0048477091162233</c:v>
                </c:pt>
                <c:pt idx="12">
                  <c:v>2.0984777352734181</c:v>
                </c:pt>
                <c:pt idx="13">
                  <c:v>2.3107264567512176</c:v>
                </c:pt>
                <c:pt idx="14">
                  <c:v>2.568376794473668</c:v>
                </c:pt>
                <c:pt idx="15">
                  <c:v>2.7854843429624685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'T16-1'!$AD$2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'T16-1'!$AD$37:$AD$52</c:f>
              <c:numCache>
                <c:formatCode>General</c:formatCode>
                <c:ptCount val="16"/>
                <c:pt idx="0">
                  <c:v>2.4347337702639615</c:v>
                </c:pt>
                <c:pt idx="1">
                  <c:v>2.1912014700315807</c:v>
                </c:pt>
                <c:pt idx="2">
                  <c:v>2.0330742858532691</c:v>
                </c:pt>
                <c:pt idx="3">
                  <c:v>1.9886820913131764</c:v>
                </c:pt>
                <c:pt idx="4">
                  <c:v>2.1132484653736703</c:v>
                </c:pt>
                <c:pt idx="5">
                  <c:v>2.3337516983143192</c:v>
                </c:pt>
                <c:pt idx="6">
                  <c:v>2.5651793962416969</c:v>
                </c:pt>
                <c:pt idx="7">
                  <c:v>2.8402851268255676</c:v>
                </c:pt>
                <c:pt idx="8">
                  <c:v>3.0551829622627116</c:v>
                </c:pt>
                <c:pt idx="9">
                  <c:v>3.2210065612291094</c:v>
                </c:pt>
                <c:pt idx="10">
                  <c:v>3.3461849985252949</c:v>
                </c:pt>
                <c:pt idx="11">
                  <c:v>3.3956408892978773</c:v>
                </c:pt>
                <c:pt idx="12">
                  <c:v>3.3102165669247787</c:v>
                </c:pt>
                <c:pt idx="13">
                  <c:v>3.1951390612695811</c:v>
                </c:pt>
                <c:pt idx="14">
                  <c:v>2.951811719632575</c:v>
                </c:pt>
                <c:pt idx="15">
                  <c:v>2.7080556042256401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'T16-1'!$K$2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'T16-1'!$C$3:$C$34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'T16-1'!$K$3:$K$34</c:f>
              <c:numCache>
                <c:formatCode>0.00</c:formatCode>
                <c:ptCount val="32"/>
                <c:pt idx="0">
                  <c:v>25.9</c:v>
                </c:pt>
                <c:pt idx="1">
                  <c:v>26.03</c:v>
                </c:pt>
                <c:pt idx="2">
                  <c:v>25.99</c:v>
                </c:pt>
                <c:pt idx="3">
                  <c:v>25.98</c:v>
                </c:pt>
                <c:pt idx="4">
                  <c:v>25.98</c:v>
                </c:pt>
                <c:pt idx="5">
                  <c:v>25.96</c:v>
                </c:pt>
                <c:pt idx="6">
                  <c:v>25.96</c:v>
                </c:pt>
                <c:pt idx="7">
                  <c:v>25.98</c:v>
                </c:pt>
                <c:pt idx="8">
                  <c:v>25.97</c:v>
                </c:pt>
                <c:pt idx="9">
                  <c:v>25.94</c:v>
                </c:pt>
                <c:pt idx="10">
                  <c:v>25.81</c:v>
                </c:pt>
                <c:pt idx="11">
                  <c:v>25.98</c:v>
                </c:pt>
                <c:pt idx="12">
                  <c:v>25.98</c:v>
                </c:pt>
                <c:pt idx="13">
                  <c:v>25.91</c:v>
                </c:pt>
                <c:pt idx="14">
                  <c:v>26.04</c:v>
                </c:pt>
                <c:pt idx="15">
                  <c:v>26.03</c:v>
                </c:pt>
                <c:pt idx="16">
                  <c:v>26.14</c:v>
                </c:pt>
                <c:pt idx="17">
                  <c:v>26</c:v>
                </c:pt>
                <c:pt idx="18">
                  <c:v>25.93</c:v>
                </c:pt>
                <c:pt idx="19">
                  <c:v>25.97</c:v>
                </c:pt>
                <c:pt idx="20">
                  <c:v>26.04</c:v>
                </c:pt>
                <c:pt idx="21">
                  <c:v>26.03</c:v>
                </c:pt>
                <c:pt idx="22">
                  <c:v>26.05</c:v>
                </c:pt>
                <c:pt idx="23">
                  <c:v>26.01</c:v>
                </c:pt>
                <c:pt idx="24">
                  <c:v>25.99</c:v>
                </c:pt>
                <c:pt idx="25">
                  <c:v>25.9</c:v>
                </c:pt>
                <c:pt idx="26">
                  <c:v>26.04</c:v>
                </c:pt>
                <c:pt idx="27">
                  <c:v>26.02</c:v>
                </c:pt>
                <c:pt idx="28">
                  <c:v>25.97</c:v>
                </c:pt>
                <c:pt idx="29">
                  <c:v>25.95</c:v>
                </c:pt>
                <c:pt idx="30">
                  <c:v>25.85</c:v>
                </c:pt>
                <c:pt idx="31">
                  <c:v>25.89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'T16-1'!$L$2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'T16-1'!$C$3:$C$34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'T16-1'!$L$3:$L$34</c:f>
              <c:numCache>
                <c:formatCode>0.00</c:formatCode>
                <c:ptCount val="32"/>
                <c:pt idx="0">
                  <c:v>25.89</c:v>
                </c:pt>
                <c:pt idx="1">
                  <c:v>26.04</c:v>
                </c:pt>
                <c:pt idx="2">
                  <c:v>25.98</c:v>
                </c:pt>
                <c:pt idx="3">
                  <c:v>25.98</c:v>
                </c:pt>
                <c:pt idx="4">
                  <c:v>25.98</c:v>
                </c:pt>
                <c:pt idx="5">
                  <c:v>25.96</c:v>
                </c:pt>
                <c:pt idx="6">
                  <c:v>25.97</c:v>
                </c:pt>
                <c:pt idx="7">
                  <c:v>25.98</c:v>
                </c:pt>
                <c:pt idx="8">
                  <c:v>25.96</c:v>
                </c:pt>
                <c:pt idx="9">
                  <c:v>25.94</c:v>
                </c:pt>
                <c:pt idx="10">
                  <c:v>25.82</c:v>
                </c:pt>
                <c:pt idx="11">
                  <c:v>25.98</c:v>
                </c:pt>
                <c:pt idx="12">
                  <c:v>25.98</c:v>
                </c:pt>
                <c:pt idx="13">
                  <c:v>25.91</c:v>
                </c:pt>
                <c:pt idx="14">
                  <c:v>26.05</c:v>
                </c:pt>
                <c:pt idx="15">
                  <c:v>26.03</c:v>
                </c:pt>
                <c:pt idx="16">
                  <c:v>26.14</c:v>
                </c:pt>
                <c:pt idx="17">
                  <c:v>26</c:v>
                </c:pt>
                <c:pt idx="18">
                  <c:v>25.94</c:v>
                </c:pt>
                <c:pt idx="19">
                  <c:v>25.97</c:v>
                </c:pt>
                <c:pt idx="20">
                  <c:v>26.05</c:v>
                </c:pt>
                <c:pt idx="21">
                  <c:v>26.03</c:v>
                </c:pt>
                <c:pt idx="22">
                  <c:v>26.04</c:v>
                </c:pt>
                <c:pt idx="23">
                  <c:v>26</c:v>
                </c:pt>
                <c:pt idx="24">
                  <c:v>25.99</c:v>
                </c:pt>
                <c:pt idx="25">
                  <c:v>25.9</c:v>
                </c:pt>
                <c:pt idx="26">
                  <c:v>26.03</c:v>
                </c:pt>
                <c:pt idx="27">
                  <c:v>26.02</c:v>
                </c:pt>
                <c:pt idx="28">
                  <c:v>25.97</c:v>
                </c:pt>
                <c:pt idx="29">
                  <c:v>25.95</c:v>
                </c:pt>
                <c:pt idx="30">
                  <c:v>25.83</c:v>
                </c:pt>
                <c:pt idx="3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'T16-1'!$C$3:$C$18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'T16-1'!$D$3:$D$18</c:f>
              <c:numCache>
                <c:formatCode>General</c:formatCode>
                <c:ptCount val="16"/>
                <c:pt idx="0">
                  <c:v>12</c:v>
                </c:pt>
                <c:pt idx="1">
                  <c:v>16</c:v>
                </c:pt>
                <c:pt idx="2">
                  <c:v>20</c:v>
                </c:pt>
                <c:pt idx="3">
                  <c:v>19</c:v>
                </c:pt>
                <c:pt idx="4">
                  <c:v>16</c:v>
                </c:pt>
                <c:pt idx="5">
                  <c:v>22</c:v>
                </c:pt>
                <c:pt idx="6">
                  <c:v>16</c:v>
                </c:pt>
                <c:pt idx="7">
                  <c:v>17</c:v>
                </c:pt>
                <c:pt idx="8">
                  <c:v>10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15</c:v>
                </c:pt>
                <c:pt idx="13">
                  <c:v>14</c:v>
                </c:pt>
                <c:pt idx="14">
                  <c:v>18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'T16-1'!$D$19:$D$34</c:f>
              <c:numCache>
                <c:formatCode>General</c:formatCode>
                <c:ptCount val="16"/>
                <c:pt idx="0">
                  <c:v>14</c:v>
                </c:pt>
                <c:pt idx="1">
                  <c:v>18</c:v>
                </c:pt>
                <c:pt idx="2">
                  <c:v>13</c:v>
                </c:pt>
                <c:pt idx="3">
                  <c:v>18</c:v>
                </c:pt>
                <c:pt idx="4">
                  <c:v>10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16</c:v>
                </c:pt>
                <c:pt idx="9">
                  <c:v>16</c:v>
                </c:pt>
                <c:pt idx="10">
                  <c:v>13</c:v>
                </c:pt>
                <c:pt idx="11">
                  <c:v>5</c:v>
                </c:pt>
                <c:pt idx="12">
                  <c:v>22</c:v>
                </c:pt>
                <c:pt idx="13">
                  <c:v>16</c:v>
                </c:pt>
                <c:pt idx="14">
                  <c:v>14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D-46DF-A5AC-E98BCBCE5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'T16-1'!$M$2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'T16-1'!$C$3:$C$34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'T16-1'!$M$3:$M$34</c:f>
              <c:numCache>
                <c:formatCode>0.00</c:formatCode>
                <c:ptCount val="32"/>
                <c:pt idx="0">
                  <c:v>0.01</c:v>
                </c:pt>
                <c:pt idx="1">
                  <c:v>0</c:v>
                </c:pt>
                <c:pt idx="2">
                  <c:v>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-0.01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-0.01</c:v>
                </c:pt>
                <c:pt idx="19">
                  <c:v>0</c:v>
                </c:pt>
                <c:pt idx="20">
                  <c:v>-0.01</c:v>
                </c:pt>
                <c:pt idx="21">
                  <c:v>0</c:v>
                </c:pt>
                <c:pt idx="22">
                  <c:v>0.01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-0.01</c:v>
                </c:pt>
                <c:pt idx="30">
                  <c:v>0.02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'T16-1'!$U$37:$U$52</c:f>
              <c:numCache>
                <c:formatCode>General</c:formatCode>
                <c:ptCount val="16"/>
                <c:pt idx="0">
                  <c:v>2.9434450000000029E-3</c:v>
                </c:pt>
                <c:pt idx="1">
                  <c:v>1.7307299999999859E-3</c:v>
                </c:pt>
                <c:pt idx="2">
                  <c:v>8.3731500000001902E-4</c:v>
                </c:pt>
                <c:pt idx="3">
                  <c:v>8.557999999999899E-4</c:v>
                </c:pt>
                <c:pt idx="4">
                  <c:v>-1.2951850000000042E-3</c:v>
                </c:pt>
                <c:pt idx="5">
                  <c:v>-2.1289950000000085E-3</c:v>
                </c:pt>
                <c:pt idx="6">
                  <c:v>-2.0788649999999853E-3</c:v>
                </c:pt>
                <c:pt idx="7">
                  <c:v>-3.1721949999999888E-3</c:v>
                </c:pt>
                <c:pt idx="8">
                  <c:v>-2.6826449999999974E-3</c:v>
                </c:pt>
                <c:pt idx="9">
                  <c:v>-2.1964150000000071E-3</c:v>
                </c:pt>
                <c:pt idx="10">
                  <c:v>-6.1007000000000422E-4</c:v>
                </c:pt>
                <c:pt idx="11">
                  <c:v>-9.5781000000000338E-4</c:v>
                </c:pt>
                <c:pt idx="12">
                  <c:v>4.4579499999999883E-4</c:v>
                </c:pt>
                <c:pt idx="13">
                  <c:v>2.0239950000000007E-3</c:v>
                </c:pt>
                <c:pt idx="14">
                  <c:v>1.9731300000000035E-3</c:v>
                </c:pt>
                <c:pt idx="15">
                  <c:v>3.5295450000000228E-3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F66-433D-A064-F5B3B04F27A1}"/>
            </c:ext>
          </c:extLst>
        </c:ser>
        <c:ser>
          <c:idx val="1"/>
          <c:order val="1"/>
          <c:tx>
            <c:strRef>
              <c:f>'T16-1'!$V$2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'T16-1'!$V$37:$V$52</c:f>
              <c:numCache>
                <c:formatCode>General</c:formatCode>
                <c:ptCount val="16"/>
                <c:pt idx="0">
                  <c:v>2.52724E-3</c:v>
                </c:pt>
                <c:pt idx="1">
                  <c:v>3.2428000000000179E-3</c:v>
                </c:pt>
                <c:pt idx="2">
                  <c:v>3.3611600000000019E-3</c:v>
                </c:pt>
                <c:pt idx="3">
                  <c:v>3.4281950000000089E-3</c:v>
                </c:pt>
                <c:pt idx="4">
                  <c:v>3.4716899999999995E-3</c:v>
                </c:pt>
                <c:pt idx="5">
                  <c:v>3.0763699999999949E-3</c:v>
                </c:pt>
                <c:pt idx="6">
                  <c:v>2.380650000000234E-4</c:v>
                </c:pt>
                <c:pt idx="7">
                  <c:v>-4.5778999999998571E-4</c:v>
                </c:pt>
                <c:pt idx="8">
                  <c:v>1.4488499999999738E-4</c:v>
                </c:pt>
                <c:pt idx="9">
                  <c:v>-1.7394850000000128E-3</c:v>
                </c:pt>
                <c:pt idx="10">
                  <c:v>-1.7411000000000093E-3</c:v>
                </c:pt>
                <c:pt idx="11">
                  <c:v>-3.2084499999999877E-3</c:v>
                </c:pt>
                <c:pt idx="12">
                  <c:v>-3.7427600000000116E-3</c:v>
                </c:pt>
                <c:pt idx="13">
                  <c:v>-3.0246299999999865E-3</c:v>
                </c:pt>
                <c:pt idx="14">
                  <c:v>-1.1948650000000172E-3</c:v>
                </c:pt>
                <c:pt idx="15">
                  <c:v>1.2096600000000013E-3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F66-433D-A064-F5B3B04F2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33619</xdr:colOff>
      <xdr:row>55</xdr:row>
      <xdr:rowOff>0</xdr:rowOff>
    </xdr:from>
    <xdr:to>
      <xdr:col>25</xdr:col>
      <xdr:colOff>33619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D1FAF9-8821-4800-B494-F76BB793B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="80" zoomScaleNormal="80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40" t="s">
        <v>29</v>
      </c>
      <c r="B1" s="40"/>
      <c r="C1" s="40" t="s">
        <v>49</v>
      </c>
      <c r="D1" s="40"/>
      <c r="E1" s="40" t="s">
        <v>64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AC1" s="56" t="s">
        <v>55</v>
      </c>
      <c r="AD1" s="57"/>
      <c r="AE1" s="57"/>
      <c r="AF1" s="57"/>
      <c r="AG1" s="58"/>
    </row>
    <row r="2" spans="1:33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AC2" s="59"/>
      <c r="AD2" s="60"/>
      <c r="AE2" s="60"/>
      <c r="AF2" s="60"/>
      <c r="AG2" s="61"/>
    </row>
    <row r="4" spans="1:33" x14ac:dyDescent="0.25">
      <c r="A4" s="32" t="s">
        <v>30</v>
      </c>
      <c r="B4" s="32"/>
      <c r="C4" s="32"/>
      <c r="D4" s="32"/>
      <c r="E4" s="32"/>
      <c r="F4" s="32"/>
      <c r="G4" s="35">
        <v>0</v>
      </c>
      <c r="H4" s="36"/>
      <c r="I4" s="2" t="s">
        <v>18</v>
      </c>
      <c r="K4" s="41" t="s">
        <v>45</v>
      </c>
      <c r="L4" s="41"/>
      <c r="M4" s="41"/>
      <c r="N4" s="41"/>
      <c r="O4" s="41"/>
      <c r="P4" s="41"/>
      <c r="R4" s="41" t="s">
        <v>46</v>
      </c>
      <c r="S4" s="41"/>
      <c r="T4" s="41"/>
      <c r="U4" s="41"/>
      <c r="V4" s="41"/>
      <c r="W4" s="41"/>
      <c r="X4" s="41"/>
      <c r="Y4" s="41"/>
      <c r="AC4" s="51"/>
      <c r="AD4" s="51"/>
      <c r="AE4" s="51"/>
      <c r="AF4" s="51"/>
      <c r="AG4" s="51"/>
    </row>
    <row r="5" spans="1:33" ht="15.75" customHeight="1" x14ac:dyDescent="0.25">
      <c r="A5" s="27" t="s">
        <v>31</v>
      </c>
      <c r="B5" s="28"/>
      <c r="C5" s="28"/>
      <c r="D5" s="28"/>
      <c r="E5" s="28"/>
      <c r="F5" s="29"/>
      <c r="G5" s="35">
        <v>0</v>
      </c>
      <c r="H5" s="36"/>
      <c r="I5" s="2" t="s">
        <v>18</v>
      </c>
      <c r="K5" s="64" t="s">
        <v>65</v>
      </c>
      <c r="L5" s="65"/>
      <c r="M5" s="65"/>
      <c r="N5" s="65"/>
      <c r="O5" s="65"/>
      <c r="P5" s="66"/>
      <c r="R5" s="37" t="s">
        <v>48</v>
      </c>
      <c r="S5" s="37"/>
      <c r="T5" s="37"/>
      <c r="U5" s="37"/>
      <c r="V5" s="37"/>
      <c r="W5" s="37"/>
      <c r="X5" s="37"/>
      <c r="Y5" s="37"/>
      <c r="AC5" s="51"/>
      <c r="AD5" s="51"/>
      <c r="AE5" s="51"/>
      <c r="AF5" s="51"/>
      <c r="AG5" s="51"/>
    </row>
    <row r="6" spans="1:33" x14ac:dyDescent="0.25">
      <c r="A6" s="32" t="s">
        <v>32</v>
      </c>
      <c r="B6" s="32"/>
      <c r="C6" s="32"/>
      <c r="D6" s="32"/>
      <c r="E6" s="32"/>
      <c r="F6" s="32"/>
      <c r="G6" s="39">
        <v>0</v>
      </c>
      <c r="H6" s="39"/>
      <c r="I6" s="2" t="s">
        <v>24</v>
      </c>
      <c r="K6" s="67"/>
      <c r="L6" s="68"/>
      <c r="M6" s="68"/>
      <c r="N6" s="68"/>
      <c r="O6" s="68"/>
      <c r="P6" s="69"/>
      <c r="R6" s="37"/>
      <c r="S6" s="37"/>
      <c r="T6" s="37"/>
      <c r="U6" s="37"/>
      <c r="V6" s="37"/>
      <c r="W6" s="37"/>
      <c r="X6" s="37"/>
      <c r="Y6" s="37"/>
      <c r="AC6" s="51"/>
      <c r="AD6" s="51"/>
      <c r="AE6" s="51"/>
      <c r="AF6" s="51"/>
      <c r="AG6" s="51"/>
    </row>
    <row r="7" spans="1:33" ht="15.75" customHeight="1" x14ac:dyDescent="0.25">
      <c r="A7" s="27" t="s">
        <v>53</v>
      </c>
      <c r="B7" s="28"/>
      <c r="C7" s="28"/>
      <c r="D7" s="28"/>
      <c r="E7" s="28"/>
      <c r="F7" s="29"/>
      <c r="G7" s="35" t="s">
        <v>54</v>
      </c>
      <c r="H7" s="36"/>
      <c r="I7" s="2"/>
      <c r="K7" s="67"/>
      <c r="L7" s="68"/>
      <c r="M7" s="68"/>
      <c r="N7" s="68"/>
      <c r="O7" s="68"/>
      <c r="P7" s="69"/>
      <c r="R7" s="37"/>
      <c r="S7" s="37"/>
      <c r="T7" s="37"/>
      <c r="U7" s="37"/>
      <c r="V7" s="37"/>
      <c r="W7" s="37"/>
      <c r="X7" s="37"/>
      <c r="Y7" s="37"/>
      <c r="AC7" s="49"/>
      <c r="AD7" s="51"/>
      <c r="AE7" s="52" t="s">
        <v>63</v>
      </c>
      <c r="AF7" s="51"/>
      <c r="AG7" s="49"/>
    </row>
    <row r="8" spans="1:33" x14ac:dyDescent="0.25">
      <c r="A8" s="32" t="s">
        <v>15</v>
      </c>
      <c r="B8" s="32"/>
      <c r="C8" s="32"/>
      <c r="D8" s="32"/>
      <c r="E8" s="32"/>
      <c r="F8" s="32"/>
      <c r="G8" s="38">
        <f>360/((23*60*60)+(56*60)+4.09)</f>
        <v>4.1780746480349299E-3</v>
      </c>
      <c r="H8" s="38"/>
      <c r="I8" s="2" t="s">
        <v>16</v>
      </c>
      <c r="K8" s="67"/>
      <c r="L8" s="68"/>
      <c r="M8" s="68"/>
      <c r="N8" s="68"/>
      <c r="O8" s="68"/>
      <c r="P8" s="69"/>
      <c r="R8" s="37"/>
      <c r="S8" s="37"/>
      <c r="T8" s="37"/>
      <c r="U8" s="37"/>
      <c r="V8" s="37"/>
      <c r="W8" s="37"/>
      <c r="X8" s="37"/>
      <c r="Y8" s="37"/>
      <c r="AC8" s="49"/>
      <c r="AD8" s="51"/>
      <c r="AE8" s="52"/>
      <c r="AF8" s="51"/>
      <c r="AG8" s="49"/>
    </row>
    <row r="9" spans="1:33" x14ac:dyDescent="0.25">
      <c r="A9" s="32" t="s">
        <v>17</v>
      </c>
      <c r="B9" s="32"/>
      <c r="C9" s="32"/>
      <c r="D9" s="32"/>
      <c r="E9" s="32"/>
      <c r="F9" s="32"/>
      <c r="G9" s="39">
        <v>49</v>
      </c>
      <c r="H9" s="39"/>
      <c r="I9" s="2" t="s">
        <v>18</v>
      </c>
      <c r="K9" s="67"/>
      <c r="L9" s="68"/>
      <c r="M9" s="68"/>
      <c r="N9" s="68"/>
      <c r="O9" s="68"/>
      <c r="P9" s="69"/>
      <c r="R9" s="37"/>
      <c r="S9" s="37"/>
      <c r="T9" s="37"/>
      <c r="U9" s="37"/>
      <c r="V9" s="37"/>
      <c r="W9" s="37"/>
      <c r="X9" s="37"/>
      <c r="Y9" s="37"/>
      <c r="AC9" s="49"/>
      <c r="AD9" s="51"/>
      <c r="AE9" s="52"/>
      <c r="AF9" s="51"/>
      <c r="AG9" s="49"/>
    </row>
    <row r="10" spans="1:33" ht="15.75" customHeight="1" x14ac:dyDescent="0.25">
      <c r="A10" s="42" t="s">
        <v>19</v>
      </c>
      <c r="B10" s="43"/>
      <c r="C10" s="43"/>
      <c r="D10" s="43"/>
      <c r="E10" s="43"/>
      <c r="F10" s="44"/>
      <c r="G10" s="45">
        <f>(COS(RADIANS(G9))*G8)</f>
        <v>2.7410635966396515E-3</v>
      </c>
      <c r="H10" s="46"/>
      <c r="I10" s="3" t="s">
        <v>16</v>
      </c>
      <c r="K10" s="67"/>
      <c r="L10" s="68"/>
      <c r="M10" s="68"/>
      <c r="N10" s="68"/>
      <c r="O10" s="68"/>
      <c r="P10" s="69"/>
      <c r="R10" s="13"/>
      <c r="S10" s="13"/>
      <c r="T10" s="13"/>
      <c r="U10" s="13"/>
      <c r="V10" s="13"/>
      <c r="W10" s="13"/>
      <c r="X10" s="13"/>
      <c r="Y10" s="13"/>
      <c r="AC10" s="53" t="s">
        <v>50</v>
      </c>
      <c r="AD10" s="54"/>
      <c r="AE10" s="55" t="s">
        <v>52</v>
      </c>
      <c r="AF10" s="54"/>
      <c r="AG10" s="62" t="s">
        <v>50</v>
      </c>
    </row>
    <row r="11" spans="1:33" x14ac:dyDescent="0.25">
      <c r="A11" s="32" t="s">
        <v>33</v>
      </c>
      <c r="B11" s="32"/>
      <c r="C11" s="32"/>
      <c r="D11" s="32"/>
      <c r="E11" s="32"/>
      <c r="F11" s="32"/>
      <c r="G11" s="39">
        <v>22.5</v>
      </c>
      <c r="H11" s="39"/>
      <c r="I11" s="2" t="s">
        <v>18</v>
      </c>
      <c r="K11" s="67"/>
      <c r="L11" s="68"/>
      <c r="M11" s="68"/>
      <c r="N11" s="68"/>
      <c r="O11" s="68"/>
      <c r="P11" s="69"/>
      <c r="R11" s="13"/>
      <c r="S11" s="13"/>
      <c r="T11" s="13"/>
      <c r="U11" s="13"/>
      <c r="V11" s="13"/>
      <c r="W11" s="13"/>
      <c r="X11" s="13"/>
      <c r="Y11" s="13"/>
      <c r="AC11" s="53"/>
      <c r="AD11" s="54"/>
      <c r="AE11" s="55"/>
      <c r="AF11" s="54"/>
      <c r="AG11" s="62"/>
    </row>
    <row r="12" spans="1:33" ht="15.75" customHeight="1" x14ac:dyDescent="0.25">
      <c r="A12" s="27" t="s">
        <v>34</v>
      </c>
      <c r="B12" s="28"/>
      <c r="C12" s="28"/>
      <c r="D12" s="28"/>
      <c r="E12" s="28"/>
      <c r="F12" s="29"/>
      <c r="G12" s="35">
        <f>360/G11</f>
        <v>16</v>
      </c>
      <c r="H12" s="36"/>
      <c r="I12" s="2"/>
      <c r="K12" s="67"/>
      <c r="L12" s="68"/>
      <c r="M12" s="68"/>
      <c r="N12" s="68"/>
      <c r="O12" s="68"/>
      <c r="P12" s="69"/>
      <c r="R12" s="8"/>
      <c r="S12" s="8"/>
      <c r="T12" s="8"/>
      <c r="U12" s="8"/>
      <c r="V12" s="8"/>
      <c r="W12" s="8"/>
      <c r="X12" s="8"/>
      <c r="Y12" s="8"/>
      <c r="AC12" s="53"/>
      <c r="AD12" s="54"/>
      <c r="AE12" s="55"/>
      <c r="AF12" s="54"/>
      <c r="AG12" s="62"/>
    </row>
    <row r="13" spans="1:33" ht="15.75" customHeight="1" x14ac:dyDescent="0.25">
      <c r="A13" s="32" t="s">
        <v>20</v>
      </c>
      <c r="B13" s="32"/>
      <c r="C13" s="32"/>
      <c r="D13" s="32"/>
      <c r="E13" s="32"/>
      <c r="F13" s="32"/>
      <c r="G13" s="39" t="s">
        <v>47</v>
      </c>
      <c r="H13" s="39"/>
      <c r="I13" s="2"/>
      <c r="K13" s="67"/>
      <c r="L13" s="68"/>
      <c r="M13" s="68"/>
      <c r="N13" s="68"/>
      <c r="O13" s="68"/>
      <c r="P13" s="69"/>
      <c r="R13" s="31" t="s">
        <v>25</v>
      </c>
      <c r="S13" s="31"/>
      <c r="T13" s="31" t="s">
        <v>26</v>
      </c>
      <c r="U13" s="31"/>
      <c r="V13" s="31" t="s">
        <v>27</v>
      </c>
      <c r="W13" s="31"/>
      <c r="X13" s="31" t="s">
        <v>28</v>
      </c>
      <c r="Y13" s="31"/>
      <c r="AC13" s="53" t="s">
        <v>50</v>
      </c>
      <c r="AD13" s="54"/>
      <c r="AE13" s="54" t="s">
        <v>51</v>
      </c>
      <c r="AF13" s="54"/>
      <c r="AG13" s="62" t="s">
        <v>50</v>
      </c>
    </row>
    <row r="14" spans="1:33" ht="15.75" customHeight="1" x14ac:dyDescent="0.25">
      <c r="A14" s="27" t="s">
        <v>21</v>
      </c>
      <c r="B14" s="28"/>
      <c r="C14" s="28"/>
      <c r="D14" s="28"/>
      <c r="E14" s="28"/>
      <c r="F14" s="29"/>
      <c r="G14" s="35">
        <v>480</v>
      </c>
      <c r="H14" s="36"/>
      <c r="I14" s="2"/>
      <c r="K14" s="67"/>
      <c r="L14" s="68"/>
      <c r="M14" s="68"/>
      <c r="N14" s="68"/>
      <c r="O14" s="68"/>
      <c r="P14" s="69"/>
      <c r="R14" s="31"/>
      <c r="S14" s="31"/>
      <c r="T14" s="31"/>
      <c r="U14" s="31"/>
      <c r="V14" s="31"/>
      <c r="W14" s="31"/>
      <c r="X14" s="31"/>
      <c r="Y14" s="31"/>
      <c r="AC14" s="53"/>
      <c r="AD14" s="54"/>
      <c r="AE14" s="54"/>
      <c r="AF14" s="54"/>
      <c r="AG14" s="62"/>
    </row>
    <row r="15" spans="1:33" ht="15.75" customHeight="1" x14ac:dyDescent="0.25">
      <c r="A15" s="27" t="s">
        <v>22</v>
      </c>
      <c r="B15" s="28"/>
      <c r="C15" s="28"/>
      <c r="D15" s="28"/>
      <c r="E15" s="28"/>
      <c r="F15" s="29"/>
      <c r="G15" s="35">
        <v>200</v>
      </c>
      <c r="H15" s="36"/>
      <c r="I15" s="2"/>
      <c r="K15" s="67"/>
      <c r="L15" s="68"/>
      <c r="M15" s="68"/>
      <c r="N15" s="68"/>
      <c r="O15" s="68"/>
      <c r="P15" s="69"/>
      <c r="R15" s="31"/>
      <c r="S15" s="31"/>
      <c r="T15" s="31"/>
      <c r="U15" s="31"/>
      <c r="V15" s="31"/>
      <c r="W15" s="31"/>
      <c r="X15" s="31"/>
      <c r="Y15" s="31"/>
      <c r="AC15" s="53"/>
      <c r="AD15" s="54"/>
      <c r="AE15" s="54"/>
      <c r="AF15" s="54"/>
      <c r="AG15" s="62"/>
    </row>
    <row r="16" spans="1:33" ht="15.75" customHeight="1" x14ac:dyDescent="0.25">
      <c r="A16" s="27" t="s">
        <v>23</v>
      </c>
      <c r="B16" s="28"/>
      <c r="C16" s="28"/>
      <c r="D16" s="28"/>
      <c r="E16" s="28"/>
      <c r="F16" s="29"/>
      <c r="G16" s="35">
        <v>50</v>
      </c>
      <c r="H16" s="36"/>
      <c r="I16" s="2"/>
      <c r="K16" s="67"/>
      <c r="L16" s="68"/>
      <c r="M16" s="68"/>
      <c r="N16" s="68"/>
      <c r="O16" s="68"/>
      <c r="P16" s="69"/>
      <c r="R16" s="31"/>
      <c r="S16" s="31"/>
      <c r="T16" s="31"/>
      <c r="U16" s="31"/>
      <c r="V16" s="31"/>
      <c r="W16" s="31"/>
      <c r="X16" s="31"/>
      <c r="Y16" s="31"/>
      <c r="AC16" s="53" t="s">
        <v>50</v>
      </c>
      <c r="AD16" s="63"/>
      <c r="AE16" s="54" t="s">
        <v>50</v>
      </c>
      <c r="AF16" s="54"/>
      <c r="AG16" s="62" t="s">
        <v>50</v>
      </c>
    </row>
    <row r="17" spans="1:33" ht="15.75" customHeight="1" x14ac:dyDescent="0.25">
      <c r="A17" s="24" t="s">
        <v>36</v>
      </c>
      <c r="B17" s="25"/>
      <c r="C17" s="25"/>
      <c r="D17" s="25"/>
      <c r="E17" s="25"/>
      <c r="F17" s="26"/>
      <c r="G17" s="33">
        <v>400</v>
      </c>
      <c r="H17" s="34"/>
      <c r="I17" s="4" t="s">
        <v>18</v>
      </c>
      <c r="K17" s="67"/>
      <c r="L17" s="68"/>
      <c r="M17" s="68"/>
      <c r="N17" s="68"/>
      <c r="O17" s="68"/>
      <c r="P17" s="69"/>
      <c r="R17" s="30">
        <f>MIN('T16-1'!U3:U18)</f>
        <v>-3.380909999999987E-3</v>
      </c>
      <c r="S17" s="30"/>
      <c r="T17" s="30">
        <f>MIN('T16-1'!V3:V18)</f>
        <v>-4.3968499999999799E-3</v>
      </c>
      <c r="U17" s="30"/>
      <c r="V17" s="30">
        <f>MAX('T16-1'!U3:U18)</f>
        <v>4.1983400000000226E-3</v>
      </c>
      <c r="W17" s="30"/>
      <c r="X17" s="30">
        <f>MAX('T16-1'!V3:V18)</f>
        <v>3.6299999999999943E-3</v>
      </c>
      <c r="Y17" s="30"/>
      <c r="AC17" s="53"/>
      <c r="AD17" s="63"/>
      <c r="AE17" s="54"/>
      <c r="AF17" s="54"/>
      <c r="AG17" s="62"/>
    </row>
    <row r="18" spans="1:33" ht="15.75" customHeight="1" x14ac:dyDescent="0.25">
      <c r="A18" s="24" t="s">
        <v>35</v>
      </c>
      <c r="B18" s="25"/>
      <c r="C18" s="25"/>
      <c r="D18" s="25"/>
      <c r="E18" s="25"/>
      <c r="F18" s="26"/>
      <c r="G18" s="33">
        <f>G14*G15*2</f>
        <v>192000</v>
      </c>
      <c r="H18" s="34"/>
      <c r="I18" s="2"/>
      <c r="K18" s="70"/>
      <c r="L18" s="71"/>
      <c r="M18" s="71"/>
      <c r="N18" s="71"/>
      <c r="O18" s="71"/>
      <c r="P18" s="72"/>
      <c r="R18" s="30"/>
      <c r="S18" s="30"/>
      <c r="T18" s="30"/>
      <c r="U18" s="30"/>
      <c r="V18" s="30"/>
      <c r="W18" s="30"/>
      <c r="X18" s="30"/>
      <c r="Y18" s="30"/>
      <c r="AC18" s="53"/>
      <c r="AD18" s="63"/>
      <c r="AE18" s="54"/>
      <c r="AF18" s="54"/>
      <c r="AG18" s="62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47" t="s">
        <v>50</v>
      </c>
      <c r="AD19" s="50" t="s">
        <v>50</v>
      </c>
      <c r="AE19" s="50" t="s">
        <v>50</v>
      </c>
      <c r="AF19" s="50" t="s">
        <v>50</v>
      </c>
      <c r="AG19" s="48" t="s">
        <v>50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47"/>
      <c r="AD20" s="50"/>
      <c r="AE20" s="50"/>
      <c r="AF20" s="50"/>
      <c r="AG20" s="48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47"/>
      <c r="AD21" s="50"/>
      <c r="AE21" s="50"/>
      <c r="AF21" s="50"/>
      <c r="AG21" s="48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4:AC6"/>
    <mergeCell ref="AD4:AD6"/>
    <mergeCell ref="AE4:AE6"/>
    <mergeCell ref="AF4:AF6"/>
    <mergeCell ref="AG4:AG6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C19:AC21"/>
    <mergeCell ref="AG19:AG21"/>
    <mergeCell ref="AC7:AC9"/>
    <mergeCell ref="AG7:AG9"/>
    <mergeCell ref="AD19:AD21"/>
    <mergeCell ref="AE19:AE21"/>
    <mergeCell ref="AF19:AF21"/>
    <mergeCell ref="AD7:AD9"/>
    <mergeCell ref="AE7:AE9"/>
    <mergeCell ref="AF7:AF9"/>
    <mergeCell ref="AC10:AC12"/>
    <mergeCell ref="AD10:AD12"/>
    <mergeCell ref="AE10:AE12"/>
    <mergeCell ref="AD13:AD15"/>
    <mergeCell ref="AE13:AE15"/>
    <mergeCell ref="AF10:AF12"/>
    <mergeCell ref="A10:F10"/>
    <mergeCell ref="G10:H10"/>
    <mergeCell ref="G9:H9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topLeftCell="A3" zoomScale="70" zoomScaleNormal="70" workbookViewId="0">
      <selection activeCell="N42" sqref="N42"/>
    </sheetView>
  </sheetViews>
  <sheetFormatPr defaultRowHeight="15" x14ac:dyDescent="0.25"/>
  <cols>
    <col min="2" max="2" width="5.85546875" customWidth="1"/>
    <col min="3" max="3" width="7.7109375" customWidth="1"/>
    <col min="4" max="4" width="5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1" max="21" width="9.2851562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62</v>
      </c>
      <c r="B2" t="s">
        <v>56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57</v>
      </c>
      <c r="L2" t="s">
        <v>58</v>
      </c>
      <c r="M2" t="s">
        <v>59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66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60</v>
      </c>
      <c r="C3" s="14">
        <v>0</v>
      </c>
      <c r="D3" s="14">
        <v>12</v>
      </c>
      <c r="E3" s="15">
        <v>-0.28053334000000002</v>
      </c>
      <c r="F3" s="15">
        <v>-0.27594168000000002</v>
      </c>
      <c r="G3" s="15">
        <v>-4.59167E-3</v>
      </c>
      <c r="H3" s="15">
        <v>0.50258744</v>
      </c>
      <c r="I3" s="15">
        <v>0.49742491999999999</v>
      </c>
      <c r="J3" s="15">
        <v>5.1625100000000004E-3</v>
      </c>
      <c r="K3" s="18">
        <v>25.9</v>
      </c>
      <c r="L3" s="18">
        <v>25.89</v>
      </c>
      <c r="M3" s="18">
        <v>0.01</v>
      </c>
      <c r="N3" s="15">
        <v>5.1639409999999997E-2</v>
      </c>
      <c r="O3" s="15">
        <v>3.9528599999999997E-2</v>
      </c>
      <c r="P3" s="15">
        <v>1.21108E-2</v>
      </c>
      <c r="Q3" s="15">
        <v>4.9515799999999997E-3</v>
      </c>
      <c r="R3" s="15">
        <v>-1.439474E-2</v>
      </c>
      <c r="S3" s="15">
        <v>1.9346309999999999E-2</v>
      </c>
      <c r="T3" s="14"/>
      <c r="U3" s="15">
        <f>(F3-E3)/2</f>
        <v>2.2958299999999987E-3</v>
      </c>
      <c r="V3" s="15">
        <f t="shared" ref="V3:V34" si="0">(H3-I3)/2</f>
        <v>2.5812600000000019E-3</v>
      </c>
      <c r="W3" s="15"/>
      <c r="X3" s="15"/>
      <c r="Y3" s="16">
        <f t="shared" ref="Y3:Y34" si="1">N3</f>
        <v>5.1639409999999997E-2</v>
      </c>
      <c r="Z3" s="16">
        <f t="shared" ref="Z3:Z34" si="2">Q3</f>
        <v>4.9515799999999997E-3</v>
      </c>
      <c r="AA3" s="16">
        <f t="shared" ref="AA3:AA34" si="3">O3</f>
        <v>3.9528599999999997E-2</v>
      </c>
      <c r="AB3" s="16">
        <f t="shared" ref="AB3:AB34" si="4">R3</f>
        <v>-1.439474E-2</v>
      </c>
      <c r="AC3" s="17">
        <f>IF(Y3="","",DEGREES(ASIN(SQRT(Y3^2+Z3^2))))</f>
        <v>2.9736257701734794</v>
      </c>
      <c r="AD3" s="17">
        <f>IF(AA3="","",DEGREES(ASIN(SQRT(AA3^2+AB3^2))))</f>
        <v>2.4110318038086191</v>
      </c>
      <c r="AE3" s="17">
        <f>IF(Y3="","",MOD(DEGREES(ATAN2(Y3,Z3)),360))</f>
        <v>5.4772101402492464</v>
      </c>
      <c r="AF3" s="17">
        <f t="shared" ref="AF3:AF34" si="5">IF(Y3="","",MOD(F3+AE3,360))</f>
        <v>5.2012684602492465</v>
      </c>
    </row>
    <row r="4" spans="1:32" x14ac:dyDescent="0.25">
      <c r="A4" s="14">
        <v>2</v>
      </c>
      <c r="B4" s="14" t="s">
        <v>60</v>
      </c>
      <c r="C4" s="14">
        <v>22.5</v>
      </c>
      <c r="D4" s="14">
        <v>16</v>
      </c>
      <c r="E4" s="15">
        <v>-0.27604689999999998</v>
      </c>
      <c r="F4" s="15">
        <v>-0.27446562000000002</v>
      </c>
      <c r="G4" s="15">
        <v>-1.58128E-3</v>
      </c>
      <c r="H4" s="15">
        <v>0.49888744000000002</v>
      </c>
      <c r="I4" s="15">
        <v>0.49384676</v>
      </c>
      <c r="J4" s="15">
        <v>5.0407100000000003E-3</v>
      </c>
      <c r="K4" s="18">
        <v>26.03</v>
      </c>
      <c r="L4" s="18">
        <v>26.04</v>
      </c>
      <c r="M4" s="18">
        <v>0</v>
      </c>
      <c r="N4" s="15">
        <v>5.622833E-2</v>
      </c>
      <c r="O4" s="15">
        <v>3.585617E-2</v>
      </c>
      <c r="P4" s="15">
        <v>2.037216E-2</v>
      </c>
      <c r="Q4" s="15">
        <v>1.7327899999999999E-3</v>
      </c>
      <c r="R4" s="15">
        <v>-1.1295009999999999E-2</v>
      </c>
      <c r="S4" s="15">
        <v>1.3027800000000001E-2</v>
      </c>
      <c r="T4" s="14"/>
      <c r="U4" s="15">
        <f t="shared" ref="U4:U34" si="6">(F4-E4)/2</f>
        <v>7.9063999999998136E-4</v>
      </c>
      <c r="V4" s="15">
        <f t="shared" si="0"/>
        <v>2.5203400000000098E-3</v>
      </c>
      <c r="W4" s="15"/>
      <c r="X4" s="15"/>
      <c r="Y4" s="16">
        <f t="shared" si="1"/>
        <v>5.622833E-2</v>
      </c>
      <c r="Z4" s="16">
        <f t="shared" si="2"/>
        <v>1.7327899999999999E-3</v>
      </c>
      <c r="AA4" s="16">
        <f t="shared" si="3"/>
        <v>3.585617E-2</v>
      </c>
      <c r="AB4" s="16">
        <f t="shared" si="4"/>
        <v>-1.1295009999999999E-2</v>
      </c>
      <c r="AC4" s="17">
        <f t="shared" ref="AC4:AC18" si="7">IF(Y4="","",DEGREES(ASIN(SQRT(Y4^2+Z4^2))))</f>
        <v>3.2248778667870637</v>
      </c>
      <c r="AD4" s="17">
        <f t="shared" ref="AD4:AD18" si="8">IF(AA4="","",DEGREES(ASIN(SQRT(AA4^2+AB4^2))))</f>
        <v>2.1544343983619267</v>
      </c>
      <c r="AE4" s="17">
        <f t="shared" ref="AE4:AE18" si="9">IF(Y4="","",MOD(DEGREES(ATAN2(Y4,Z4)),360))</f>
        <v>1.7651269885845753</v>
      </c>
      <c r="AF4" s="17">
        <f t="shared" si="5"/>
        <v>1.4906613685845753</v>
      </c>
    </row>
    <row r="5" spans="1:32" x14ac:dyDescent="0.25">
      <c r="A5" s="14">
        <v>3</v>
      </c>
      <c r="B5" s="14" t="s">
        <v>60</v>
      </c>
      <c r="C5" s="14">
        <v>45</v>
      </c>
      <c r="D5" s="14">
        <v>20</v>
      </c>
      <c r="E5" s="15">
        <v>-0.27879500000000002</v>
      </c>
      <c r="F5" s="15">
        <v>-0.27516501999999998</v>
      </c>
      <c r="G5" s="15">
        <v>-3.6299800000000001E-3</v>
      </c>
      <c r="H5" s="15">
        <v>0.501695</v>
      </c>
      <c r="I5" s="15">
        <v>0.49443500000000001</v>
      </c>
      <c r="J5" s="15">
        <v>7.25999E-3</v>
      </c>
      <c r="K5" s="18">
        <v>25.99</v>
      </c>
      <c r="L5" s="18">
        <v>25.98</v>
      </c>
      <c r="M5" s="18">
        <v>0.01</v>
      </c>
      <c r="N5" s="15">
        <v>5.7631830000000002E-2</v>
      </c>
      <c r="O5" s="15">
        <v>3.4271969999999999E-2</v>
      </c>
      <c r="P5" s="15">
        <v>2.335986E-2</v>
      </c>
      <c r="Q5" s="15">
        <v>-2.5908200000000002E-3</v>
      </c>
      <c r="R5" s="15">
        <v>-6.9040500000000001E-3</v>
      </c>
      <c r="S5" s="15">
        <v>4.3132300000000004E-3</v>
      </c>
      <c r="T5" s="14"/>
      <c r="U5" s="15">
        <f t="shared" si="6"/>
        <v>1.8149900000000163E-3</v>
      </c>
      <c r="V5" s="15">
        <f t="shared" si="0"/>
        <v>3.6299999999999943E-3</v>
      </c>
      <c r="W5" s="15"/>
      <c r="X5" s="15"/>
      <c r="Y5" s="16">
        <f t="shared" si="1"/>
        <v>5.7631830000000002E-2</v>
      </c>
      <c r="Z5" s="16">
        <f t="shared" si="2"/>
        <v>-2.5908200000000002E-3</v>
      </c>
      <c r="AA5" s="16">
        <f t="shared" si="3"/>
        <v>3.4271969999999999E-2</v>
      </c>
      <c r="AB5" s="16">
        <f t="shared" si="4"/>
        <v>-6.9040500000000001E-3</v>
      </c>
      <c r="AC5" s="17">
        <f t="shared" si="7"/>
        <v>3.3072317662132753</v>
      </c>
      <c r="AD5" s="17">
        <f t="shared" si="8"/>
        <v>2.0034951304245894</v>
      </c>
      <c r="AE5" s="17">
        <f t="shared" si="9"/>
        <v>357.42602004389056</v>
      </c>
      <c r="AF5" s="17">
        <f t="shared" si="5"/>
        <v>357.15085502389059</v>
      </c>
    </row>
    <row r="6" spans="1:32" x14ac:dyDescent="0.25">
      <c r="A6" s="14">
        <v>4</v>
      </c>
      <c r="B6" s="14" t="s">
        <v>60</v>
      </c>
      <c r="C6" s="14">
        <v>67.5</v>
      </c>
      <c r="D6" s="14">
        <v>19</v>
      </c>
      <c r="E6" s="15">
        <v>-0.28024473999999999</v>
      </c>
      <c r="F6" s="15">
        <v>-0.27636316</v>
      </c>
      <c r="G6" s="15">
        <v>-3.88157E-3</v>
      </c>
      <c r="H6" s="15">
        <v>0.50275510000000001</v>
      </c>
      <c r="I6" s="15">
        <v>0.49613415999999999</v>
      </c>
      <c r="J6" s="15">
        <v>6.6209399999999996E-3</v>
      </c>
      <c r="K6" s="18">
        <v>25.98</v>
      </c>
      <c r="L6" s="18">
        <v>25.98</v>
      </c>
      <c r="M6" s="18">
        <v>0</v>
      </c>
      <c r="N6" s="15">
        <v>5.7835640000000001E-2</v>
      </c>
      <c r="O6" s="15">
        <v>3.4741590000000003E-2</v>
      </c>
      <c r="P6" s="15">
        <v>2.3094050000000001E-2</v>
      </c>
      <c r="Q6" s="15">
        <v>-7.1677099999999999E-3</v>
      </c>
      <c r="R6" s="15">
        <v>-2.3269200000000001E-3</v>
      </c>
      <c r="S6" s="15">
        <v>-4.8407900000000002E-3</v>
      </c>
      <c r="T6" s="14"/>
      <c r="U6" s="15">
        <f t="shared" si="6"/>
        <v>1.9407899999999978E-3</v>
      </c>
      <c r="V6" s="15">
        <f t="shared" si="0"/>
        <v>3.3104700000000098E-3</v>
      </c>
      <c r="W6" s="15"/>
      <c r="X6" s="15"/>
      <c r="Y6" s="16">
        <f t="shared" si="1"/>
        <v>5.7835640000000001E-2</v>
      </c>
      <c r="Z6" s="16">
        <f t="shared" si="2"/>
        <v>-7.1677099999999999E-3</v>
      </c>
      <c r="AA6" s="16">
        <f t="shared" si="3"/>
        <v>3.4741590000000003E-2</v>
      </c>
      <c r="AB6" s="16">
        <f t="shared" si="4"/>
        <v>-2.3269200000000001E-3</v>
      </c>
      <c r="AC6" s="17">
        <f t="shared" si="7"/>
        <v>3.3409823623594503</v>
      </c>
      <c r="AD6" s="17">
        <f t="shared" si="8"/>
        <v>1.9954096658200327</v>
      </c>
      <c r="AE6" s="17">
        <f t="shared" si="9"/>
        <v>352.93521913551882</v>
      </c>
      <c r="AF6" s="17">
        <f t="shared" si="5"/>
        <v>352.6588559755188</v>
      </c>
    </row>
    <row r="7" spans="1:32" x14ac:dyDescent="0.25">
      <c r="A7" s="14">
        <v>5</v>
      </c>
      <c r="B7" s="14" t="s">
        <v>60</v>
      </c>
      <c r="C7" s="14">
        <v>90</v>
      </c>
      <c r="D7" s="14">
        <v>16</v>
      </c>
      <c r="E7" s="15">
        <v>-0.27456248</v>
      </c>
      <c r="F7" s="15">
        <v>-0.27482815999999999</v>
      </c>
      <c r="G7" s="15">
        <v>2.6569000000000001E-4</v>
      </c>
      <c r="H7" s="15">
        <v>0.50067176000000002</v>
      </c>
      <c r="I7" s="15">
        <v>0.493425</v>
      </c>
      <c r="J7" s="15">
        <v>7.2467599999999997E-3</v>
      </c>
      <c r="K7" s="18">
        <v>25.98</v>
      </c>
      <c r="L7" s="18">
        <v>25.98</v>
      </c>
      <c r="M7" s="18">
        <v>0</v>
      </c>
      <c r="N7" s="15">
        <v>5.5676879999999998E-2</v>
      </c>
      <c r="O7" s="15">
        <v>3.6977690000000001E-2</v>
      </c>
      <c r="P7" s="15">
        <v>1.8699179999999999E-2</v>
      </c>
      <c r="Q7" s="15">
        <v>-1.1467740000000001E-2</v>
      </c>
      <c r="R7" s="15">
        <v>1.8690499999999999E-3</v>
      </c>
      <c r="S7" s="15">
        <v>-1.3336789999999999E-2</v>
      </c>
      <c r="T7" s="14"/>
      <c r="U7" s="15">
        <f t="shared" si="6"/>
        <v>-1.3283999999999518E-4</v>
      </c>
      <c r="V7" s="15">
        <f t="shared" si="0"/>
        <v>3.6233800000000094E-3</v>
      </c>
      <c r="W7" s="15"/>
      <c r="X7" s="15"/>
      <c r="Y7" s="16">
        <f t="shared" si="1"/>
        <v>5.5676879999999998E-2</v>
      </c>
      <c r="Z7" s="16">
        <f t="shared" si="2"/>
        <v>-1.1467740000000001E-2</v>
      </c>
      <c r="AA7" s="16">
        <f t="shared" si="3"/>
        <v>3.6977690000000001E-2</v>
      </c>
      <c r="AB7" s="16">
        <f t="shared" si="4"/>
        <v>1.8690499999999999E-3</v>
      </c>
      <c r="AC7" s="17">
        <f t="shared" si="7"/>
        <v>3.258770552724771</v>
      </c>
      <c r="AD7" s="17">
        <f t="shared" si="8"/>
        <v>2.1218552404445594</v>
      </c>
      <c r="AE7" s="17">
        <f t="shared" si="9"/>
        <v>348.36157511239122</v>
      </c>
      <c r="AF7" s="17">
        <f t="shared" si="5"/>
        <v>348.0867469523912</v>
      </c>
    </row>
    <row r="8" spans="1:32" x14ac:dyDescent="0.25">
      <c r="A8" s="14">
        <v>6</v>
      </c>
      <c r="B8" s="14" t="s">
        <v>60</v>
      </c>
      <c r="C8" s="14">
        <v>112.5</v>
      </c>
      <c r="D8" s="14">
        <v>22</v>
      </c>
      <c r="E8" s="15">
        <v>-0.2735341</v>
      </c>
      <c r="F8" s="15">
        <v>-0.27890004000000002</v>
      </c>
      <c r="G8" s="15">
        <v>5.3659399999999996E-3</v>
      </c>
      <c r="H8" s="15">
        <v>0.50425909999999996</v>
      </c>
      <c r="I8" s="15">
        <v>0.49718859999999998</v>
      </c>
      <c r="J8" s="15">
        <v>7.0705100000000003E-3</v>
      </c>
      <c r="K8" s="18">
        <v>25.96</v>
      </c>
      <c r="L8" s="18">
        <v>25.96</v>
      </c>
      <c r="M8" s="18">
        <v>0</v>
      </c>
      <c r="N8" s="15">
        <v>5.2313239999999997E-2</v>
      </c>
      <c r="O8" s="15">
        <v>4.0447549999999999E-2</v>
      </c>
      <c r="P8" s="15">
        <v>1.186569E-2</v>
      </c>
      <c r="Q8" s="15">
        <v>-1.463335E-2</v>
      </c>
      <c r="R8" s="15">
        <v>5.1707899999999998E-3</v>
      </c>
      <c r="S8" s="15">
        <v>-1.980413E-2</v>
      </c>
      <c r="T8" s="14"/>
      <c r="U8" s="15">
        <f t="shared" si="6"/>
        <v>-2.6829700000000067E-3</v>
      </c>
      <c r="V8" s="15">
        <f t="shared" si="0"/>
        <v>3.5352499999999898E-3</v>
      </c>
      <c r="W8" s="15"/>
      <c r="X8" s="15"/>
      <c r="Y8" s="16">
        <f t="shared" si="1"/>
        <v>5.2313239999999997E-2</v>
      </c>
      <c r="Z8" s="16">
        <f t="shared" si="2"/>
        <v>-1.463335E-2</v>
      </c>
      <c r="AA8" s="16">
        <f t="shared" si="3"/>
        <v>4.0447549999999999E-2</v>
      </c>
      <c r="AB8" s="16">
        <f t="shared" si="4"/>
        <v>5.1707899999999998E-3</v>
      </c>
      <c r="AC8" s="17">
        <f t="shared" si="7"/>
        <v>3.1139173032357945</v>
      </c>
      <c r="AD8" s="17">
        <f t="shared" si="8"/>
        <v>2.3369822311982182</v>
      </c>
      <c r="AE8" s="17">
        <f t="shared" si="9"/>
        <v>344.37233603736991</v>
      </c>
      <c r="AF8" s="17">
        <f t="shared" si="5"/>
        <v>344.09343599736991</v>
      </c>
    </row>
    <row r="9" spans="1:32" x14ac:dyDescent="0.25">
      <c r="A9" s="14">
        <v>7</v>
      </c>
      <c r="B9" s="14" t="s">
        <v>60</v>
      </c>
      <c r="C9" s="14">
        <v>135</v>
      </c>
      <c r="D9" s="14">
        <v>16</v>
      </c>
      <c r="E9" s="15">
        <v>-0.27390626000000001</v>
      </c>
      <c r="F9" s="15">
        <v>-0.2803563</v>
      </c>
      <c r="G9" s="15">
        <v>6.4500299999999998E-3</v>
      </c>
      <c r="H9" s="15">
        <v>0.50115936000000005</v>
      </c>
      <c r="I9" s="15">
        <v>0.49696869999999999</v>
      </c>
      <c r="J9" s="15">
        <v>4.1906799999999996E-3</v>
      </c>
      <c r="K9" s="18">
        <v>25.96</v>
      </c>
      <c r="L9" s="18">
        <v>25.97</v>
      </c>
      <c r="M9" s="18">
        <v>0</v>
      </c>
      <c r="N9" s="15">
        <v>4.7990270000000002E-2</v>
      </c>
      <c r="O9" s="15">
        <v>4.4505919999999997E-2</v>
      </c>
      <c r="P9" s="15">
        <v>3.4843500000000002E-3</v>
      </c>
      <c r="Q9" s="15">
        <v>-1.6312409999999999E-2</v>
      </c>
      <c r="R9" s="15">
        <v>6.9218400000000003E-3</v>
      </c>
      <c r="S9" s="15">
        <v>-2.3234250000000001E-2</v>
      </c>
      <c r="T9" s="14"/>
      <c r="U9" s="15">
        <f t="shared" si="6"/>
        <v>-3.2250199999999951E-3</v>
      </c>
      <c r="V9" s="15">
        <f t="shared" si="0"/>
        <v>2.0953300000000341E-3</v>
      </c>
      <c r="W9" s="15"/>
      <c r="X9" s="15"/>
      <c r="Y9" s="16">
        <f t="shared" si="1"/>
        <v>4.7990270000000002E-2</v>
      </c>
      <c r="Z9" s="16">
        <f t="shared" si="2"/>
        <v>-1.6312409999999999E-2</v>
      </c>
      <c r="AA9" s="16">
        <f t="shared" si="3"/>
        <v>4.4505919999999997E-2</v>
      </c>
      <c r="AB9" s="16">
        <f t="shared" si="4"/>
        <v>6.9218400000000003E-3</v>
      </c>
      <c r="AC9" s="17">
        <f t="shared" si="7"/>
        <v>2.9053898023161628</v>
      </c>
      <c r="AD9" s="17">
        <f t="shared" si="8"/>
        <v>2.5815307184313983</v>
      </c>
      <c r="AE9" s="17">
        <f t="shared" si="9"/>
        <v>341.22654924216778</v>
      </c>
      <c r="AF9" s="17">
        <f t="shared" si="5"/>
        <v>340.94619294216778</v>
      </c>
    </row>
    <row r="10" spans="1:32" x14ac:dyDescent="0.25">
      <c r="A10" s="14">
        <v>8</v>
      </c>
      <c r="B10" s="14" t="s">
        <v>60</v>
      </c>
      <c r="C10" s="14">
        <v>157.5</v>
      </c>
      <c r="D10" s="14">
        <v>17</v>
      </c>
      <c r="E10" s="15">
        <v>-0.27144116000000001</v>
      </c>
      <c r="F10" s="15">
        <v>-0.27820297999999999</v>
      </c>
      <c r="G10" s="15">
        <v>6.76182E-3</v>
      </c>
      <c r="H10" s="15">
        <v>0.49773524000000002</v>
      </c>
      <c r="I10" s="15">
        <v>0.49660872</v>
      </c>
      <c r="J10" s="15">
        <v>1.1265299999999999E-3</v>
      </c>
      <c r="K10" s="18">
        <v>25.98</v>
      </c>
      <c r="L10" s="18">
        <v>25.98</v>
      </c>
      <c r="M10" s="18">
        <v>0</v>
      </c>
      <c r="N10" s="15">
        <v>4.37477E-2</v>
      </c>
      <c r="O10" s="15">
        <v>4.9251490000000002E-2</v>
      </c>
      <c r="P10" s="15">
        <v>-5.5037799999999998E-3</v>
      </c>
      <c r="Q10" s="15">
        <v>-1.6108109999999998E-2</v>
      </c>
      <c r="R10" s="15">
        <v>6.8243100000000001E-3</v>
      </c>
      <c r="S10" s="15">
        <v>-2.2932419999999999E-2</v>
      </c>
      <c r="T10" s="14"/>
      <c r="U10" s="15">
        <f t="shared" si="6"/>
        <v>-3.380909999999987E-3</v>
      </c>
      <c r="V10" s="15">
        <f t="shared" si="0"/>
        <v>5.6326000000000986E-4</v>
      </c>
      <c r="W10" s="15"/>
      <c r="X10" s="15"/>
      <c r="Y10" s="16">
        <f t="shared" si="1"/>
        <v>4.37477E-2</v>
      </c>
      <c r="Z10" s="16">
        <f t="shared" si="2"/>
        <v>-1.6108109999999998E-2</v>
      </c>
      <c r="AA10" s="16">
        <f t="shared" si="3"/>
        <v>4.9251490000000002E-2</v>
      </c>
      <c r="AB10" s="16">
        <f t="shared" si="4"/>
        <v>6.8243100000000001E-3</v>
      </c>
      <c r="AC10" s="17">
        <f t="shared" si="7"/>
        <v>2.672041214231442</v>
      </c>
      <c r="AD10" s="17">
        <f t="shared" si="8"/>
        <v>2.8500377594544157</v>
      </c>
      <c r="AE10" s="17">
        <f t="shared" si="9"/>
        <v>339.78605450637571</v>
      </c>
      <c r="AF10" s="17">
        <f t="shared" si="5"/>
        <v>339.5078515263757</v>
      </c>
    </row>
    <row r="11" spans="1:32" x14ac:dyDescent="0.25">
      <c r="A11" s="14">
        <v>9</v>
      </c>
      <c r="B11" s="14" t="s">
        <v>60</v>
      </c>
      <c r="C11" s="14">
        <v>180</v>
      </c>
      <c r="D11" s="14">
        <v>10</v>
      </c>
      <c r="E11" s="15">
        <v>-0.27059497999999998</v>
      </c>
      <c r="F11" s="15">
        <v>-0.274335</v>
      </c>
      <c r="G11" s="15">
        <v>3.7400100000000002E-3</v>
      </c>
      <c r="H11" s="15">
        <v>0.50394499999999998</v>
      </c>
      <c r="I11" s="15">
        <v>0.50097495999999997</v>
      </c>
      <c r="J11" s="15">
        <v>2.9700400000000002E-3</v>
      </c>
      <c r="K11" s="18">
        <v>25.97</v>
      </c>
      <c r="L11" s="18">
        <v>25.96</v>
      </c>
      <c r="M11" s="18">
        <v>0.01</v>
      </c>
      <c r="N11" s="15">
        <v>3.9592040000000002E-2</v>
      </c>
      <c r="O11" s="15">
        <v>5.2927250000000002E-2</v>
      </c>
      <c r="P11" s="15">
        <v>-1.333521E-2</v>
      </c>
      <c r="Q11" s="15">
        <v>-1.470581E-2</v>
      </c>
      <c r="R11" s="15">
        <v>4.95898E-3</v>
      </c>
      <c r="S11" s="15">
        <v>-1.9664790000000001E-2</v>
      </c>
      <c r="T11" s="14"/>
      <c r="U11" s="15">
        <f t="shared" si="6"/>
        <v>-1.8700100000000053E-3</v>
      </c>
      <c r="V11" s="15">
        <f t="shared" si="0"/>
        <v>1.4850200000000036E-3</v>
      </c>
      <c r="W11" s="15"/>
      <c r="X11" s="15"/>
      <c r="Y11" s="16">
        <f t="shared" si="1"/>
        <v>3.9592040000000002E-2</v>
      </c>
      <c r="Z11" s="16">
        <f t="shared" si="2"/>
        <v>-1.470581E-2</v>
      </c>
      <c r="AA11" s="16">
        <f t="shared" si="3"/>
        <v>5.2927250000000002E-2</v>
      </c>
      <c r="AB11" s="16">
        <f t="shared" si="4"/>
        <v>4.95898E-3</v>
      </c>
      <c r="AC11" s="17">
        <f t="shared" si="7"/>
        <v>2.4206040343977961</v>
      </c>
      <c r="AD11" s="17">
        <f t="shared" si="8"/>
        <v>3.0472259093831808</v>
      </c>
      <c r="AE11" s="17">
        <f t="shared" si="9"/>
        <v>339.62331662145061</v>
      </c>
      <c r="AF11" s="17">
        <f t="shared" si="5"/>
        <v>339.3489816214506</v>
      </c>
    </row>
    <row r="12" spans="1:32" x14ac:dyDescent="0.25">
      <c r="A12" s="14">
        <v>10</v>
      </c>
      <c r="B12" s="14" t="s">
        <v>60</v>
      </c>
      <c r="C12" s="14">
        <v>202.5</v>
      </c>
      <c r="D12" s="14">
        <v>14</v>
      </c>
      <c r="E12" s="15">
        <v>-0.27722501999999999</v>
      </c>
      <c r="F12" s="15">
        <v>-0.27986070000000002</v>
      </c>
      <c r="G12" s="15">
        <v>2.63569E-3</v>
      </c>
      <c r="H12" s="15">
        <v>0.50128216000000003</v>
      </c>
      <c r="I12" s="15">
        <v>0.5035714</v>
      </c>
      <c r="J12" s="15">
        <v>-2.2892400000000001E-3</v>
      </c>
      <c r="K12" s="18">
        <v>25.94</v>
      </c>
      <c r="L12" s="18">
        <v>25.94</v>
      </c>
      <c r="M12" s="18">
        <v>-0.01</v>
      </c>
      <c r="N12" s="15">
        <v>3.5542690000000002E-2</v>
      </c>
      <c r="O12" s="15">
        <v>5.5678360000000003E-2</v>
      </c>
      <c r="P12" s="15">
        <v>-2.0135670000000001E-2</v>
      </c>
      <c r="Q12" s="15">
        <v>-1.121948E-2</v>
      </c>
      <c r="R12" s="15">
        <v>1.8193700000000001E-3</v>
      </c>
      <c r="S12" s="15">
        <v>-1.3038849999999999E-2</v>
      </c>
      <c r="T12" s="14"/>
      <c r="U12" s="15">
        <f t="shared" si="6"/>
        <v>-1.3178400000000146E-3</v>
      </c>
      <c r="V12" s="15">
        <f t="shared" si="0"/>
        <v>-1.1446199999999851E-3</v>
      </c>
      <c r="W12" s="15"/>
      <c r="X12" s="15"/>
      <c r="Y12" s="16">
        <f t="shared" si="1"/>
        <v>3.5542690000000002E-2</v>
      </c>
      <c r="Z12" s="16">
        <f t="shared" si="2"/>
        <v>-1.121948E-2</v>
      </c>
      <c r="AA12" s="16">
        <f t="shared" si="3"/>
        <v>5.5678360000000003E-2</v>
      </c>
      <c r="AB12" s="16">
        <f t="shared" si="4"/>
        <v>1.8193700000000001E-3</v>
      </c>
      <c r="AC12" s="17">
        <f t="shared" si="7"/>
        <v>2.1359904069523163</v>
      </c>
      <c r="AD12" s="17">
        <f t="shared" si="8"/>
        <v>3.1934909449297915</v>
      </c>
      <c r="AE12" s="17">
        <f t="shared" si="9"/>
        <v>342.48106830439599</v>
      </c>
      <c r="AF12" s="17">
        <f t="shared" si="5"/>
        <v>342.20120760439602</v>
      </c>
    </row>
    <row r="13" spans="1:32" x14ac:dyDescent="0.25">
      <c r="A13" s="14">
        <v>11</v>
      </c>
      <c r="B13" s="14" t="s">
        <v>60</v>
      </c>
      <c r="C13" s="14">
        <v>225</v>
      </c>
      <c r="D13" s="14">
        <v>15</v>
      </c>
      <c r="E13" s="15">
        <v>-0.28017332</v>
      </c>
      <c r="F13" s="15">
        <v>-0.28623668000000002</v>
      </c>
      <c r="G13" s="15">
        <v>6.0633400000000004E-3</v>
      </c>
      <c r="H13" s="15">
        <v>0.51285992000000002</v>
      </c>
      <c r="I13" s="15">
        <v>0.51596660000000005</v>
      </c>
      <c r="J13" s="15">
        <v>-3.1066499999999999E-3</v>
      </c>
      <c r="K13" s="18">
        <v>25.81</v>
      </c>
      <c r="L13" s="18">
        <v>25.82</v>
      </c>
      <c r="M13" s="18">
        <v>0</v>
      </c>
      <c r="N13" s="15">
        <v>3.4891760000000001E-2</v>
      </c>
      <c r="O13" s="15">
        <v>5.8455239999999999E-2</v>
      </c>
      <c r="P13" s="15">
        <v>-2.356347E-2</v>
      </c>
      <c r="Q13" s="15">
        <v>-7.0200200000000001E-3</v>
      </c>
      <c r="R13" s="15">
        <v>-2.2960599999999999E-3</v>
      </c>
      <c r="S13" s="15">
        <v>-4.7239600000000001E-3</v>
      </c>
      <c r="T13" s="14"/>
      <c r="U13" s="15">
        <f t="shared" si="6"/>
        <v>-3.0316800000000088E-3</v>
      </c>
      <c r="V13" s="15">
        <f t="shared" si="0"/>
        <v>-1.5533400000000142E-3</v>
      </c>
      <c r="W13" s="15"/>
      <c r="X13" s="15"/>
      <c r="Y13" s="16">
        <f t="shared" si="1"/>
        <v>3.4891760000000001E-2</v>
      </c>
      <c r="Z13" s="16">
        <f t="shared" si="2"/>
        <v>-7.0200200000000001E-3</v>
      </c>
      <c r="AA13" s="16">
        <f t="shared" si="3"/>
        <v>5.8455239999999999E-2</v>
      </c>
      <c r="AB13" s="16">
        <f t="shared" si="4"/>
        <v>-2.2960599999999999E-3</v>
      </c>
      <c r="AC13" s="17">
        <f t="shared" si="7"/>
        <v>2.0396418854264358</v>
      </c>
      <c r="AD13" s="17">
        <f t="shared" si="8"/>
        <v>3.3537359743334938</v>
      </c>
      <c r="AE13" s="17">
        <f t="shared" si="9"/>
        <v>348.62429126922598</v>
      </c>
      <c r="AF13" s="17">
        <f t="shared" si="5"/>
        <v>348.33805458922598</v>
      </c>
    </row>
    <row r="14" spans="1:32" x14ac:dyDescent="0.25">
      <c r="A14" s="14">
        <v>12</v>
      </c>
      <c r="B14" s="14" t="s">
        <v>60</v>
      </c>
      <c r="C14" s="14">
        <v>247.5</v>
      </c>
      <c r="D14" s="14">
        <v>16</v>
      </c>
      <c r="E14" s="15">
        <v>-0.27402191999999997</v>
      </c>
      <c r="F14" s="15">
        <v>-0.27845313999999999</v>
      </c>
      <c r="G14" s="15">
        <v>4.4312199999999996E-3</v>
      </c>
      <c r="H14" s="15">
        <v>0.49302499999999999</v>
      </c>
      <c r="I14" s="15">
        <v>0.50181869999999995</v>
      </c>
      <c r="J14" s="15">
        <v>-8.7937399999999995E-3</v>
      </c>
      <c r="K14" s="18">
        <v>25.98</v>
      </c>
      <c r="L14" s="18">
        <v>25.98</v>
      </c>
      <c r="M14" s="18">
        <v>0</v>
      </c>
      <c r="N14" s="15">
        <v>3.4886929999999997E-2</v>
      </c>
      <c r="O14" s="15">
        <v>5.8727719999999997E-2</v>
      </c>
      <c r="P14" s="15">
        <v>-2.3840790000000001E-2</v>
      </c>
      <c r="Q14" s="15">
        <v>-2.1933E-3</v>
      </c>
      <c r="R14" s="15">
        <v>-6.9586200000000004E-3</v>
      </c>
      <c r="S14" s="15">
        <v>4.76532E-3</v>
      </c>
      <c r="T14" s="14"/>
      <c r="U14" s="15">
        <f t="shared" si="6"/>
        <v>-2.2156100000000067E-3</v>
      </c>
      <c r="V14" s="15">
        <f t="shared" si="0"/>
        <v>-4.3968499999999799E-3</v>
      </c>
      <c r="W14" s="15"/>
      <c r="X14" s="15"/>
      <c r="Y14" s="16">
        <f t="shared" si="1"/>
        <v>3.4886929999999997E-2</v>
      </c>
      <c r="Z14" s="16">
        <f t="shared" si="2"/>
        <v>-2.1933E-3</v>
      </c>
      <c r="AA14" s="16">
        <f t="shared" si="3"/>
        <v>5.8727719999999997E-2</v>
      </c>
      <c r="AB14" s="16">
        <f t="shared" si="4"/>
        <v>-6.9586200000000004E-3</v>
      </c>
      <c r="AC14" s="17">
        <f t="shared" si="7"/>
        <v>2.0032283176552603</v>
      </c>
      <c r="AD14" s="17">
        <f t="shared" si="8"/>
        <v>3.3903672157783404</v>
      </c>
      <c r="AE14" s="17">
        <f t="shared" si="9"/>
        <v>356.40261670531737</v>
      </c>
      <c r="AF14" s="17">
        <f t="shared" si="5"/>
        <v>356.12416356531736</v>
      </c>
    </row>
    <row r="15" spans="1:32" x14ac:dyDescent="0.25">
      <c r="A15" s="14">
        <v>13</v>
      </c>
      <c r="B15" s="14" t="s">
        <v>60</v>
      </c>
      <c r="C15" s="14">
        <v>270</v>
      </c>
      <c r="D15" s="14">
        <v>15</v>
      </c>
      <c r="E15" s="15">
        <v>-0.27739999999999998</v>
      </c>
      <c r="F15" s="15">
        <v>-0.27826003999999999</v>
      </c>
      <c r="G15" s="15">
        <v>8.6007E-4</v>
      </c>
      <c r="H15" s="15">
        <v>0.49799330000000003</v>
      </c>
      <c r="I15" s="15">
        <v>0.50385990000000003</v>
      </c>
      <c r="J15" s="15">
        <v>-5.8665899999999997E-3</v>
      </c>
      <c r="K15" s="18">
        <v>25.98</v>
      </c>
      <c r="L15" s="18">
        <v>25.98</v>
      </c>
      <c r="M15" s="18">
        <v>0</v>
      </c>
      <c r="N15" s="15">
        <v>3.662663E-2</v>
      </c>
      <c r="O15" s="15">
        <v>5.6588380000000001E-2</v>
      </c>
      <c r="P15" s="15">
        <v>-1.9961759999999999E-2</v>
      </c>
      <c r="Q15" s="15">
        <v>1.9324500000000001E-3</v>
      </c>
      <c r="R15" s="15">
        <v>-1.1135580000000001E-2</v>
      </c>
      <c r="S15" s="15">
        <v>1.306803E-2</v>
      </c>
      <c r="T15" s="14"/>
      <c r="U15" s="15">
        <f t="shared" si="6"/>
        <v>-4.3002000000000318E-4</v>
      </c>
      <c r="V15" s="15">
        <f t="shared" si="0"/>
        <v>-2.9332999999999998E-3</v>
      </c>
      <c r="W15" s="15"/>
      <c r="X15" s="15"/>
      <c r="Y15" s="16">
        <f t="shared" si="1"/>
        <v>3.662663E-2</v>
      </c>
      <c r="Z15" s="16">
        <f t="shared" si="2"/>
        <v>1.9324500000000001E-3</v>
      </c>
      <c r="AA15" s="16">
        <f t="shared" si="3"/>
        <v>5.6588380000000001E-2</v>
      </c>
      <c r="AB15" s="16">
        <f t="shared" si="4"/>
        <v>-1.1135580000000001E-2</v>
      </c>
      <c r="AC15" s="17">
        <f t="shared" si="7"/>
        <v>2.1019416073724417</v>
      </c>
      <c r="AD15" s="17">
        <f t="shared" si="8"/>
        <v>3.3062893938655655</v>
      </c>
      <c r="AE15" s="17">
        <f t="shared" si="9"/>
        <v>3.0201703543068721</v>
      </c>
      <c r="AF15" s="17">
        <f t="shared" si="5"/>
        <v>2.7419103143068719</v>
      </c>
    </row>
    <row r="16" spans="1:32" x14ac:dyDescent="0.25">
      <c r="A16" s="14">
        <v>14</v>
      </c>
      <c r="B16" s="14" t="s">
        <v>60</v>
      </c>
      <c r="C16" s="14">
        <v>292.5</v>
      </c>
      <c r="D16" s="14">
        <v>14</v>
      </c>
      <c r="E16" s="15">
        <v>-0.28117500000000001</v>
      </c>
      <c r="F16" s="15">
        <v>-0.27563214000000003</v>
      </c>
      <c r="G16" s="15">
        <v>-5.5428400000000003E-3</v>
      </c>
      <c r="H16" s="15">
        <v>0.50249279999999996</v>
      </c>
      <c r="I16" s="15">
        <v>0.50710699999999997</v>
      </c>
      <c r="J16" s="15">
        <v>-4.6142300000000004E-3</v>
      </c>
      <c r="K16" s="18">
        <v>25.91</v>
      </c>
      <c r="L16" s="18">
        <v>25.91</v>
      </c>
      <c r="M16" s="18">
        <v>0</v>
      </c>
      <c r="N16" s="15">
        <v>3.9722199999999999E-2</v>
      </c>
      <c r="O16" s="15">
        <v>5.4325129999999999E-2</v>
      </c>
      <c r="P16" s="15">
        <v>-1.460293E-2</v>
      </c>
      <c r="Q16" s="15">
        <v>5.0108100000000001E-3</v>
      </c>
      <c r="R16" s="15">
        <v>-1.4330880000000001E-2</v>
      </c>
      <c r="S16" s="15">
        <v>1.9341690000000002E-2</v>
      </c>
      <c r="T16" s="14"/>
      <c r="U16" s="15">
        <f t="shared" si="6"/>
        <v>2.7714299999999914E-3</v>
      </c>
      <c r="V16" s="15">
        <f t="shared" si="0"/>
        <v>-2.3071000000000064E-3</v>
      </c>
      <c r="W16" s="15"/>
      <c r="X16" s="15"/>
      <c r="Y16" s="16">
        <f t="shared" si="1"/>
        <v>3.9722199999999999E-2</v>
      </c>
      <c r="Z16" s="16">
        <f t="shared" si="2"/>
        <v>5.0108100000000001E-3</v>
      </c>
      <c r="AA16" s="16">
        <f t="shared" si="3"/>
        <v>5.4325129999999999E-2</v>
      </c>
      <c r="AB16" s="16">
        <f t="shared" si="4"/>
        <v>-1.4330880000000001E-2</v>
      </c>
      <c r="AC16" s="17">
        <f t="shared" si="7"/>
        <v>2.2945644341845011</v>
      </c>
      <c r="AD16" s="17">
        <f t="shared" si="8"/>
        <v>3.2207775745646017</v>
      </c>
      <c r="AE16" s="17">
        <f t="shared" si="9"/>
        <v>7.1896769657444599</v>
      </c>
      <c r="AF16" s="17">
        <f t="shared" si="5"/>
        <v>6.91404482574446</v>
      </c>
    </row>
    <row r="17" spans="1:32" x14ac:dyDescent="0.25">
      <c r="A17" s="14">
        <v>15</v>
      </c>
      <c r="B17" s="14" t="s">
        <v>60</v>
      </c>
      <c r="C17" s="14">
        <v>315</v>
      </c>
      <c r="D17" s="14">
        <v>18</v>
      </c>
      <c r="E17" s="15">
        <v>-0.27246944000000001</v>
      </c>
      <c r="F17" s="15">
        <v>-0.26885555999999999</v>
      </c>
      <c r="G17" s="15">
        <v>-3.61386E-3</v>
      </c>
      <c r="H17" s="15">
        <v>0.49883884000000001</v>
      </c>
      <c r="I17" s="15">
        <v>0.50401110000000005</v>
      </c>
      <c r="J17" s="15">
        <v>-5.1722499999999998E-3</v>
      </c>
      <c r="K17" s="18">
        <v>26.04</v>
      </c>
      <c r="L17" s="18">
        <v>26.05</v>
      </c>
      <c r="M17" s="18">
        <v>0</v>
      </c>
      <c r="N17" s="15">
        <v>4.4375669999999999E-2</v>
      </c>
      <c r="O17" s="15">
        <v>4.892904E-2</v>
      </c>
      <c r="P17" s="15">
        <v>-4.5533700000000002E-3</v>
      </c>
      <c r="Q17" s="15">
        <v>6.6535099999999996E-3</v>
      </c>
      <c r="R17" s="15">
        <v>-1.6191270000000001E-2</v>
      </c>
      <c r="S17" s="15">
        <v>2.2844779999999999E-2</v>
      </c>
      <c r="T17" s="14"/>
      <c r="U17" s="15">
        <f t="shared" si="6"/>
        <v>1.8069400000000069E-3</v>
      </c>
      <c r="V17" s="15">
        <f t="shared" si="0"/>
        <v>-2.5861300000000198E-3</v>
      </c>
      <c r="W17" s="15"/>
      <c r="X17" s="15"/>
      <c r="Y17" s="16">
        <f t="shared" si="1"/>
        <v>4.4375669999999999E-2</v>
      </c>
      <c r="Z17" s="16">
        <f t="shared" si="2"/>
        <v>6.6535099999999996E-3</v>
      </c>
      <c r="AA17" s="16">
        <f t="shared" si="3"/>
        <v>4.892904E-2</v>
      </c>
      <c r="AB17" s="16">
        <f t="shared" si="4"/>
        <v>-1.6191270000000001E-2</v>
      </c>
      <c r="AC17" s="17">
        <f t="shared" si="7"/>
        <v>2.5718224566273715</v>
      </c>
      <c r="AD17" s="17">
        <f t="shared" si="8"/>
        <v>2.9542424721965488</v>
      </c>
      <c r="AE17" s="17">
        <f t="shared" si="9"/>
        <v>8.5271787595469473</v>
      </c>
      <c r="AF17" s="17">
        <f t="shared" si="5"/>
        <v>8.2583231995469468</v>
      </c>
    </row>
    <row r="18" spans="1:32" x14ac:dyDescent="0.25">
      <c r="A18" s="14">
        <v>16</v>
      </c>
      <c r="B18" s="14" t="s">
        <v>60</v>
      </c>
      <c r="C18" s="14">
        <v>337.5</v>
      </c>
      <c r="D18" s="14">
        <v>15</v>
      </c>
      <c r="E18" s="15">
        <v>-0.27549336000000002</v>
      </c>
      <c r="F18" s="15">
        <v>-0.26709667999999998</v>
      </c>
      <c r="G18" s="15">
        <v>-8.3966900000000001E-3</v>
      </c>
      <c r="H18" s="15">
        <v>0.50199663999999999</v>
      </c>
      <c r="I18" s="15">
        <v>0.50093655999999998</v>
      </c>
      <c r="J18" s="15">
        <v>1.06007E-3</v>
      </c>
      <c r="K18" s="18">
        <v>26.03</v>
      </c>
      <c r="L18" s="18">
        <v>26.03</v>
      </c>
      <c r="M18" s="18">
        <v>0</v>
      </c>
      <c r="N18" s="15">
        <v>4.8350419999999998E-2</v>
      </c>
      <c r="O18" s="15">
        <v>4.4087719999999997E-2</v>
      </c>
      <c r="P18" s="15">
        <v>4.2627000000000003E-3</v>
      </c>
      <c r="Q18" s="15">
        <v>6.8102199999999996E-3</v>
      </c>
      <c r="R18" s="15">
        <v>-1.629622E-2</v>
      </c>
      <c r="S18" s="15">
        <v>2.3106450000000001E-2</v>
      </c>
      <c r="T18" s="14"/>
      <c r="U18" s="15">
        <f t="shared" si="6"/>
        <v>4.1983400000000226E-3</v>
      </c>
      <c r="V18" s="15">
        <f t="shared" si="0"/>
        <v>5.3004000000000939E-4</v>
      </c>
      <c r="W18" s="15"/>
      <c r="X18" s="15"/>
      <c r="Y18" s="16">
        <f t="shared" si="1"/>
        <v>4.8350419999999998E-2</v>
      </c>
      <c r="Z18" s="16">
        <f t="shared" si="2"/>
        <v>6.8102199999999996E-3</v>
      </c>
      <c r="AA18" s="16">
        <f t="shared" si="3"/>
        <v>4.4087719999999997E-2</v>
      </c>
      <c r="AB18" s="16">
        <f t="shared" si="4"/>
        <v>-1.629622E-2</v>
      </c>
      <c r="AC18" s="17">
        <f t="shared" si="7"/>
        <v>2.7987327632258774</v>
      </c>
      <c r="AD18" s="17">
        <f t="shared" si="8"/>
        <v>2.6940733576012392</v>
      </c>
      <c r="AE18" s="17">
        <f t="shared" si="9"/>
        <v>8.0174436254691184</v>
      </c>
      <c r="AF18" s="17">
        <f t="shared" si="5"/>
        <v>7.7503469454691185</v>
      </c>
    </row>
    <row r="19" spans="1:32" x14ac:dyDescent="0.25">
      <c r="A19" s="19">
        <v>17</v>
      </c>
      <c r="B19" s="19" t="s">
        <v>61</v>
      </c>
      <c r="C19" s="19">
        <v>0</v>
      </c>
      <c r="D19" s="19">
        <v>14</v>
      </c>
      <c r="E19" s="20">
        <v>-0.2730107</v>
      </c>
      <c r="F19" s="20">
        <v>-0.26582857999999998</v>
      </c>
      <c r="G19" s="20">
        <v>-7.1821200000000002E-3</v>
      </c>
      <c r="H19" s="20">
        <v>0.49897859999999999</v>
      </c>
      <c r="I19" s="20">
        <v>0.49403216</v>
      </c>
      <c r="J19" s="20">
        <v>4.9464399999999999E-3</v>
      </c>
      <c r="K19" s="21">
        <v>26.14</v>
      </c>
      <c r="L19" s="21">
        <v>26.14</v>
      </c>
      <c r="M19" s="21">
        <v>0</v>
      </c>
      <c r="N19" s="20">
        <v>5.3392679999999998E-2</v>
      </c>
      <c r="O19" s="20">
        <v>4.0321740000000002E-2</v>
      </c>
      <c r="P19" s="20">
        <v>1.307094E-2</v>
      </c>
      <c r="Q19" s="20">
        <v>4.90479E-3</v>
      </c>
      <c r="R19" s="20">
        <v>-1.463239E-2</v>
      </c>
      <c r="S19" s="20">
        <v>1.9537180000000001E-2</v>
      </c>
      <c r="T19" s="19"/>
      <c r="U19" s="20">
        <f t="shared" si="6"/>
        <v>3.591060000000007E-3</v>
      </c>
      <c r="V19" s="20">
        <f t="shared" si="0"/>
        <v>2.4732199999999982E-3</v>
      </c>
      <c r="W19" s="20"/>
      <c r="X19" s="20"/>
      <c r="Y19" s="22">
        <f t="shared" si="1"/>
        <v>5.3392679999999998E-2</v>
      </c>
      <c r="Z19" s="22">
        <f t="shared" si="2"/>
        <v>4.90479E-3</v>
      </c>
      <c r="AA19" s="22">
        <f t="shared" si="3"/>
        <v>4.0321740000000002E-2</v>
      </c>
      <c r="AB19" s="22">
        <f t="shared" si="4"/>
        <v>-1.463239E-2</v>
      </c>
      <c r="AC19" s="23">
        <f t="shared" ref="AC19:AC34" si="10">IF(Y19="","",DEGREES(ASIN(SQRT(Y19^2+Z19^2))))</f>
        <v>3.0735297395983943</v>
      </c>
      <c r="AD19" s="23">
        <f t="shared" ref="AD19:AD34" si="11">IF(AA19="","",DEGREES(ASIN(SQRT(AA19^2+AB19^2))))</f>
        <v>2.4584357367193044</v>
      </c>
      <c r="AE19" s="23">
        <f t="shared" ref="AE19:AE34" si="12">IF(Y19="","",MOD(DEGREES(ATAN2(Y19,Z19)),360))</f>
        <v>5.2486080448404815</v>
      </c>
      <c r="AF19" s="23">
        <f t="shared" si="5"/>
        <v>4.9827794648404815</v>
      </c>
    </row>
    <row r="20" spans="1:32" x14ac:dyDescent="0.25">
      <c r="A20" s="14">
        <v>18</v>
      </c>
      <c r="B20" s="14" t="s">
        <v>61</v>
      </c>
      <c r="C20" s="14">
        <v>22.5</v>
      </c>
      <c r="D20" s="14">
        <v>18</v>
      </c>
      <c r="E20" s="15">
        <v>-0.27944720000000001</v>
      </c>
      <c r="F20" s="15">
        <v>-0.27410556000000003</v>
      </c>
      <c r="G20" s="15">
        <v>-5.3416499999999999E-3</v>
      </c>
      <c r="H20" s="15">
        <v>0.50124436000000006</v>
      </c>
      <c r="I20" s="15">
        <v>0.49331384</v>
      </c>
      <c r="J20" s="15">
        <v>7.9305199999999999E-3</v>
      </c>
      <c r="K20" s="18">
        <v>26</v>
      </c>
      <c r="L20" s="18">
        <v>26</v>
      </c>
      <c r="M20" s="18">
        <v>0</v>
      </c>
      <c r="N20" s="15">
        <v>5.591865E-2</v>
      </c>
      <c r="O20" s="15">
        <v>3.7190899999999999E-2</v>
      </c>
      <c r="P20" s="15">
        <v>1.8727750000000001E-2</v>
      </c>
      <c r="Q20" s="15">
        <v>1.81302E-3</v>
      </c>
      <c r="R20" s="15">
        <v>-1.132026E-2</v>
      </c>
      <c r="S20" s="15">
        <v>1.3133270000000001E-2</v>
      </c>
      <c r="T20" s="14"/>
      <c r="U20" s="15">
        <f t="shared" si="6"/>
        <v>2.6708199999999904E-3</v>
      </c>
      <c r="V20" s="15">
        <f t="shared" si="0"/>
        <v>3.965260000000026E-3</v>
      </c>
      <c r="W20" s="15"/>
      <c r="X20" s="15"/>
      <c r="Y20" s="16">
        <f t="shared" si="1"/>
        <v>5.591865E-2</v>
      </c>
      <c r="Z20" s="16">
        <f t="shared" si="2"/>
        <v>1.81302E-3</v>
      </c>
      <c r="AA20" s="16">
        <f t="shared" si="3"/>
        <v>3.7190899999999999E-2</v>
      </c>
      <c r="AB20" s="16">
        <f t="shared" si="4"/>
        <v>-1.132026E-2</v>
      </c>
      <c r="AC20" s="17">
        <f t="shared" si="10"/>
        <v>3.2072609000818506</v>
      </c>
      <c r="AD20" s="17">
        <f t="shared" si="11"/>
        <v>2.2279685417012347</v>
      </c>
      <c r="AE20" s="17">
        <f t="shared" si="12"/>
        <v>1.8570193948044125</v>
      </c>
      <c r="AF20" s="17">
        <f t="shared" si="5"/>
        <v>1.5829138348044125</v>
      </c>
    </row>
    <row r="21" spans="1:32" x14ac:dyDescent="0.25">
      <c r="A21" s="14">
        <v>19</v>
      </c>
      <c r="B21" s="14" t="s">
        <v>61</v>
      </c>
      <c r="C21" s="14">
        <v>45</v>
      </c>
      <c r="D21" s="14">
        <v>13</v>
      </c>
      <c r="E21" s="15">
        <v>-0.27540772000000002</v>
      </c>
      <c r="F21" s="15">
        <v>-0.27568843999999998</v>
      </c>
      <c r="G21" s="15">
        <v>2.8070999999999999E-4</v>
      </c>
      <c r="H21" s="15">
        <v>0.5040346</v>
      </c>
      <c r="I21" s="15">
        <v>0.49784995999999998</v>
      </c>
      <c r="J21" s="15">
        <v>6.1846100000000001E-3</v>
      </c>
      <c r="K21" s="18">
        <v>25.93</v>
      </c>
      <c r="L21" s="18">
        <v>25.94</v>
      </c>
      <c r="M21" s="18">
        <v>-0.01</v>
      </c>
      <c r="N21" s="15">
        <v>5.7722919999999997E-2</v>
      </c>
      <c r="O21" s="15">
        <v>3.5302170000000001E-2</v>
      </c>
      <c r="P21" s="15">
        <v>2.242075E-2</v>
      </c>
      <c r="Q21" s="15">
        <v>-2.3514500000000002E-3</v>
      </c>
      <c r="R21" s="15">
        <v>-7.0145399999999997E-3</v>
      </c>
      <c r="S21" s="15">
        <v>4.6630899999999999E-3</v>
      </c>
      <c r="T21" s="14"/>
      <c r="U21" s="15">
        <f t="shared" si="6"/>
        <v>-1.4035999999997828E-4</v>
      </c>
      <c r="V21" s="15">
        <f t="shared" si="0"/>
        <v>3.0923200000000095E-3</v>
      </c>
      <c r="W21" s="15"/>
      <c r="X21" s="15"/>
      <c r="Y21" s="16">
        <f t="shared" si="1"/>
        <v>5.7722919999999997E-2</v>
      </c>
      <c r="Z21" s="16">
        <f t="shared" si="2"/>
        <v>-2.3514500000000002E-3</v>
      </c>
      <c r="AA21" s="16">
        <f t="shared" si="3"/>
        <v>3.5302170000000001E-2</v>
      </c>
      <c r="AB21" s="16">
        <f t="shared" si="4"/>
        <v>-7.0145399999999997E-3</v>
      </c>
      <c r="AC21" s="17">
        <f t="shared" si="10"/>
        <v>3.3118667115830189</v>
      </c>
      <c r="AD21" s="17">
        <f t="shared" si="11"/>
        <v>2.0626534412819484</v>
      </c>
      <c r="AE21" s="17">
        <f t="shared" si="12"/>
        <v>357.66724018589525</v>
      </c>
      <c r="AF21" s="17">
        <f t="shared" si="5"/>
        <v>357.39155174589524</v>
      </c>
    </row>
    <row r="22" spans="1:32" x14ac:dyDescent="0.25">
      <c r="A22" s="14">
        <v>20</v>
      </c>
      <c r="B22" s="14" t="s">
        <v>61</v>
      </c>
      <c r="C22" s="14">
        <v>67.5</v>
      </c>
      <c r="D22" s="14">
        <v>18</v>
      </c>
      <c r="E22" s="15">
        <v>-0.27581941999999998</v>
      </c>
      <c r="F22" s="15">
        <v>-0.27627780000000002</v>
      </c>
      <c r="G22" s="15">
        <v>4.5838999999999998E-4</v>
      </c>
      <c r="H22" s="15">
        <v>0.50443340000000003</v>
      </c>
      <c r="I22" s="15">
        <v>0.49734156000000002</v>
      </c>
      <c r="J22" s="15">
        <v>7.0918200000000004E-3</v>
      </c>
      <c r="K22" s="18">
        <v>25.97</v>
      </c>
      <c r="L22" s="18">
        <v>25.97</v>
      </c>
      <c r="M22" s="18">
        <v>0</v>
      </c>
      <c r="N22" s="15">
        <v>5.8066680000000002E-2</v>
      </c>
      <c r="O22" s="15">
        <v>3.449965E-2</v>
      </c>
      <c r="P22" s="15">
        <v>2.3567029999999999E-2</v>
      </c>
      <c r="Q22" s="15">
        <v>-7.1488400000000001E-3</v>
      </c>
      <c r="R22" s="15">
        <v>-2.4244499999999999E-3</v>
      </c>
      <c r="S22" s="15">
        <v>-4.7243900000000002E-3</v>
      </c>
      <c r="T22" s="14"/>
      <c r="U22" s="15">
        <f t="shared" si="6"/>
        <v>-2.2919000000001799E-4</v>
      </c>
      <c r="V22" s="15">
        <f t="shared" si="0"/>
        <v>3.545920000000008E-3</v>
      </c>
      <c r="W22" s="15"/>
      <c r="X22" s="15"/>
      <c r="Y22" s="16">
        <f t="shared" si="1"/>
        <v>5.8066680000000002E-2</v>
      </c>
      <c r="Z22" s="16">
        <f t="shared" si="2"/>
        <v>-7.1488400000000001E-3</v>
      </c>
      <c r="AA22" s="16">
        <f t="shared" si="3"/>
        <v>3.449965E-2</v>
      </c>
      <c r="AB22" s="16">
        <f t="shared" si="4"/>
        <v>-2.4244499999999999E-3</v>
      </c>
      <c r="AC22" s="17">
        <f t="shared" si="10"/>
        <v>3.3540098170973716</v>
      </c>
      <c r="AD22" s="17">
        <f t="shared" si="11"/>
        <v>1.9819545168063204</v>
      </c>
      <c r="AE22" s="17">
        <f t="shared" si="12"/>
        <v>352.98138737973767</v>
      </c>
      <c r="AF22" s="17">
        <f t="shared" si="5"/>
        <v>352.70510957973767</v>
      </c>
    </row>
    <row r="23" spans="1:32" x14ac:dyDescent="0.25">
      <c r="A23" s="14">
        <v>21</v>
      </c>
      <c r="B23" s="14" t="s">
        <v>61</v>
      </c>
      <c r="C23" s="14">
        <v>90</v>
      </c>
      <c r="D23" s="14">
        <v>10</v>
      </c>
      <c r="E23" s="15">
        <v>-0.27061995999999999</v>
      </c>
      <c r="F23" s="15">
        <v>-0.27553502000000002</v>
      </c>
      <c r="G23" s="15">
        <v>4.9150599999999997E-3</v>
      </c>
      <c r="H23" s="15">
        <v>0.49670996000000001</v>
      </c>
      <c r="I23" s="15">
        <v>0.49006996000000003</v>
      </c>
      <c r="J23" s="15">
        <v>6.64002E-3</v>
      </c>
      <c r="K23" s="18">
        <v>26.04</v>
      </c>
      <c r="L23" s="18">
        <v>26.05</v>
      </c>
      <c r="M23" s="18">
        <v>-0.01</v>
      </c>
      <c r="N23" s="15">
        <v>5.5758790000000003E-2</v>
      </c>
      <c r="O23" s="15">
        <v>3.6678219999999997E-2</v>
      </c>
      <c r="P23" s="15">
        <v>1.9080570000000002E-2</v>
      </c>
      <c r="Q23" s="15">
        <v>-1.1243410000000001E-2</v>
      </c>
      <c r="R23" s="15">
        <v>1.84644E-3</v>
      </c>
      <c r="S23" s="15">
        <v>-1.308984E-2</v>
      </c>
      <c r="T23" s="14"/>
      <c r="U23" s="15">
        <f t="shared" si="6"/>
        <v>-2.4575300000000133E-3</v>
      </c>
      <c r="V23" s="15">
        <f t="shared" si="0"/>
        <v>3.3199999999999896E-3</v>
      </c>
      <c r="W23" s="15"/>
      <c r="X23" s="15"/>
      <c r="Y23" s="16">
        <f t="shared" si="1"/>
        <v>5.5758790000000003E-2</v>
      </c>
      <c r="Z23" s="16">
        <f t="shared" si="2"/>
        <v>-1.1243410000000001E-2</v>
      </c>
      <c r="AA23" s="16">
        <f t="shared" si="3"/>
        <v>3.6678219999999997E-2</v>
      </c>
      <c r="AB23" s="16">
        <f t="shared" si="4"/>
        <v>1.84644E-3</v>
      </c>
      <c r="AC23" s="17">
        <f t="shared" si="10"/>
        <v>3.2608056319343666</v>
      </c>
      <c r="AD23" s="17">
        <f t="shared" si="11"/>
        <v>2.1046416903027811</v>
      </c>
      <c r="AE23" s="17">
        <f t="shared" si="12"/>
        <v>348.59954007782341</v>
      </c>
      <c r="AF23" s="17">
        <f t="shared" si="5"/>
        <v>348.3240050578234</v>
      </c>
    </row>
    <row r="24" spans="1:32" x14ac:dyDescent="0.25">
      <c r="A24" s="14">
        <v>22</v>
      </c>
      <c r="B24" s="14" t="s">
        <v>61</v>
      </c>
      <c r="C24" s="14">
        <v>112.5</v>
      </c>
      <c r="D24" s="14">
        <v>10</v>
      </c>
      <c r="E24" s="15">
        <v>-0.27276499999999998</v>
      </c>
      <c r="F24" s="15">
        <v>-0.27591504</v>
      </c>
      <c r="G24" s="15">
        <v>3.1500199999999999E-3</v>
      </c>
      <c r="H24" s="15">
        <v>0.50623989999999996</v>
      </c>
      <c r="I24" s="15">
        <v>0.50100491999999996</v>
      </c>
      <c r="J24" s="15">
        <v>5.2349600000000003E-3</v>
      </c>
      <c r="K24" s="18">
        <v>26.03</v>
      </c>
      <c r="L24" s="18">
        <v>26.03</v>
      </c>
      <c r="M24" s="18">
        <v>0</v>
      </c>
      <c r="N24" s="15">
        <v>5.2907959999999997E-2</v>
      </c>
      <c r="O24" s="15">
        <v>4.0346680000000003E-2</v>
      </c>
      <c r="P24" s="15">
        <v>1.2561279999999999E-2</v>
      </c>
      <c r="Q24" s="15">
        <v>-1.4543210000000001E-2</v>
      </c>
      <c r="R24" s="15">
        <v>5.07056E-3</v>
      </c>
      <c r="S24" s="15">
        <v>-1.9613769999999999E-2</v>
      </c>
      <c r="T24" s="14"/>
      <c r="U24" s="15">
        <f t="shared" si="6"/>
        <v>-1.5750200000000103E-3</v>
      </c>
      <c r="V24" s="15">
        <f t="shared" si="0"/>
        <v>2.6174900000000001E-3</v>
      </c>
      <c r="W24" s="15"/>
      <c r="X24" s="15"/>
      <c r="Y24" s="16">
        <f t="shared" si="1"/>
        <v>5.2907959999999997E-2</v>
      </c>
      <c r="Z24" s="16">
        <f t="shared" si="2"/>
        <v>-1.4543210000000001E-2</v>
      </c>
      <c r="AA24" s="16">
        <f t="shared" si="3"/>
        <v>4.0346680000000003E-2</v>
      </c>
      <c r="AB24" s="16">
        <f t="shared" si="4"/>
        <v>5.07056E-3</v>
      </c>
      <c r="AC24" s="17">
        <f t="shared" si="10"/>
        <v>3.1454201544986691</v>
      </c>
      <c r="AD24" s="17">
        <f t="shared" si="11"/>
        <v>2.3305211654304201</v>
      </c>
      <c r="AE24" s="17">
        <f t="shared" si="12"/>
        <v>344.63027197534706</v>
      </c>
      <c r="AF24" s="17">
        <f t="shared" si="5"/>
        <v>344.35435693534708</v>
      </c>
    </row>
    <row r="25" spans="1:32" x14ac:dyDescent="0.25">
      <c r="A25" s="14">
        <v>23</v>
      </c>
      <c r="B25" s="14" t="s">
        <v>61</v>
      </c>
      <c r="C25" s="14">
        <v>135</v>
      </c>
      <c r="D25" s="14">
        <v>13</v>
      </c>
      <c r="E25" s="15">
        <v>-0.27610768000000002</v>
      </c>
      <c r="F25" s="15">
        <v>-0.27797309999999997</v>
      </c>
      <c r="G25" s="15">
        <v>1.86542E-3</v>
      </c>
      <c r="H25" s="15">
        <v>0.49833075999999998</v>
      </c>
      <c r="I25" s="15">
        <v>0.50156915999999996</v>
      </c>
      <c r="J25" s="15">
        <v>-3.2384100000000002E-3</v>
      </c>
      <c r="K25" s="18">
        <v>26.05</v>
      </c>
      <c r="L25" s="18">
        <v>26.04</v>
      </c>
      <c r="M25" s="18">
        <v>0.01</v>
      </c>
      <c r="N25" s="15">
        <v>4.8624359999999998E-2</v>
      </c>
      <c r="O25" s="15">
        <v>4.3958459999999998E-2</v>
      </c>
      <c r="P25" s="15">
        <v>4.6658999999999997E-3</v>
      </c>
      <c r="Q25" s="15">
        <v>-1.6250560000000001E-2</v>
      </c>
      <c r="R25" s="15">
        <v>6.7307699999999996E-3</v>
      </c>
      <c r="S25" s="15">
        <v>-2.2981330000000001E-2</v>
      </c>
      <c r="T25" s="14"/>
      <c r="U25" s="15">
        <f t="shared" si="6"/>
        <v>-9.327099999999755E-4</v>
      </c>
      <c r="V25" s="15">
        <f t="shared" si="0"/>
        <v>-1.6191999999999873E-3</v>
      </c>
      <c r="W25" s="15"/>
      <c r="X25" s="15"/>
      <c r="Y25" s="16">
        <f t="shared" si="1"/>
        <v>4.8624359999999998E-2</v>
      </c>
      <c r="Z25" s="16">
        <f t="shared" si="2"/>
        <v>-1.6250560000000001E-2</v>
      </c>
      <c r="AA25" s="16">
        <f t="shared" si="3"/>
        <v>4.3958459999999998E-2</v>
      </c>
      <c r="AB25" s="16">
        <f t="shared" si="4"/>
        <v>6.7307699999999996E-3</v>
      </c>
      <c r="AC25" s="17">
        <f t="shared" si="10"/>
        <v>2.9387290528191974</v>
      </c>
      <c r="AD25" s="17">
        <f t="shared" si="11"/>
        <v>2.5488280740519951</v>
      </c>
      <c r="AE25" s="17">
        <f t="shared" si="12"/>
        <v>341.52005528907591</v>
      </c>
      <c r="AF25" s="17">
        <f t="shared" si="5"/>
        <v>341.24208218907592</v>
      </c>
    </row>
    <row r="26" spans="1:32" x14ac:dyDescent="0.25">
      <c r="A26" s="14">
        <v>24</v>
      </c>
      <c r="B26" s="14" t="s">
        <v>61</v>
      </c>
      <c r="C26" s="14">
        <v>157.5</v>
      </c>
      <c r="D26" s="14">
        <v>13</v>
      </c>
      <c r="E26" s="15">
        <v>-0.27143844</v>
      </c>
      <c r="F26" s="15">
        <v>-0.27736539999999998</v>
      </c>
      <c r="G26" s="15">
        <v>5.9269400000000003E-3</v>
      </c>
      <c r="H26" s="15">
        <v>0.49941532</v>
      </c>
      <c r="I26" s="15">
        <v>0.50237299999999996</v>
      </c>
      <c r="J26" s="15">
        <v>-2.9576400000000001E-3</v>
      </c>
      <c r="K26" s="18">
        <v>26.01</v>
      </c>
      <c r="L26" s="18">
        <v>26</v>
      </c>
      <c r="M26" s="18">
        <v>0</v>
      </c>
      <c r="N26" s="15">
        <v>4.4430020000000001E-2</v>
      </c>
      <c r="O26" s="15">
        <v>4.8887840000000002E-2</v>
      </c>
      <c r="P26" s="15">
        <v>-4.4578200000000004E-3</v>
      </c>
      <c r="Q26" s="15">
        <v>-1.6324930000000001E-2</v>
      </c>
      <c r="R26" s="15">
        <v>6.9687100000000004E-3</v>
      </c>
      <c r="S26" s="15">
        <v>-2.3293640000000001E-2</v>
      </c>
      <c r="T26" s="14"/>
      <c r="U26" s="15">
        <f t="shared" si="6"/>
        <v>-2.9634799999999906E-3</v>
      </c>
      <c r="V26" s="15">
        <f t="shared" si="0"/>
        <v>-1.4788399999999813E-3</v>
      </c>
      <c r="W26" s="15"/>
      <c r="X26" s="15"/>
      <c r="Y26" s="16">
        <f t="shared" si="1"/>
        <v>4.4430020000000001E-2</v>
      </c>
      <c r="Z26" s="16">
        <f t="shared" si="2"/>
        <v>-1.6324930000000001E-2</v>
      </c>
      <c r="AA26" s="16">
        <f t="shared" si="3"/>
        <v>4.8887840000000002E-2</v>
      </c>
      <c r="AB26" s="16">
        <f t="shared" si="4"/>
        <v>6.9687100000000004E-3</v>
      </c>
      <c r="AC26" s="17">
        <f t="shared" si="10"/>
        <v>2.7130657827387439</v>
      </c>
      <c r="AD26" s="17">
        <f t="shared" si="11"/>
        <v>2.8305324941967198</v>
      </c>
      <c r="AE26" s="17">
        <f t="shared" si="12"/>
        <v>339.82514468385341</v>
      </c>
      <c r="AF26" s="17">
        <f t="shared" si="5"/>
        <v>339.5477792838534</v>
      </c>
    </row>
    <row r="27" spans="1:32" x14ac:dyDescent="0.25">
      <c r="A27" s="14">
        <v>25</v>
      </c>
      <c r="B27" s="14" t="s">
        <v>61</v>
      </c>
      <c r="C27" s="14">
        <v>180</v>
      </c>
      <c r="D27" s="14">
        <v>16</v>
      </c>
      <c r="E27" s="15">
        <v>-0.27380004000000002</v>
      </c>
      <c r="F27" s="15">
        <v>-0.2807906</v>
      </c>
      <c r="G27" s="15">
        <v>6.9905499999999999E-3</v>
      </c>
      <c r="H27" s="15">
        <v>0.49641249999999998</v>
      </c>
      <c r="I27" s="15">
        <v>0.498803</v>
      </c>
      <c r="J27" s="15">
        <v>-2.3904999999999998E-3</v>
      </c>
      <c r="K27" s="18">
        <v>25.99</v>
      </c>
      <c r="L27" s="18">
        <v>25.99</v>
      </c>
      <c r="M27" s="18">
        <v>0</v>
      </c>
      <c r="N27" s="15">
        <v>3.9389189999999998E-2</v>
      </c>
      <c r="O27" s="15">
        <v>5.3192900000000001E-2</v>
      </c>
      <c r="P27" s="15">
        <v>-1.380371E-2</v>
      </c>
      <c r="Q27" s="15">
        <v>-1.446335E-2</v>
      </c>
      <c r="R27" s="15">
        <v>5.0956700000000001E-3</v>
      </c>
      <c r="S27" s="15">
        <v>-1.955902E-2</v>
      </c>
      <c r="T27" s="14"/>
      <c r="U27" s="15">
        <f t="shared" si="6"/>
        <v>-3.4952799999999895E-3</v>
      </c>
      <c r="V27" s="15">
        <f t="shared" si="0"/>
        <v>-1.1952500000000088E-3</v>
      </c>
      <c r="W27" s="15"/>
      <c r="X27" s="15"/>
      <c r="Y27" s="16">
        <f t="shared" si="1"/>
        <v>3.9389189999999998E-2</v>
      </c>
      <c r="Z27" s="16">
        <f t="shared" si="2"/>
        <v>-1.446335E-2</v>
      </c>
      <c r="AA27" s="16">
        <f t="shared" si="3"/>
        <v>5.3192900000000001E-2</v>
      </c>
      <c r="AB27" s="16">
        <f t="shared" si="4"/>
        <v>5.0956700000000001E-3</v>
      </c>
      <c r="AC27" s="17">
        <f t="shared" si="10"/>
        <v>2.4048746447897056</v>
      </c>
      <c r="AD27" s="17">
        <f t="shared" si="11"/>
        <v>3.0631400151422419</v>
      </c>
      <c r="AE27" s="17">
        <f t="shared" si="12"/>
        <v>339.83722707380207</v>
      </c>
      <c r="AF27" s="17">
        <f t="shared" si="5"/>
        <v>339.55643647380208</v>
      </c>
    </row>
    <row r="28" spans="1:32" x14ac:dyDescent="0.25">
      <c r="A28" s="14">
        <v>26</v>
      </c>
      <c r="B28" s="14" t="s">
        <v>61</v>
      </c>
      <c r="C28" s="14">
        <v>202.5</v>
      </c>
      <c r="D28" s="14">
        <v>16</v>
      </c>
      <c r="E28" s="15">
        <v>-0.27817190000000003</v>
      </c>
      <c r="F28" s="15">
        <v>-0.28432188000000003</v>
      </c>
      <c r="G28" s="15">
        <v>6.1499800000000002E-3</v>
      </c>
      <c r="H28" s="15">
        <v>0.50165309999999996</v>
      </c>
      <c r="I28" s="15">
        <v>0.50632180000000004</v>
      </c>
      <c r="J28" s="15">
        <v>-4.6687100000000004E-3</v>
      </c>
      <c r="K28" s="18">
        <v>25.9</v>
      </c>
      <c r="L28" s="18">
        <v>25.9</v>
      </c>
      <c r="M28" s="18">
        <v>0</v>
      </c>
      <c r="N28" s="15">
        <v>3.6632379999999999E-2</v>
      </c>
      <c r="O28" s="15">
        <v>5.6634370000000003E-2</v>
      </c>
      <c r="P28" s="15">
        <v>-2.0001979999999999E-2</v>
      </c>
      <c r="Q28" s="15">
        <v>-1.091309E-2</v>
      </c>
      <c r="R28" s="15">
        <v>1.9238300000000001E-3</v>
      </c>
      <c r="S28" s="15">
        <v>-1.283691E-2</v>
      </c>
      <c r="T28" s="14"/>
      <c r="U28" s="15">
        <f t="shared" si="6"/>
        <v>-3.0749899999999997E-3</v>
      </c>
      <c r="V28" s="15">
        <f t="shared" si="0"/>
        <v>-2.3343500000000406E-3</v>
      </c>
      <c r="W28" s="15"/>
      <c r="X28" s="15"/>
      <c r="Y28" s="16">
        <f t="shared" si="1"/>
        <v>3.6632379999999999E-2</v>
      </c>
      <c r="Z28" s="16">
        <f t="shared" si="2"/>
        <v>-1.091309E-2</v>
      </c>
      <c r="AA28" s="16">
        <f t="shared" si="3"/>
        <v>5.6634370000000003E-2</v>
      </c>
      <c r="AB28" s="16">
        <f t="shared" si="4"/>
        <v>1.9238300000000001E-3</v>
      </c>
      <c r="AC28" s="17">
        <f t="shared" si="10"/>
        <v>2.1905720021490329</v>
      </c>
      <c r="AD28" s="17">
        <f t="shared" si="11"/>
        <v>3.2485221775284274</v>
      </c>
      <c r="AE28" s="17">
        <f t="shared" si="12"/>
        <v>343.41076911337422</v>
      </c>
      <c r="AF28" s="17">
        <f t="shared" si="5"/>
        <v>343.12644723337422</v>
      </c>
    </row>
    <row r="29" spans="1:32" x14ac:dyDescent="0.25">
      <c r="A29" s="14">
        <v>27</v>
      </c>
      <c r="B29" s="14" t="s">
        <v>61</v>
      </c>
      <c r="C29" s="14">
        <v>225</v>
      </c>
      <c r="D29" s="14">
        <v>13</v>
      </c>
      <c r="E29" s="15">
        <v>-0.27921156000000003</v>
      </c>
      <c r="F29" s="15">
        <v>-0.27558848000000002</v>
      </c>
      <c r="G29" s="15">
        <v>-3.6230699999999999E-3</v>
      </c>
      <c r="H29" s="15">
        <v>0.49309996</v>
      </c>
      <c r="I29" s="15">
        <v>0.49695768000000001</v>
      </c>
      <c r="J29" s="15">
        <v>-3.8576999999999999E-3</v>
      </c>
      <c r="K29" s="18">
        <v>26.04</v>
      </c>
      <c r="L29" s="18">
        <v>26.03</v>
      </c>
      <c r="M29" s="18">
        <v>0.02</v>
      </c>
      <c r="N29" s="15">
        <v>3.372108E-2</v>
      </c>
      <c r="O29" s="15">
        <v>5.8189039999999997E-2</v>
      </c>
      <c r="P29" s="15">
        <v>-2.446796E-2</v>
      </c>
      <c r="Q29" s="15">
        <v>-6.8252299999999998E-3</v>
      </c>
      <c r="R29" s="15">
        <v>-2.3676000000000001E-3</v>
      </c>
      <c r="S29" s="15">
        <v>-4.4576299999999998E-3</v>
      </c>
      <c r="T29" s="14"/>
      <c r="U29" s="15">
        <f t="shared" si="6"/>
        <v>1.8115400000000004E-3</v>
      </c>
      <c r="V29" s="15">
        <f t="shared" si="0"/>
        <v>-1.9288600000000045E-3</v>
      </c>
      <c r="W29" s="15"/>
      <c r="X29" s="15"/>
      <c r="Y29" s="16">
        <f t="shared" si="1"/>
        <v>3.372108E-2</v>
      </c>
      <c r="Z29" s="16">
        <f t="shared" si="2"/>
        <v>-6.8252299999999998E-3</v>
      </c>
      <c r="AA29" s="16">
        <f t="shared" si="3"/>
        <v>5.8189039999999997E-2</v>
      </c>
      <c r="AB29" s="16">
        <f t="shared" si="4"/>
        <v>-2.3676000000000001E-3</v>
      </c>
      <c r="AC29" s="17">
        <f t="shared" si="10"/>
        <v>1.9716428812534157</v>
      </c>
      <c r="AD29" s="17">
        <f t="shared" si="11"/>
        <v>3.3386340227170961</v>
      </c>
      <c r="AE29" s="17">
        <f t="shared" si="12"/>
        <v>348.55777158563234</v>
      </c>
      <c r="AF29" s="17">
        <f t="shared" si="5"/>
        <v>348.28218310563233</v>
      </c>
    </row>
    <row r="30" spans="1:32" x14ac:dyDescent="0.25">
      <c r="A30" s="14">
        <v>28</v>
      </c>
      <c r="B30" s="14" t="s">
        <v>61</v>
      </c>
      <c r="C30" s="14">
        <v>247.5</v>
      </c>
      <c r="D30" s="14">
        <v>5</v>
      </c>
      <c r="E30" s="15">
        <v>-0.27273002000000002</v>
      </c>
      <c r="F30" s="15">
        <v>-0.27213004000000002</v>
      </c>
      <c r="G30" s="15">
        <v>-5.9997999999999996E-4</v>
      </c>
      <c r="H30" s="15">
        <v>0.49932989999999999</v>
      </c>
      <c r="I30" s="15">
        <v>0.50336999999999998</v>
      </c>
      <c r="J30" s="15">
        <v>-4.0400899999999997E-3</v>
      </c>
      <c r="K30" s="18">
        <v>26.02</v>
      </c>
      <c r="L30" s="18">
        <v>26.02</v>
      </c>
      <c r="M30" s="18">
        <v>0</v>
      </c>
      <c r="N30" s="15">
        <v>3.4948729999999997E-2</v>
      </c>
      <c r="O30" s="15">
        <v>5.8900870000000001E-2</v>
      </c>
      <c r="P30" s="15">
        <v>-2.395214E-2</v>
      </c>
      <c r="Q30" s="15">
        <v>-2.10889E-3</v>
      </c>
      <c r="R30" s="15">
        <v>-7.05859E-3</v>
      </c>
      <c r="S30" s="15">
        <v>4.9497100000000004E-3</v>
      </c>
      <c r="T30" s="14"/>
      <c r="U30" s="15">
        <f t="shared" si="6"/>
        <v>2.9998999999999998E-4</v>
      </c>
      <c r="V30" s="15">
        <f t="shared" si="0"/>
        <v>-2.0200499999999955E-3</v>
      </c>
      <c r="W30" s="15"/>
      <c r="X30" s="15"/>
      <c r="Y30" s="16">
        <f t="shared" si="1"/>
        <v>3.4948729999999997E-2</v>
      </c>
      <c r="Z30" s="16">
        <f t="shared" si="2"/>
        <v>-2.10889E-3</v>
      </c>
      <c r="AA30" s="16">
        <f t="shared" si="3"/>
        <v>5.8900870000000001E-2</v>
      </c>
      <c r="AB30" s="16">
        <f t="shared" si="4"/>
        <v>-7.05859E-3</v>
      </c>
      <c r="AC30" s="17">
        <f t="shared" si="10"/>
        <v>2.0064671005771868</v>
      </c>
      <c r="AD30" s="17">
        <f t="shared" si="11"/>
        <v>3.4009145628174138</v>
      </c>
      <c r="AE30" s="17">
        <f t="shared" si="12"/>
        <v>356.5468227357232</v>
      </c>
      <c r="AF30" s="17">
        <f t="shared" si="5"/>
        <v>356.27469269572322</v>
      </c>
    </row>
    <row r="31" spans="1:32" x14ac:dyDescent="0.25">
      <c r="A31" s="14">
        <v>29</v>
      </c>
      <c r="B31" s="14" t="s">
        <v>61</v>
      </c>
      <c r="C31" s="14">
        <v>270</v>
      </c>
      <c r="D31" s="14">
        <v>22</v>
      </c>
      <c r="E31" s="15">
        <v>-0.28128641999999998</v>
      </c>
      <c r="F31" s="15">
        <v>-0.27864319999999998</v>
      </c>
      <c r="G31" s="15">
        <v>-2.6432299999999999E-3</v>
      </c>
      <c r="H31" s="15">
        <v>0.49668180000000001</v>
      </c>
      <c r="I31" s="15">
        <v>0.50578624000000005</v>
      </c>
      <c r="J31" s="15">
        <v>-9.10446E-3</v>
      </c>
      <c r="K31" s="18">
        <v>25.97</v>
      </c>
      <c r="L31" s="18">
        <v>25.97</v>
      </c>
      <c r="M31" s="18">
        <v>0</v>
      </c>
      <c r="N31" s="15">
        <v>3.6506570000000002E-2</v>
      </c>
      <c r="O31" s="15">
        <v>5.6735290000000001E-2</v>
      </c>
      <c r="P31" s="15">
        <v>-2.0228719999999999E-2</v>
      </c>
      <c r="Q31" s="15">
        <v>1.9146199999999999E-3</v>
      </c>
      <c r="R31" s="15">
        <v>-1.1097630000000001E-2</v>
      </c>
      <c r="S31" s="15">
        <v>1.301225E-2</v>
      </c>
      <c r="T31" s="14"/>
      <c r="U31" s="15">
        <f t="shared" si="6"/>
        <v>1.3216100000000008E-3</v>
      </c>
      <c r="V31" s="15">
        <f t="shared" si="0"/>
        <v>-4.5522200000000235E-3</v>
      </c>
      <c r="W31" s="15"/>
      <c r="X31" s="15"/>
      <c r="Y31" s="16">
        <f t="shared" si="1"/>
        <v>3.6506570000000002E-2</v>
      </c>
      <c r="Z31" s="16">
        <f t="shared" si="2"/>
        <v>1.9146199999999999E-3</v>
      </c>
      <c r="AA31" s="16">
        <f t="shared" si="3"/>
        <v>5.6735290000000001E-2</v>
      </c>
      <c r="AB31" s="16">
        <f t="shared" si="4"/>
        <v>-1.1097630000000001E-2</v>
      </c>
      <c r="AC31" s="17">
        <f t="shared" si="10"/>
        <v>2.0950138631743949</v>
      </c>
      <c r="AD31" s="17">
        <f t="shared" si="11"/>
        <v>3.3141437399839924</v>
      </c>
      <c r="AE31" s="17">
        <f t="shared" si="12"/>
        <v>3.0021782952317042</v>
      </c>
      <c r="AF31" s="17">
        <f t="shared" si="5"/>
        <v>2.7235350952317043</v>
      </c>
    </row>
    <row r="32" spans="1:32" x14ac:dyDescent="0.25">
      <c r="A32" s="14">
        <v>30</v>
      </c>
      <c r="B32" s="14" t="s">
        <v>61</v>
      </c>
      <c r="C32" s="14">
        <v>292.5</v>
      </c>
      <c r="D32" s="14">
        <v>16</v>
      </c>
      <c r="E32" s="15">
        <v>-0.27810000000000001</v>
      </c>
      <c r="F32" s="15">
        <v>-0.27554687999999999</v>
      </c>
      <c r="G32" s="15">
        <v>-2.5531400000000002E-3</v>
      </c>
      <c r="H32" s="15">
        <v>0.49577184000000002</v>
      </c>
      <c r="I32" s="15">
        <v>0.50325615999999995</v>
      </c>
      <c r="J32" s="15">
        <v>-7.4842900000000002E-3</v>
      </c>
      <c r="K32" s="18">
        <v>25.95</v>
      </c>
      <c r="L32" s="18">
        <v>25.95</v>
      </c>
      <c r="M32" s="18">
        <v>-0.01</v>
      </c>
      <c r="N32" s="15">
        <v>4.0281070000000002E-2</v>
      </c>
      <c r="O32" s="15">
        <v>5.3419790000000002E-2</v>
      </c>
      <c r="P32" s="15">
        <v>-1.313872E-2</v>
      </c>
      <c r="Q32" s="15">
        <v>5.0845300000000003E-3</v>
      </c>
      <c r="R32" s="15">
        <v>-1.4258730000000001E-2</v>
      </c>
      <c r="S32" s="15">
        <v>1.9343260000000001E-2</v>
      </c>
      <c r="T32" s="14"/>
      <c r="U32" s="15">
        <f t="shared" si="6"/>
        <v>1.2765600000000099E-3</v>
      </c>
      <c r="V32" s="15">
        <f t="shared" si="0"/>
        <v>-3.7421599999999666E-3</v>
      </c>
      <c r="W32" s="15"/>
      <c r="X32" s="15"/>
      <c r="Y32" s="16">
        <f t="shared" si="1"/>
        <v>4.0281070000000002E-2</v>
      </c>
      <c r="Z32" s="16">
        <f t="shared" si="2"/>
        <v>5.0845300000000003E-3</v>
      </c>
      <c r="AA32" s="16">
        <f t="shared" si="3"/>
        <v>5.3419790000000002E-2</v>
      </c>
      <c r="AB32" s="16">
        <f t="shared" si="4"/>
        <v>-1.4258730000000001E-2</v>
      </c>
      <c r="AC32" s="17">
        <f t="shared" si="10"/>
        <v>2.3268884793179341</v>
      </c>
      <c r="AD32" s="17">
        <f t="shared" si="11"/>
        <v>3.1695005479745606</v>
      </c>
      <c r="AE32" s="17">
        <f t="shared" si="12"/>
        <v>7.1941861422480242</v>
      </c>
      <c r="AF32" s="17">
        <f t="shared" si="5"/>
        <v>6.9186392622480239</v>
      </c>
    </row>
    <row r="33" spans="1:32" x14ac:dyDescent="0.25">
      <c r="A33" s="14">
        <v>31</v>
      </c>
      <c r="B33" s="14" t="s">
        <v>61</v>
      </c>
      <c r="C33" s="14">
        <v>315</v>
      </c>
      <c r="D33" s="14">
        <v>14</v>
      </c>
      <c r="E33" s="15">
        <v>-0.28642864000000001</v>
      </c>
      <c r="F33" s="15">
        <v>-0.28215000000000001</v>
      </c>
      <c r="G33" s="15">
        <v>-4.2786300000000003E-3</v>
      </c>
      <c r="H33" s="15">
        <v>0.50334276</v>
      </c>
      <c r="I33" s="15">
        <v>0.50294996000000003</v>
      </c>
      <c r="J33" s="15">
        <v>3.9279000000000001E-4</v>
      </c>
      <c r="K33" s="18">
        <v>25.85</v>
      </c>
      <c r="L33" s="18">
        <v>25.83</v>
      </c>
      <c r="M33" s="18">
        <v>0.02</v>
      </c>
      <c r="N33" s="15">
        <v>4.4218399999999998E-2</v>
      </c>
      <c r="O33" s="15">
        <v>4.8915670000000001E-2</v>
      </c>
      <c r="P33" s="15">
        <v>-4.6972699999999999E-3</v>
      </c>
      <c r="Q33" s="15">
        <v>6.8872100000000004E-3</v>
      </c>
      <c r="R33" s="15">
        <v>-1.5960519999999999E-2</v>
      </c>
      <c r="S33" s="15">
        <v>2.2847719999999998E-2</v>
      </c>
      <c r="T33" s="14"/>
      <c r="U33" s="15">
        <f t="shared" si="6"/>
        <v>2.1393200000000001E-3</v>
      </c>
      <c r="V33" s="15">
        <f t="shared" si="0"/>
        <v>1.9639999999998548E-4</v>
      </c>
      <c r="W33" s="15"/>
      <c r="X33" s="15"/>
      <c r="Y33" s="16">
        <f t="shared" si="1"/>
        <v>4.4218399999999998E-2</v>
      </c>
      <c r="Z33" s="16">
        <f t="shared" si="2"/>
        <v>6.8872100000000004E-3</v>
      </c>
      <c r="AA33" s="16">
        <f t="shared" si="3"/>
        <v>4.8915670000000001E-2</v>
      </c>
      <c r="AB33" s="16">
        <f t="shared" si="4"/>
        <v>-1.5960519999999999E-2</v>
      </c>
      <c r="AC33" s="17">
        <f t="shared" si="10"/>
        <v>2.5649311323199648</v>
      </c>
      <c r="AD33" s="17">
        <f t="shared" si="11"/>
        <v>2.9493809670686018</v>
      </c>
      <c r="AE33" s="17">
        <f t="shared" si="12"/>
        <v>8.8529375469327292</v>
      </c>
      <c r="AF33" s="17">
        <f t="shared" si="5"/>
        <v>8.5707875469327295</v>
      </c>
    </row>
    <row r="34" spans="1:32" x14ac:dyDescent="0.25">
      <c r="A34" s="14">
        <v>32</v>
      </c>
      <c r="B34" s="14" t="s">
        <v>61</v>
      </c>
      <c r="C34" s="14">
        <v>337.5</v>
      </c>
      <c r="D34" s="14">
        <v>14</v>
      </c>
      <c r="E34" s="15">
        <v>-0.28377148000000002</v>
      </c>
      <c r="F34" s="15">
        <v>-0.27804997999999997</v>
      </c>
      <c r="G34" s="15">
        <v>-5.72151E-3</v>
      </c>
      <c r="H34" s="15">
        <v>0.50771063999999999</v>
      </c>
      <c r="I34" s="15">
        <v>0.50393208</v>
      </c>
      <c r="J34" s="15">
        <v>3.7785800000000001E-3</v>
      </c>
      <c r="K34" s="18">
        <v>25.89</v>
      </c>
      <c r="L34" s="18">
        <v>25.9</v>
      </c>
      <c r="M34" s="18">
        <v>0</v>
      </c>
      <c r="N34" s="15">
        <v>4.7872140000000001E-2</v>
      </c>
      <c r="O34" s="15">
        <v>4.4619659999999998E-2</v>
      </c>
      <c r="P34" s="15">
        <v>3.2524799999999999E-3</v>
      </c>
      <c r="Q34" s="15">
        <v>6.8924399999999997E-3</v>
      </c>
      <c r="R34" s="15">
        <v>-1.626186E-2</v>
      </c>
      <c r="S34" s="15">
        <v>2.3154299999999999E-2</v>
      </c>
      <c r="T34" s="14"/>
      <c r="U34" s="15">
        <f t="shared" si="6"/>
        <v>2.860750000000023E-3</v>
      </c>
      <c r="V34" s="15">
        <f t="shared" si="0"/>
        <v>1.8892799999999932E-3</v>
      </c>
      <c r="W34" s="15"/>
      <c r="X34" s="15"/>
      <c r="Y34" s="16">
        <f t="shared" si="1"/>
        <v>4.7872140000000001E-2</v>
      </c>
      <c r="Z34" s="16">
        <f t="shared" si="2"/>
        <v>6.8924399999999997E-3</v>
      </c>
      <c r="AA34" s="16">
        <f t="shared" si="3"/>
        <v>4.4619659999999998E-2</v>
      </c>
      <c r="AB34" s="16">
        <f t="shared" si="4"/>
        <v>-1.626186E-2</v>
      </c>
      <c r="AC34" s="17">
        <f t="shared" si="10"/>
        <v>2.7722359226990596</v>
      </c>
      <c r="AD34" s="17">
        <f t="shared" si="11"/>
        <v>2.7220378508500414</v>
      </c>
      <c r="AE34" s="17">
        <f t="shared" si="12"/>
        <v>8.1929170706057537</v>
      </c>
      <c r="AF34" s="17">
        <f t="shared" si="5"/>
        <v>7.9148670906057541</v>
      </c>
    </row>
    <row r="37" spans="1:32" x14ac:dyDescent="0.25">
      <c r="A37" s="14">
        <v>1</v>
      </c>
      <c r="C37" s="14">
        <v>0</v>
      </c>
      <c r="U37">
        <f>(U3+U19)/2</f>
        <v>2.9434450000000029E-3</v>
      </c>
      <c r="V37">
        <f>(V3+V19)/2</f>
        <v>2.52724E-3</v>
      </c>
      <c r="AC37">
        <f>(AC3+AC19)/2</f>
        <v>3.0235777548859368</v>
      </c>
      <c r="AD37">
        <f>(AD3+AD19)/2</f>
        <v>2.4347337702639615</v>
      </c>
    </row>
    <row r="38" spans="1:32" x14ac:dyDescent="0.25">
      <c r="A38" s="14">
        <v>2</v>
      </c>
      <c r="C38" s="14">
        <v>22.5</v>
      </c>
      <c r="U38">
        <f t="shared" ref="U38:V38" si="13">(U4+U20)/2</f>
        <v>1.7307299999999859E-3</v>
      </c>
      <c r="V38">
        <f t="shared" si="13"/>
        <v>3.2428000000000179E-3</v>
      </c>
      <c r="AC38">
        <f t="shared" ref="AC38:AD38" si="14">(AC4+AC20)/2</f>
        <v>3.2160693834344571</v>
      </c>
      <c r="AD38">
        <f t="shared" si="14"/>
        <v>2.1912014700315807</v>
      </c>
    </row>
    <row r="39" spans="1:32" x14ac:dyDescent="0.25">
      <c r="A39" s="14">
        <v>3</v>
      </c>
      <c r="C39" s="14">
        <v>45</v>
      </c>
      <c r="U39">
        <f t="shared" ref="U39:V39" si="15">(U5+U21)/2</f>
        <v>8.3731500000001902E-4</v>
      </c>
      <c r="V39">
        <f t="shared" si="15"/>
        <v>3.3611600000000019E-3</v>
      </c>
      <c r="AC39">
        <f t="shared" ref="AC39:AD39" si="16">(AC5+AC21)/2</f>
        <v>3.3095492388981471</v>
      </c>
      <c r="AD39">
        <f t="shared" si="16"/>
        <v>2.0330742858532691</v>
      </c>
    </row>
    <row r="40" spans="1:32" x14ac:dyDescent="0.25">
      <c r="A40" s="14">
        <v>4</v>
      </c>
      <c r="C40" s="14">
        <v>67.5</v>
      </c>
      <c r="U40">
        <f t="shared" ref="U40:V40" si="17">(U6+U22)/2</f>
        <v>8.557999999999899E-4</v>
      </c>
      <c r="V40">
        <f t="shared" si="17"/>
        <v>3.4281950000000089E-3</v>
      </c>
      <c r="AC40">
        <f t="shared" ref="AC40:AD40" si="18">(AC6+AC22)/2</f>
        <v>3.347496089728411</v>
      </c>
      <c r="AD40">
        <f t="shared" si="18"/>
        <v>1.9886820913131764</v>
      </c>
    </row>
    <row r="41" spans="1:32" x14ac:dyDescent="0.25">
      <c r="A41" s="14">
        <v>5</v>
      </c>
      <c r="C41" s="14">
        <v>90</v>
      </c>
      <c r="U41">
        <f t="shared" ref="U41:V41" si="19">(U7+U23)/2</f>
        <v>-1.2951850000000042E-3</v>
      </c>
      <c r="V41">
        <f t="shared" si="19"/>
        <v>3.4716899999999995E-3</v>
      </c>
      <c r="AC41">
        <f t="shared" ref="AC41:AD41" si="20">(AC7+AC23)/2</f>
        <v>3.2597880923295688</v>
      </c>
      <c r="AD41">
        <f t="shared" si="20"/>
        <v>2.1132484653736703</v>
      </c>
    </row>
    <row r="42" spans="1:32" x14ac:dyDescent="0.25">
      <c r="A42" s="14">
        <v>6</v>
      </c>
      <c r="C42" s="14">
        <v>112.5</v>
      </c>
      <c r="U42">
        <f t="shared" ref="U42:V42" si="21">(U8+U24)/2</f>
        <v>-2.1289950000000085E-3</v>
      </c>
      <c r="V42">
        <f t="shared" si="21"/>
        <v>3.0763699999999949E-3</v>
      </c>
      <c r="AC42">
        <f t="shared" ref="AC42:AD42" si="22">(AC8+AC24)/2</f>
        <v>3.129668728867232</v>
      </c>
      <c r="AD42">
        <f t="shared" si="22"/>
        <v>2.3337516983143192</v>
      </c>
    </row>
    <row r="43" spans="1:32" x14ac:dyDescent="0.25">
      <c r="A43" s="14">
        <v>7</v>
      </c>
      <c r="C43" s="14">
        <v>135</v>
      </c>
      <c r="U43">
        <f t="shared" ref="U43:V43" si="23">(U9+U25)/2</f>
        <v>-2.0788649999999853E-3</v>
      </c>
      <c r="V43">
        <f t="shared" si="23"/>
        <v>2.380650000000234E-4</v>
      </c>
      <c r="AC43">
        <f t="shared" ref="AC43:AD43" si="24">(AC9+AC25)/2</f>
        <v>2.9220594275676799</v>
      </c>
      <c r="AD43">
        <f t="shared" si="24"/>
        <v>2.5651793962416969</v>
      </c>
    </row>
    <row r="44" spans="1:32" x14ac:dyDescent="0.25">
      <c r="A44" s="14">
        <v>8</v>
      </c>
      <c r="C44" s="14">
        <v>157.5</v>
      </c>
      <c r="U44">
        <f t="shared" ref="U44:V44" si="25">(U10+U26)/2</f>
        <v>-3.1721949999999888E-3</v>
      </c>
      <c r="V44">
        <f t="shared" si="25"/>
        <v>-4.5778999999998571E-4</v>
      </c>
      <c r="AC44">
        <f t="shared" ref="AC44:AD44" si="26">(AC10+AC26)/2</f>
        <v>2.692553498485093</v>
      </c>
      <c r="AD44">
        <f t="shared" si="26"/>
        <v>2.8402851268255676</v>
      </c>
    </row>
    <row r="45" spans="1:32" x14ac:dyDescent="0.25">
      <c r="A45" s="14">
        <v>9</v>
      </c>
      <c r="C45" s="14">
        <v>180</v>
      </c>
      <c r="U45">
        <f t="shared" ref="U45:V45" si="27">(U11+U27)/2</f>
        <v>-2.6826449999999974E-3</v>
      </c>
      <c r="V45">
        <f t="shared" si="27"/>
        <v>1.4488499999999738E-4</v>
      </c>
      <c r="AC45">
        <f t="shared" ref="AC45:AD45" si="28">(AC11+AC27)/2</f>
        <v>2.4127393395937506</v>
      </c>
      <c r="AD45">
        <f t="shared" si="28"/>
        <v>3.0551829622627116</v>
      </c>
    </row>
    <row r="46" spans="1:32" x14ac:dyDescent="0.25">
      <c r="A46" s="14">
        <v>10</v>
      </c>
      <c r="C46" s="14">
        <v>202.5</v>
      </c>
      <c r="U46">
        <f t="shared" ref="U46:V46" si="29">(U12+U28)/2</f>
        <v>-2.1964150000000071E-3</v>
      </c>
      <c r="V46">
        <f t="shared" si="29"/>
        <v>-1.7394850000000128E-3</v>
      </c>
      <c r="AC46">
        <f t="shared" ref="AC46:AD46" si="30">(AC12+AC28)/2</f>
        <v>2.1632812045506746</v>
      </c>
      <c r="AD46">
        <f t="shared" si="30"/>
        <v>3.2210065612291094</v>
      </c>
    </row>
    <row r="47" spans="1:32" x14ac:dyDescent="0.25">
      <c r="A47" s="14">
        <v>11</v>
      </c>
      <c r="C47" s="14">
        <v>225</v>
      </c>
      <c r="U47">
        <f t="shared" ref="U47:V47" si="31">(U13+U29)/2</f>
        <v>-6.1007000000000422E-4</v>
      </c>
      <c r="V47">
        <f t="shared" si="31"/>
        <v>-1.7411000000000093E-3</v>
      </c>
      <c r="AC47">
        <f t="shared" ref="AC47:AD47" si="32">(AC13+AC29)/2</f>
        <v>2.0056423833399259</v>
      </c>
      <c r="AD47">
        <f t="shared" si="32"/>
        <v>3.3461849985252949</v>
      </c>
    </row>
    <row r="48" spans="1:32" x14ac:dyDescent="0.25">
      <c r="A48" s="14">
        <v>12</v>
      </c>
      <c r="C48" s="14">
        <v>247.5</v>
      </c>
      <c r="U48">
        <f t="shared" ref="U48:V48" si="33">(U14+U30)/2</f>
        <v>-9.5781000000000338E-4</v>
      </c>
      <c r="V48">
        <f t="shared" si="33"/>
        <v>-3.2084499999999877E-3</v>
      </c>
      <c r="AC48">
        <f t="shared" ref="AC48:AD48" si="34">(AC14+AC30)/2</f>
        <v>2.0048477091162233</v>
      </c>
      <c r="AD48">
        <f t="shared" si="34"/>
        <v>3.3956408892978773</v>
      </c>
    </row>
    <row r="49" spans="1:30" x14ac:dyDescent="0.25">
      <c r="A49" s="14">
        <v>13</v>
      </c>
      <c r="C49" s="14">
        <v>270</v>
      </c>
      <c r="U49">
        <f t="shared" ref="U49:V49" si="35">(U15+U31)/2</f>
        <v>4.4579499999999883E-4</v>
      </c>
      <c r="V49">
        <f t="shared" si="35"/>
        <v>-3.7427600000000116E-3</v>
      </c>
      <c r="AC49">
        <f t="shared" ref="AC49:AD49" si="36">(AC15+AC31)/2</f>
        <v>2.0984777352734181</v>
      </c>
      <c r="AD49">
        <f t="shared" si="36"/>
        <v>3.3102165669247787</v>
      </c>
    </row>
    <row r="50" spans="1:30" x14ac:dyDescent="0.25">
      <c r="A50" s="14">
        <v>14</v>
      </c>
      <c r="C50" s="14">
        <v>292.5</v>
      </c>
      <c r="U50">
        <f t="shared" ref="U50:V50" si="37">(U16+U32)/2</f>
        <v>2.0239950000000007E-3</v>
      </c>
      <c r="V50">
        <f t="shared" si="37"/>
        <v>-3.0246299999999865E-3</v>
      </c>
      <c r="AC50">
        <f t="shared" ref="AC50:AD50" si="38">(AC16+AC32)/2</f>
        <v>2.3107264567512176</v>
      </c>
      <c r="AD50">
        <f t="shared" si="38"/>
        <v>3.1951390612695811</v>
      </c>
    </row>
    <row r="51" spans="1:30" x14ac:dyDescent="0.25">
      <c r="A51" s="14">
        <v>15</v>
      </c>
      <c r="C51" s="14">
        <v>315</v>
      </c>
      <c r="U51">
        <f t="shared" ref="U51:V51" si="39">(U17+U33)/2</f>
        <v>1.9731300000000035E-3</v>
      </c>
      <c r="V51">
        <f t="shared" si="39"/>
        <v>-1.1948650000000172E-3</v>
      </c>
      <c r="AC51">
        <f t="shared" ref="AC51:AD51" si="40">(AC17+AC33)/2</f>
        <v>2.568376794473668</v>
      </c>
      <c r="AD51">
        <f t="shared" si="40"/>
        <v>2.951811719632575</v>
      </c>
    </row>
    <row r="52" spans="1:30" x14ac:dyDescent="0.25">
      <c r="A52" s="14">
        <v>16</v>
      </c>
      <c r="C52" s="14">
        <v>337.5</v>
      </c>
      <c r="U52">
        <f t="shared" ref="U52:V52" si="41">(U18+U34)/2</f>
        <v>3.5295450000000228E-3</v>
      </c>
      <c r="V52">
        <f t="shared" si="41"/>
        <v>1.2096600000000013E-3</v>
      </c>
      <c r="AC52">
        <f t="shared" ref="AC52:AD52" si="42">(AC18+AC34)/2</f>
        <v>2.7854843429624685</v>
      </c>
      <c r="AD52">
        <f t="shared" si="42"/>
        <v>2.7080556042256401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2026-08-02T16:47:25Z</dcterms:modified>
</cp:coreProperties>
</file>