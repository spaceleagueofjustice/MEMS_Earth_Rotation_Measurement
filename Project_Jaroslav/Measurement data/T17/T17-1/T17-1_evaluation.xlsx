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7\T17-1\"/>
    </mc:Choice>
  </mc:AlternateContent>
  <xr:revisionPtr revIDLastSave="0" documentId="13_ncr:1_{4F4A0893-C340-450C-BB19-A9A7605902A0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7-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AD52" i="1"/>
  <c r="AC52" i="1"/>
  <c r="V52" i="1"/>
  <c r="U52" i="1"/>
  <c r="L52" i="1"/>
  <c r="K52" i="1"/>
  <c r="M52" i="1" s="1"/>
  <c r="AD51" i="1"/>
  <c r="AC51" i="1"/>
  <c r="V51" i="1"/>
  <c r="U51" i="1"/>
  <c r="M51" i="1"/>
  <c r="L51" i="1"/>
  <c r="K51" i="1"/>
  <c r="AD50" i="1"/>
  <c r="AC50" i="1"/>
  <c r="V50" i="1"/>
  <c r="U50" i="1"/>
  <c r="L50" i="1"/>
  <c r="K50" i="1"/>
  <c r="M50" i="1" s="1"/>
  <c r="AD49" i="1"/>
  <c r="AC49" i="1"/>
  <c r="V49" i="1"/>
  <c r="U49" i="1"/>
  <c r="M49" i="1"/>
  <c r="L49" i="1"/>
  <c r="K49" i="1"/>
  <c r="AD48" i="1"/>
  <c r="AC48" i="1"/>
  <c r="V48" i="1"/>
  <c r="U48" i="1"/>
  <c r="L48" i="1"/>
  <c r="K48" i="1"/>
  <c r="M48" i="1" s="1"/>
  <c r="AD47" i="1"/>
  <c r="AC47" i="1"/>
  <c r="V47" i="1"/>
  <c r="U47" i="1"/>
  <c r="L47" i="1"/>
  <c r="K47" i="1"/>
  <c r="M47" i="1" s="1"/>
  <c r="AD46" i="1"/>
  <c r="AC46" i="1"/>
  <c r="V46" i="1"/>
  <c r="U46" i="1"/>
  <c r="M46" i="1"/>
  <c r="L46" i="1"/>
  <c r="K46" i="1"/>
  <c r="AD45" i="1"/>
  <c r="AC45" i="1"/>
  <c r="V45" i="1"/>
  <c r="U45" i="1"/>
  <c r="L45" i="1"/>
  <c r="K45" i="1"/>
  <c r="M45" i="1" s="1"/>
  <c r="AD44" i="1"/>
  <c r="AC44" i="1"/>
  <c r="V44" i="1"/>
  <c r="U44" i="1"/>
  <c r="M44" i="1"/>
  <c r="L44" i="1"/>
  <c r="K44" i="1"/>
  <c r="AD43" i="1"/>
  <c r="AC43" i="1"/>
  <c r="V43" i="1"/>
  <c r="U43" i="1"/>
  <c r="L43" i="1"/>
  <c r="K43" i="1"/>
  <c r="M43" i="1" s="1"/>
  <c r="AD42" i="1"/>
  <c r="AC42" i="1"/>
  <c r="V42" i="1"/>
  <c r="U42" i="1"/>
  <c r="M42" i="1"/>
  <c r="L42" i="1"/>
  <c r="K42" i="1"/>
  <c r="AD41" i="1"/>
  <c r="AC41" i="1"/>
  <c r="V41" i="1"/>
  <c r="U41" i="1"/>
  <c r="L41" i="1"/>
  <c r="M41" i="1" s="1"/>
  <c r="K41" i="1"/>
  <c r="AD40" i="1"/>
  <c r="AC40" i="1"/>
  <c r="V40" i="1"/>
  <c r="U40" i="1"/>
  <c r="L40" i="1"/>
  <c r="K40" i="1"/>
  <c r="M40" i="1" s="1"/>
  <c r="AD39" i="1"/>
  <c r="AC39" i="1"/>
  <c r="V39" i="1"/>
  <c r="U39" i="1"/>
  <c r="M39" i="1"/>
  <c r="L39" i="1"/>
  <c r="K39" i="1"/>
  <c r="AD38" i="1"/>
  <c r="AC38" i="1"/>
  <c r="V38" i="1"/>
  <c r="U38" i="1"/>
  <c r="L38" i="1"/>
  <c r="K38" i="1"/>
  <c r="M38" i="1" s="1"/>
  <c r="AD37" i="1"/>
  <c r="AC37" i="1"/>
  <c r="V37" i="1"/>
  <c r="U37" i="1"/>
  <c r="M37" i="1"/>
  <c r="L37" i="1"/>
  <c r="K37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D34" i="1" s="1"/>
  <c r="AA33" i="1"/>
  <c r="AA32" i="1"/>
  <c r="AA31" i="1"/>
  <c r="AA30" i="1"/>
  <c r="AA29" i="1"/>
  <c r="AA28" i="1"/>
  <c r="AA27" i="1"/>
  <c r="AD27" i="1" s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D8" i="1" s="1"/>
  <c r="AA7" i="1"/>
  <c r="AA6" i="1"/>
  <c r="AA5" i="1"/>
  <c r="AA4" i="1"/>
  <c r="AA3" i="1"/>
  <c r="Z34" i="1"/>
  <c r="Z33" i="1"/>
  <c r="Z32" i="1"/>
  <c r="Z31" i="1"/>
  <c r="Z30" i="1"/>
  <c r="Z29" i="1"/>
  <c r="Z28" i="1"/>
  <c r="AE28" i="1" s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AD33" i="1" l="1"/>
  <c r="AD4" i="1"/>
  <c r="AC34" i="1"/>
  <c r="AD28" i="1"/>
  <c r="AD19" i="1"/>
  <c r="AE25" i="1"/>
  <c r="AE31" i="1"/>
  <c r="AF31" i="1" s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F28" i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F25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<sst xmlns="http://schemas.openxmlformats.org/spreadsheetml/2006/main" count="113" uniqueCount="67">
  <si>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</si>
  <si>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</si>
  <si>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</si>
  <si>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</si>
  <si>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</si>
  <si>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</si>
  <si>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</si>
  <si>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</si>
  <si>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</si>
  <si>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</si>
  <si>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</si>
  <si>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</si>
  <si>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</si>
  <si>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</si>
  <si>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</si>
  <si>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</si>
  <si>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</si>
  <si>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</si>
  <si>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</si>
  <si>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</si>
  <si>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</si>
  <si>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</si>
  <si>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</si>
  <si>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</si>
  <si>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</si>
  <si>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</si>
  <si>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</si>
  <si>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</si>
  <si>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</si>
  <si>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</si>
  <si>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</si>
  <si>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</si>
  <si>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</si>
  <si>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</si>
  <si>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</si>
  <si>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</si>
  <si>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</si>
  <si>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</si>
  <si>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</si>
  <si>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</si>
  <si>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</si>
  <si>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</si>
  <si>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</si>
  <si>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</si>
  <si>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</si>
  <si>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</si>
  <si>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</si>
  <si>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</si>
  <si>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HORIZONTAL slepý test 360-kontrola accel-lepší csv-azimut parametr-fixed trim settle-s navratem do A-antibacklash-CW-CCW-I2Coprava-název testu-teplota-oprava2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</si>
  <si>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</si>
  <si>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</si>
  <si>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</si>
  <si>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</si>
  <si>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</si>
  <si>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</si>
  <si>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</si>
  <si>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</si>
  <si>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</si>
  <si>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</si>
  <si>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</si>
  <si>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living room</t>
  </si>
  <si>
    <t>CCW</t>
  </si>
  <si>
    <t>CW</t>
  </si>
  <si>
    <t>T17-1</t>
  </si>
  <si>
    <t xml:space="preserve">Extended azimuth/tilt-Dependence Test (Randomized 360° Step Scan) </t>
  </si>
  <si>
    <t>- Rotace ramene CW/CCW
- Náhodné azimuty pro celých 360°
- 4x různý azimut sestavy (0°-90°-180°-270°)
- Azimut ramene při startu vžy 0° (sever)
- Kalibrace do nulového náklony do 0,5° (přibližně)
- Vyměněné měřicí rameno
- TEST MÁ VYVRÁTIT/POTVRDIT MOŽNOST, ŽE FÁZE SIGNÁLU JE GENEROVANÁ I MINIMÁLNÍM NÁKLONEM SESTAVY
- Oprava xA-xC na správný směr xC-xA</t>
  </si>
  <si>
    <t>(xC-xA)/2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</si>
</sst>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'T17-1'!$U$2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'T17-1'!$C$3:$C$18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'T17-1'!$U$3:$U$18</c:f>
              <c:numCache>
                <c:formatCode>0.000000</c:formatCode>
                <c:ptCount val="16"/>
                <c:pt idx="0">
                  <c:v>5.3679000000000088E-3</c:v>
                </c:pt>
                <c:pt idx="1">
                  <c:v>2.7749999999999997E-3</c:v>
                </c:pt>
                <c:pt idx="2">
                  <c:v>1.0600199999999949E-3</c:v>
                </c:pt>
                <c:pt idx="3">
                  <c:v>-1.4187599999999911E-3</c:v>
                </c:pt>
                <c:pt idx="4">
                  <c:v>2.849919999999978E-3</c:v>
                </c:pt>
                <c:pt idx="5">
                  <c:v>-2.6583500000000038E-3</c:v>
                </c:pt>
                <c:pt idx="6">
                  <c:v>-2.6374799999999976E-3</c:v>
                </c:pt>
                <c:pt idx="7">
                  <c:v>-2.0499999999999963E-3</c:v>
                </c:pt>
                <c:pt idx="8">
                  <c:v>-2.9694200000000004E-3</c:v>
                </c:pt>
                <c:pt idx="9">
                  <c:v>-3.4624999999999795E-3</c:v>
                </c:pt>
                <c:pt idx="10">
                  <c:v>-4.1124600000000122E-3</c:v>
                </c:pt>
                <c:pt idx="11">
                  <c:v>2.624979999999999E-3</c:v>
                </c:pt>
                <c:pt idx="12">
                  <c:v>2.9583400000000037E-3</c:v>
                </c:pt>
                <c:pt idx="13">
                  <c:v>3.2812399999999908E-3</c:v>
                </c:pt>
                <c:pt idx="14">
                  <c:v>1.9375000000000087E-3</c:v>
                </c:pt>
                <c:pt idx="15">
                  <c:v>2.3834199999999972E-3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'T17-1'!$V$2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'T17-1'!$C$3:$C$18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'T17-1'!$V$3:$V$18</c:f>
              <c:numCache>
                <c:formatCode>0.000000</c:formatCode>
                <c:ptCount val="16"/>
                <c:pt idx="0">
                  <c:v>3.1074999999997077E-4</c:v>
                </c:pt>
                <c:pt idx="1">
                  <c:v>2.2457399999999961E-3</c:v>
                </c:pt>
                <c:pt idx="2">
                  <c:v>2.1649900000000333E-3</c:v>
                </c:pt>
                <c:pt idx="3">
                  <c:v>2.6500599999999541E-3</c:v>
                </c:pt>
                <c:pt idx="4">
                  <c:v>2.5749899999999992E-3</c:v>
                </c:pt>
                <c:pt idx="5">
                  <c:v>4.1583799999999616E-3</c:v>
                </c:pt>
                <c:pt idx="6">
                  <c:v>-2.7874199999999849E-3</c:v>
                </c:pt>
                <c:pt idx="7">
                  <c:v>3.1124699999999783E-3</c:v>
                </c:pt>
                <c:pt idx="8">
                  <c:v>8.0570000000002029E-5</c:v>
                </c:pt>
                <c:pt idx="9">
                  <c:v>3.9749499999999771E-3</c:v>
                </c:pt>
                <c:pt idx="10">
                  <c:v>-5.0019999999983966E-5</c:v>
                </c:pt>
                <c:pt idx="11">
                  <c:v>-9.7494999999997445E-4</c:v>
                </c:pt>
                <c:pt idx="12">
                  <c:v>-2.916730000000034E-3</c:v>
                </c:pt>
                <c:pt idx="13">
                  <c:v>-4.7749900000000345E-3</c:v>
                </c:pt>
                <c:pt idx="14">
                  <c:v>1.2506000000001016E-4</c:v>
                </c:pt>
                <c:pt idx="15">
                  <c:v>5.829999999995561E-5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'T17-1'!$U$2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'T17-1'!$U$19:$U$34</c:f>
              <c:numCache>
                <c:formatCode>0.000000</c:formatCode>
                <c:ptCount val="16"/>
                <c:pt idx="0">
                  <c:v>-3.1787999999999261E-4</c:v>
                </c:pt>
                <c:pt idx="1">
                  <c:v>9.7751399999999877E-3</c:v>
                </c:pt>
                <c:pt idx="2">
                  <c:v>8.708000000000049E-4</c:v>
                </c:pt>
                <c:pt idx="3">
                  <c:v>1.5423300000000084E-3</c:v>
                </c:pt>
                <c:pt idx="4">
                  <c:v>1.2495000000001255E-4</c:v>
                </c:pt>
                <c:pt idx="5">
                  <c:v>-1.1416599999999888E-3</c:v>
                </c:pt>
                <c:pt idx="6">
                  <c:v>1.2400200000000083E-3</c:v>
                </c:pt>
                <c:pt idx="7">
                  <c:v>-3.7874999999999992E-3</c:v>
                </c:pt>
                <c:pt idx="8">
                  <c:v>-8.8615000000000221E-4</c:v>
                </c:pt>
                <c:pt idx="9">
                  <c:v>7.7499999999999791E-4</c:v>
                </c:pt>
                <c:pt idx="10">
                  <c:v>6.0625999999999736E-4</c:v>
                </c:pt>
                <c:pt idx="11">
                  <c:v>1.6875000000000084E-3</c:v>
                </c:pt>
                <c:pt idx="12">
                  <c:v>2.2650399999999959E-3</c:v>
                </c:pt>
                <c:pt idx="13">
                  <c:v>3.3812699999999918E-3</c:v>
                </c:pt>
                <c:pt idx="14">
                  <c:v>1.5249799999999814E-3</c:v>
                </c:pt>
                <c:pt idx="15">
                  <c:v>4.6062399999999837E-3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6-4536-9F5F-FF569D95390C}"/>
            </c:ext>
          </c:extLst>
        </c:ser>
        <c:ser>
          <c:idx val="3"/>
          <c:order val="3"/>
          <c:tx>
            <c:strRef>
              <c:f>'T17-1'!$V$2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'T17-1'!$V$19:$V$34</c:f>
              <c:numCache>
                <c:formatCode>0.000000</c:formatCode>
                <c:ptCount val="16"/>
                <c:pt idx="0">
                  <c:v>-7.3214999999998698E-4</c:v>
                </c:pt>
                <c:pt idx="1">
                  <c:v>4.9499800000000205E-3</c:v>
                </c:pt>
                <c:pt idx="2">
                  <c:v>3.8459200000000027E-3</c:v>
                </c:pt>
                <c:pt idx="3">
                  <c:v>3.7961300000000087E-3</c:v>
                </c:pt>
                <c:pt idx="4">
                  <c:v>3.9126199999999778E-3</c:v>
                </c:pt>
                <c:pt idx="5">
                  <c:v>1.1333500000000329E-3</c:v>
                </c:pt>
                <c:pt idx="6">
                  <c:v>3.235089999999996E-3</c:v>
                </c:pt>
                <c:pt idx="7">
                  <c:v>5.8132999999999102E-4</c:v>
                </c:pt>
                <c:pt idx="8">
                  <c:v>-1.8055200000000049E-3</c:v>
                </c:pt>
                <c:pt idx="9">
                  <c:v>-8.8747000000000131E-4</c:v>
                </c:pt>
                <c:pt idx="10">
                  <c:v>-2.3500000000000187E-3</c:v>
                </c:pt>
                <c:pt idx="11">
                  <c:v>-4.6500299999999717E-3</c:v>
                </c:pt>
                <c:pt idx="12">
                  <c:v>-4.140020000000022E-3</c:v>
                </c:pt>
                <c:pt idx="13">
                  <c:v>-1.3811799999999819E-3</c:v>
                </c:pt>
                <c:pt idx="14">
                  <c:v>-1.5665999999999736E-3</c:v>
                </c:pt>
                <c:pt idx="15">
                  <c:v>-1.0312599999999783E-3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6-4536-9F5F-FF569D95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'T17-1'!$AC$2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'T17-1'!$AC$37:$AC$52</c:f>
              <c:numCache>
                <c:formatCode>General</c:formatCode>
                <c:ptCount val="16"/>
                <c:pt idx="0">
                  <c:v>3.2112206272554822</c:v>
                </c:pt>
                <c:pt idx="1">
                  <c:v>3.1809541616588728</c:v>
                </c:pt>
                <c:pt idx="2">
                  <c:v>3.0481389096923097</c:v>
                </c:pt>
                <c:pt idx="3">
                  <c:v>2.7918377808093409</c:v>
                </c:pt>
                <c:pt idx="4">
                  <c:v>2.401575636809925</c:v>
                </c:pt>
                <c:pt idx="5">
                  <c:v>2.0345466869417557</c:v>
                </c:pt>
                <c:pt idx="6">
                  <c:v>1.6645190937189944</c:v>
                </c:pt>
                <c:pt idx="7">
                  <c:v>1.3072558768674665</c:v>
                </c:pt>
                <c:pt idx="8">
                  <c:v>1.1490972749535144</c:v>
                </c:pt>
                <c:pt idx="9">
                  <c:v>1.325096878576475</c:v>
                </c:pt>
                <c:pt idx="10">
                  <c:v>1.7007610933393535</c:v>
                </c:pt>
                <c:pt idx="11">
                  <c:v>2.0889731694805223</c:v>
                </c:pt>
                <c:pt idx="12">
                  <c:v>2.4276575837422136</c:v>
                </c:pt>
                <c:pt idx="13">
                  <c:v>2.78712715133004</c:v>
                </c:pt>
                <c:pt idx="14">
                  <c:v>2.9980223921671016</c:v>
                </c:pt>
                <c:pt idx="15">
                  <c:v>3.1650626231468424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'T17-1'!$AD$2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'T17-1'!$AD$37:$AD$52</c:f>
              <c:numCache>
                <c:formatCode>General</c:formatCode>
                <c:ptCount val="16"/>
                <c:pt idx="0">
                  <c:v>1.2230200090652579</c:v>
                </c:pt>
                <c:pt idx="1">
                  <c:v>1.3497908255376334</c:v>
                </c:pt>
                <c:pt idx="2">
                  <c:v>1.6695701565531764</c:v>
                </c:pt>
                <c:pt idx="3">
                  <c:v>2.0797827349913183</c:v>
                </c:pt>
                <c:pt idx="4">
                  <c:v>2.461646600179237</c:v>
                </c:pt>
                <c:pt idx="5">
                  <c:v>2.7764500325987314</c:v>
                </c:pt>
                <c:pt idx="6">
                  <c:v>3.0058448574622085</c:v>
                </c:pt>
                <c:pt idx="7">
                  <c:v>3.1597551653151834</c:v>
                </c:pt>
                <c:pt idx="8">
                  <c:v>3.2510319636060485</c:v>
                </c:pt>
                <c:pt idx="9">
                  <c:v>3.1708255590798382</c:v>
                </c:pt>
                <c:pt idx="10">
                  <c:v>3.0040331614459053</c:v>
                </c:pt>
                <c:pt idx="11">
                  <c:v>2.8515507624986141</c:v>
                </c:pt>
                <c:pt idx="12">
                  <c:v>2.4976596015956991</c:v>
                </c:pt>
                <c:pt idx="13">
                  <c:v>2.0810892905223994</c:v>
                </c:pt>
                <c:pt idx="14">
                  <c:v>1.6803908108753174</c:v>
                </c:pt>
                <c:pt idx="15">
                  <c:v>1.3715784912219995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'T17-1'!$K$2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'T17-1'!$K$37:$K$52</c:f>
              <c:numCache>
                <c:formatCode>General</c:formatCode>
                <c:ptCount val="16"/>
                <c:pt idx="0">
                  <c:v>26.155000000000001</c:v>
                </c:pt>
                <c:pt idx="1">
                  <c:v>26.245000000000001</c:v>
                </c:pt>
                <c:pt idx="2">
                  <c:v>26.174999999999997</c:v>
                </c:pt>
                <c:pt idx="3">
                  <c:v>26.175000000000001</c:v>
                </c:pt>
                <c:pt idx="4">
                  <c:v>26.200000000000003</c:v>
                </c:pt>
                <c:pt idx="5">
                  <c:v>26.185000000000002</c:v>
                </c:pt>
                <c:pt idx="6">
                  <c:v>26.17</c:v>
                </c:pt>
                <c:pt idx="7">
                  <c:v>26.174999999999997</c:v>
                </c:pt>
                <c:pt idx="8">
                  <c:v>26.200000000000003</c:v>
                </c:pt>
                <c:pt idx="9">
                  <c:v>26.175000000000001</c:v>
                </c:pt>
                <c:pt idx="10">
                  <c:v>26.14</c:v>
                </c:pt>
                <c:pt idx="11">
                  <c:v>26.215</c:v>
                </c:pt>
                <c:pt idx="12">
                  <c:v>26.22</c:v>
                </c:pt>
                <c:pt idx="13">
                  <c:v>26.185000000000002</c:v>
                </c:pt>
                <c:pt idx="14">
                  <c:v>26.23</c:v>
                </c:pt>
                <c:pt idx="15">
                  <c:v>26.215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'T17-1'!$L$2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'T17-1'!$L$37:$L$52</c:f>
              <c:numCache>
                <c:formatCode>General</c:formatCode>
                <c:ptCount val="16"/>
                <c:pt idx="0">
                  <c:v>26.175000000000001</c:v>
                </c:pt>
                <c:pt idx="1">
                  <c:v>26.25</c:v>
                </c:pt>
                <c:pt idx="2">
                  <c:v>26.185000000000002</c:v>
                </c:pt>
                <c:pt idx="3">
                  <c:v>26.18</c:v>
                </c:pt>
                <c:pt idx="4">
                  <c:v>26.225000000000001</c:v>
                </c:pt>
                <c:pt idx="5">
                  <c:v>26.204999999999998</c:v>
                </c:pt>
                <c:pt idx="6">
                  <c:v>26.164999999999999</c:v>
                </c:pt>
                <c:pt idx="7">
                  <c:v>26.189999999999998</c:v>
                </c:pt>
                <c:pt idx="8">
                  <c:v>26.21</c:v>
                </c:pt>
                <c:pt idx="9">
                  <c:v>26.185000000000002</c:v>
                </c:pt>
                <c:pt idx="10">
                  <c:v>26.134999999999998</c:v>
                </c:pt>
                <c:pt idx="11">
                  <c:v>26.134999999999998</c:v>
                </c:pt>
                <c:pt idx="12">
                  <c:v>26.234999999999999</c:v>
                </c:pt>
                <c:pt idx="13">
                  <c:v>26.174999999999997</c:v>
                </c:pt>
                <c:pt idx="14">
                  <c:v>26.23</c:v>
                </c:pt>
                <c:pt idx="15">
                  <c:v>26.215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'T17-1'!$D$2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'T17-1'!$C$3:$C$18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'T17-1'!$D$3:$D$18</c:f>
              <c:numCache>
                <c:formatCode>General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9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'T17-1'!$D$2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'T17-1'!$D$19:$D$34</c:f>
              <c:numCache>
                <c:formatCode>General</c:formatCode>
                <c:ptCount val="16"/>
                <c:pt idx="0">
                  <c:v>7</c:v>
                </c:pt>
                <c:pt idx="1">
                  <c:v>1</c:v>
                </c:pt>
                <c:pt idx="2">
                  <c:v>6</c:v>
                </c:pt>
                <c:pt idx="3">
                  <c:v>13</c:v>
                </c:pt>
                <c:pt idx="4">
                  <c:v>2</c:v>
                </c:pt>
                <c:pt idx="5">
                  <c:v>6</c:v>
                </c:pt>
                <c:pt idx="6">
                  <c:v>5</c:v>
                </c:pt>
                <c:pt idx="7">
                  <c:v>8</c:v>
                </c:pt>
                <c:pt idx="8">
                  <c:v>9</c:v>
                </c:pt>
                <c:pt idx="9">
                  <c:v>2</c:v>
                </c:pt>
                <c:pt idx="10">
                  <c:v>8</c:v>
                </c:pt>
                <c:pt idx="11">
                  <c:v>2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2-4DA1-AC3C-2B7B836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'T17-1'!$M$2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'T17-1'!$C$37:$C$52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'T17-1'!$M$37:$M$52</c:f>
              <c:numCache>
                <c:formatCode>General</c:formatCode>
                <c:ptCount val="16"/>
                <c:pt idx="0">
                  <c:v>-1.9999999999999574E-2</c:v>
                </c:pt>
                <c:pt idx="1">
                  <c:v>-4.9999999999990052E-3</c:v>
                </c:pt>
                <c:pt idx="2">
                  <c:v>-1.0000000000005116E-2</c:v>
                </c:pt>
                <c:pt idx="3">
                  <c:v>-4.9999999999990052E-3</c:v>
                </c:pt>
                <c:pt idx="4">
                  <c:v>-2.4999999999998579E-2</c:v>
                </c:pt>
                <c:pt idx="5">
                  <c:v>-1.9999999999996021E-2</c:v>
                </c:pt>
                <c:pt idx="6">
                  <c:v>5.000000000002558E-3</c:v>
                </c:pt>
                <c:pt idx="7">
                  <c:v>-1.5000000000000568E-2</c:v>
                </c:pt>
                <c:pt idx="8">
                  <c:v>-9.9999999999980105E-3</c:v>
                </c:pt>
                <c:pt idx="9">
                  <c:v>-1.0000000000001563E-2</c:v>
                </c:pt>
                <c:pt idx="10">
                  <c:v>5.000000000002558E-3</c:v>
                </c:pt>
                <c:pt idx="11">
                  <c:v>8.0000000000001847E-2</c:v>
                </c:pt>
                <c:pt idx="12">
                  <c:v>-1.5000000000000568E-2</c:v>
                </c:pt>
                <c:pt idx="13">
                  <c:v>1.0000000000005116E-2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'T17-1'!$U$2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'T17-1'!$U$37:$U$52</c:f>
              <c:numCache>
                <c:formatCode>General</c:formatCode>
                <c:ptCount val="16"/>
                <c:pt idx="0">
                  <c:v>2.5250100000000081E-3</c:v>
                </c:pt>
                <c:pt idx="1">
                  <c:v>6.2750699999999937E-3</c:v>
                </c:pt>
                <c:pt idx="2">
                  <c:v>9.6540999999999988E-4</c:v>
                </c:pt>
                <c:pt idx="3">
                  <c:v>6.1785000000008639E-5</c:v>
                </c:pt>
                <c:pt idx="4">
                  <c:v>1.4874349999999953E-3</c:v>
                </c:pt>
                <c:pt idx="5">
                  <c:v>-1.9000049999999963E-3</c:v>
                </c:pt>
                <c:pt idx="6">
                  <c:v>-6.9872999999999463E-4</c:v>
                </c:pt>
                <c:pt idx="7">
                  <c:v>-2.9187499999999977E-3</c:v>
                </c:pt>
                <c:pt idx="8">
                  <c:v>-1.9277850000000013E-3</c:v>
                </c:pt>
                <c:pt idx="9">
                  <c:v>-1.3437499999999908E-3</c:v>
                </c:pt>
                <c:pt idx="10">
                  <c:v>-1.7531000000000074E-3</c:v>
                </c:pt>
                <c:pt idx="11">
                  <c:v>2.1562400000000037E-3</c:v>
                </c:pt>
                <c:pt idx="12">
                  <c:v>2.6116899999999998E-3</c:v>
                </c:pt>
                <c:pt idx="13">
                  <c:v>3.3312549999999913E-3</c:v>
                </c:pt>
                <c:pt idx="14">
                  <c:v>1.731239999999995E-3</c:v>
                </c:pt>
                <c:pt idx="15">
                  <c:v>3.4948299999999904E-3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A84-4C1B-B53C-514DBB4B0305}"/>
            </c:ext>
          </c:extLst>
        </c:ser>
        <c:ser>
          <c:idx val="1"/>
          <c:order val="1"/>
          <c:tx>
            <c:strRef>
              <c:f>'T17-1'!$V$2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'T17-1'!$C$37:$C$52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'T17-1'!$V$37:$V$52</c:f>
              <c:numCache>
                <c:formatCode>General</c:formatCode>
                <c:ptCount val="16"/>
                <c:pt idx="0">
                  <c:v>-2.107000000000081E-4</c:v>
                </c:pt>
                <c:pt idx="1">
                  <c:v>3.5978600000000083E-3</c:v>
                </c:pt>
                <c:pt idx="2">
                  <c:v>3.005455000000018E-3</c:v>
                </c:pt>
                <c:pt idx="3">
                  <c:v>3.2230949999999814E-3</c:v>
                </c:pt>
                <c:pt idx="4">
                  <c:v>3.2438049999999885E-3</c:v>
                </c:pt>
                <c:pt idx="5">
                  <c:v>2.6458649999999972E-3</c:v>
                </c:pt>
                <c:pt idx="6">
                  <c:v>2.2383500000000556E-4</c:v>
                </c:pt>
                <c:pt idx="7">
                  <c:v>1.8468999999999847E-3</c:v>
                </c:pt>
                <c:pt idx="8">
                  <c:v>-8.6247500000000143E-4</c:v>
                </c:pt>
                <c:pt idx="9">
                  <c:v>1.5437399999999879E-3</c:v>
                </c:pt>
                <c:pt idx="10">
                  <c:v>-1.2000100000000014E-3</c:v>
                </c:pt>
                <c:pt idx="11">
                  <c:v>-2.8124899999999731E-3</c:v>
                </c:pt>
                <c:pt idx="12">
                  <c:v>-3.528375000000028E-3</c:v>
                </c:pt>
                <c:pt idx="13">
                  <c:v>-3.0780850000000082E-3</c:v>
                </c:pt>
                <c:pt idx="14">
                  <c:v>-7.207699999999817E-4</c:v>
                </c:pt>
                <c:pt idx="15">
                  <c:v>-4.8648000000001135E-4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84-4C1B-B53C-514DBB4B0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55</xdr:row>
      <xdr:rowOff>0</xdr:rowOff>
    </xdr:from>
    <xdr:to>
      <xdr:col>25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1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592A88-6ADD-474A-BDCB-BBE97CBB0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G22"/>
  <sheetViews>
    <sheetView tabSelected="1" zoomScale="55" zoomScaleNormal="55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3" ht="15.75" customHeight="1" x14ac:dyDescent="0.25">
      <c r="A1" s="73" t="s">
        <v>29</v>
      </c>
      <c r="B1" s="73"/>
      <c r="C1" s="73" t="s">
        <v>63</v>
      </c>
      <c r="D1" s="73"/>
      <c r="E1" s="73" t="s">
        <v>64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AC1" s="24" t="s">
        <v>53</v>
      </c>
      <c r="AD1" s="25"/>
      <c r="AE1" s="25"/>
      <c r="AF1" s="25"/>
      <c r="AG1" s="26"/>
    </row>
    <row r="2" spans="1:33" ht="15.7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AC2" s="27"/>
      <c r="AD2" s="28"/>
      <c r="AE2" s="28"/>
      <c r="AF2" s="28"/>
      <c r="AG2" s="29"/>
    </row>
    <row r="4" spans="1:33" x14ac:dyDescent="0.25">
      <c r="A4" s="72" t="s">
        <v>30</v>
      </c>
      <c r="B4" s="72"/>
      <c r="C4" s="72"/>
      <c r="D4" s="72"/>
      <c r="E4" s="72"/>
      <c r="F4" s="72"/>
      <c r="G4" s="35">
        <v>0</v>
      </c>
      <c r="H4" s="36"/>
      <c r="I4" s="2" t="s">
        <v>18</v>
      </c>
      <c r="K4" s="74" t="s">
        <v>45</v>
      </c>
      <c r="L4" s="74"/>
      <c r="M4" s="74"/>
      <c r="N4" s="74"/>
      <c r="O4" s="74"/>
      <c r="P4" s="74"/>
      <c r="R4" s="74" t="s">
        <v>46</v>
      </c>
      <c r="S4" s="74"/>
      <c r="T4" s="74"/>
      <c r="U4" s="74"/>
      <c r="V4" s="74"/>
      <c r="W4" s="74"/>
      <c r="X4" s="74"/>
      <c r="Y4" s="74"/>
      <c r="AC4" s="58"/>
      <c r="AD4" s="61"/>
      <c r="AE4" s="62" t="s">
        <v>59</v>
      </c>
      <c r="AF4" s="61"/>
      <c r="AG4" s="58"/>
    </row>
    <row r="5" spans="1:33" ht="15.75" customHeight="1" x14ac:dyDescent="0.25">
      <c r="A5" s="32" t="s">
        <v>31</v>
      </c>
      <c r="B5" s="33"/>
      <c r="C5" s="33"/>
      <c r="D5" s="33"/>
      <c r="E5" s="33"/>
      <c r="F5" s="34"/>
      <c r="G5" s="35">
        <v>0</v>
      </c>
      <c r="H5" s="36"/>
      <c r="I5" s="2" t="s">
        <v>18</v>
      </c>
      <c r="K5" s="44" t="s">
        <v>65</v>
      </c>
      <c r="L5" s="45"/>
      <c r="M5" s="45"/>
      <c r="N5" s="45"/>
      <c r="O5" s="45"/>
      <c r="P5" s="46"/>
      <c r="R5" s="75" t="s">
        <v>48</v>
      </c>
      <c r="S5" s="75"/>
      <c r="T5" s="75"/>
      <c r="U5" s="75"/>
      <c r="V5" s="75"/>
      <c r="W5" s="75"/>
      <c r="X5" s="75"/>
      <c r="Y5" s="75"/>
      <c r="AC5" s="58"/>
      <c r="AD5" s="61"/>
      <c r="AE5" s="62"/>
      <c r="AF5" s="61"/>
      <c r="AG5" s="58"/>
    </row>
    <row r="6" spans="1:33" x14ac:dyDescent="0.25">
      <c r="A6" s="72" t="s">
        <v>32</v>
      </c>
      <c r="B6" s="72"/>
      <c r="C6" s="72"/>
      <c r="D6" s="72"/>
      <c r="E6" s="72"/>
      <c r="F6" s="72"/>
      <c r="G6" s="71">
        <v>0</v>
      </c>
      <c r="H6" s="71"/>
      <c r="I6" s="2" t="s">
        <v>24</v>
      </c>
      <c r="K6" s="47"/>
      <c r="L6" s="48"/>
      <c r="M6" s="48"/>
      <c r="N6" s="48"/>
      <c r="O6" s="48"/>
      <c r="P6" s="49"/>
      <c r="R6" s="75"/>
      <c r="S6" s="75"/>
      <c r="T6" s="75"/>
      <c r="U6" s="75"/>
      <c r="V6" s="75"/>
      <c r="W6" s="75"/>
      <c r="X6" s="75"/>
      <c r="Y6" s="75"/>
      <c r="AC6" s="58"/>
      <c r="AD6" s="61"/>
      <c r="AE6" s="62"/>
      <c r="AF6" s="61"/>
      <c r="AG6" s="58"/>
    </row>
    <row r="7" spans="1:33" ht="15.75" customHeight="1" x14ac:dyDescent="0.25">
      <c r="A7" s="32" t="s">
        <v>52</v>
      </c>
      <c r="B7" s="33"/>
      <c r="C7" s="33"/>
      <c r="D7" s="33"/>
      <c r="E7" s="33"/>
      <c r="F7" s="34"/>
      <c r="G7" s="35" t="s">
        <v>60</v>
      </c>
      <c r="H7" s="36"/>
      <c r="I7" s="2"/>
      <c r="K7" s="47"/>
      <c r="L7" s="48"/>
      <c r="M7" s="48"/>
      <c r="N7" s="48"/>
      <c r="O7" s="48"/>
      <c r="P7" s="49"/>
      <c r="R7" s="75"/>
      <c r="S7" s="75"/>
      <c r="T7" s="75"/>
      <c r="U7" s="75"/>
      <c r="V7" s="75"/>
      <c r="W7" s="75"/>
      <c r="X7" s="75"/>
      <c r="Y7" s="75"/>
      <c r="AC7" s="61"/>
      <c r="AD7" s="61"/>
      <c r="AE7" s="61"/>
      <c r="AF7" s="61"/>
      <c r="AG7" s="61"/>
    </row>
    <row r="8" spans="1:33" x14ac:dyDescent="0.25">
      <c r="A8" s="72" t="s">
        <v>15</v>
      </c>
      <c r="B8" s="72"/>
      <c r="C8" s="72"/>
      <c r="D8" s="72"/>
      <c r="E8" s="72"/>
      <c r="F8" s="72"/>
      <c r="G8" s="76">
        <f>360/((23*60*60)+(56*60)+4.09)</f>
        <v>4.1780746480349299E-3</v>
      </c>
      <c r="H8" s="76"/>
      <c r="I8" s="2" t="s">
        <v>16</v>
      </c>
      <c r="K8" s="47"/>
      <c r="L8" s="48"/>
      <c r="M8" s="48"/>
      <c r="N8" s="48"/>
      <c r="O8" s="48"/>
      <c r="P8" s="49"/>
      <c r="R8" s="75"/>
      <c r="S8" s="75"/>
      <c r="T8" s="75"/>
      <c r="U8" s="75"/>
      <c r="V8" s="75"/>
      <c r="W8" s="75"/>
      <c r="X8" s="75"/>
      <c r="Y8" s="75"/>
      <c r="AC8" s="61"/>
      <c r="AD8" s="61"/>
      <c r="AE8" s="61"/>
      <c r="AF8" s="61"/>
      <c r="AG8" s="61"/>
    </row>
    <row r="9" spans="1:33" x14ac:dyDescent="0.25">
      <c r="A9" s="72" t="s">
        <v>17</v>
      </c>
      <c r="B9" s="72"/>
      <c r="C9" s="72"/>
      <c r="D9" s="72"/>
      <c r="E9" s="72"/>
      <c r="F9" s="72"/>
      <c r="G9" s="71">
        <v>49</v>
      </c>
      <c r="H9" s="71"/>
      <c r="I9" s="2" t="s">
        <v>18</v>
      </c>
      <c r="K9" s="47"/>
      <c r="L9" s="48"/>
      <c r="M9" s="48"/>
      <c r="N9" s="48"/>
      <c r="O9" s="48"/>
      <c r="P9" s="49"/>
      <c r="R9" s="75"/>
      <c r="S9" s="75"/>
      <c r="T9" s="75"/>
      <c r="U9" s="75"/>
      <c r="V9" s="75"/>
      <c r="W9" s="75"/>
      <c r="X9" s="75"/>
      <c r="Y9" s="75"/>
      <c r="AC9" s="61"/>
      <c r="AD9" s="81"/>
      <c r="AE9" s="81"/>
      <c r="AF9" s="81"/>
      <c r="AG9" s="61"/>
    </row>
    <row r="10" spans="1:33" ht="15.75" customHeight="1" x14ac:dyDescent="0.25">
      <c r="A10" s="66" t="s">
        <v>19</v>
      </c>
      <c r="B10" s="67"/>
      <c r="C10" s="67"/>
      <c r="D10" s="67"/>
      <c r="E10" s="67"/>
      <c r="F10" s="68"/>
      <c r="G10" s="69">
        <f>(COS(RADIANS(G9))*G8)</f>
        <v>2.7410635966396515E-3</v>
      </c>
      <c r="H10" s="70"/>
      <c r="I10" s="3" t="s">
        <v>16</v>
      </c>
      <c r="K10" s="47"/>
      <c r="L10" s="48"/>
      <c r="M10" s="48"/>
      <c r="N10" s="48"/>
      <c r="O10" s="48"/>
      <c r="P10" s="49"/>
      <c r="R10" s="13"/>
      <c r="S10" s="13"/>
      <c r="T10" s="13"/>
      <c r="U10" s="13"/>
      <c r="V10" s="13"/>
      <c r="W10" s="13"/>
      <c r="X10" s="13"/>
      <c r="Y10" s="13"/>
      <c r="AC10" s="63" t="s">
        <v>49</v>
      </c>
      <c r="AD10" s="64"/>
      <c r="AE10" s="65" t="s">
        <v>51</v>
      </c>
      <c r="AF10" s="64"/>
      <c r="AG10" s="30" t="s">
        <v>49</v>
      </c>
    </row>
    <row r="11" spans="1:33" ht="15.75" customHeight="1" x14ac:dyDescent="0.25">
      <c r="A11" s="72" t="s">
        <v>33</v>
      </c>
      <c r="B11" s="72"/>
      <c r="C11" s="72"/>
      <c r="D11" s="72"/>
      <c r="E11" s="72"/>
      <c r="F11" s="72"/>
      <c r="G11" s="71">
        <v>22.5</v>
      </c>
      <c r="H11" s="71"/>
      <c r="I11" s="2" t="s">
        <v>18</v>
      </c>
      <c r="K11" s="47"/>
      <c r="L11" s="48"/>
      <c r="M11" s="48"/>
      <c r="N11" s="48"/>
      <c r="O11" s="48"/>
      <c r="P11" s="49"/>
      <c r="R11" s="13"/>
      <c r="S11" s="13"/>
      <c r="T11" s="13"/>
      <c r="U11" s="13"/>
      <c r="V11" s="13"/>
      <c r="W11" s="13"/>
      <c r="X11" s="13"/>
      <c r="Y11" s="13"/>
      <c r="AC11" s="63"/>
      <c r="AD11" s="64"/>
      <c r="AE11" s="65"/>
      <c r="AF11" s="64"/>
      <c r="AG11" s="30"/>
    </row>
    <row r="12" spans="1:33" ht="15.75" customHeight="1" x14ac:dyDescent="0.25">
      <c r="A12" s="32" t="s">
        <v>34</v>
      </c>
      <c r="B12" s="33"/>
      <c r="C12" s="33"/>
      <c r="D12" s="33"/>
      <c r="E12" s="33"/>
      <c r="F12" s="34"/>
      <c r="G12" s="35">
        <f>360/G11</f>
        <v>16</v>
      </c>
      <c r="H12" s="36"/>
      <c r="I12" s="2"/>
      <c r="K12" s="47"/>
      <c r="L12" s="48"/>
      <c r="M12" s="48"/>
      <c r="N12" s="48"/>
      <c r="O12" s="48"/>
      <c r="P12" s="49"/>
      <c r="R12" s="8"/>
      <c r="S12" s="8"/>
      <c r="T12" s="8"/>
      <c r="U12" s="8"/>
      <c r="V12" s="8"/>
      <c r="W12" s="8"/>
      <c r="X12" s="8"/>
      <c r="Y12" s="8"/>
      <c r="AC12" s="63"/>
      <c r="AD12" s="64"/>
      <c r="AE12" s="65"/>
      <c r="AF12" s="64"/>
      <c r="AG12" s="30"/>
    </row>
    <row r="13" spans="1:33" ht="15.75" customHeight="1" x14ac:dyDescent="0.25">
      <c r="A13" s="72" t="s">
        <v>20</v>
      </c>
      <c r="B13" s="72"/>
      <c r="C13" s="72"/>
      <c r="D13" s="72"/>
      <c r="E13" s="72"/>
      <c r="F13" s="72"/>
      <c r="G13" s="71" t="s">
        <v>47</v>
      </c>
      <c r="H13" s="71"/>
      <c r="I13" s="2"/>
      <c r="K13" s="47"/>
      <c r="L13" s="48"/>
      <c r="M13" s="48"/>
      <c r="N13" s="48"/>
      <c r="O13" s="48"/>
      <c r="P13" s="49"/>
      <c r="R13" s="77" t="s">
        <v>25</v>
      </c>
      <c r="S13" s="77"/>
      <c r="T13" s="77" t="s">
        <v>26</v>
      </c>
      <c r="U13" s="77"/>
      <c r="V13" s="77" t="s">
        <v>27</v>
      </c>
      <c r="W13" s="77"/>
      <c r="X13" s="77" t="s">
        <v>28</v>
      </c>
      <c r="Y13" s="77"/>
      <c r="AC13" s="43" t="s">
        <v>49</v>
      </c>
      <c r="AD13" s="37"/>
      <c r="AE13" s="37" t="s">
        <v>50</v>
      </c>
      <c r="AF13" s="37"/>
      <c r="AG13" s="31" t="s">
        <v>49</v>
      </c>
    </row>
    <row r="14" spans="1:33" ht="15.75" customHeight="1" x14ac:dyDescent="0.25">
      <c r="A14" s="32" t="s">
        <v>21</v>
      </c>
      <c r="B14" s="33"/>
      <c r="C14" s="33"/>
      <c r="D14" s="33"/>
      <c r="E14" s="33"/>
      <c r="F14" s="34"/>
      <c r="G14" s="35">
        <v>150</v>
      </c>
      <c r="H14" s="36"/>
      <c r="I14" s="2"/>
      <c r="K14" s="47"/>
      <c r="L14" s="48"/>
      <c r="M14" s="48"/>
      <c r="N14" s="48"/>
      <c r="O14" s="48"/>
      <c r="P14" s="49"/>
      <c r="R14" s="77"/>
      <c r="S14" s="77"/>
      <c r="T14" s="77"/>
      <c r="U14" s="77"/>
      <c r="V14" s="77"/>
      <c r="W14" s="77"/>
      <c r="X14" s="77"/>
      <c r="Y14" s="77"/>
      <c r="AC14" s="43"/>
      <c r="AD14" s="38"/>
      <c r="AE14" s="38"/>
      <c r="AF14" s="38"/>
      <c r="AG14" s="31"/>
    </row>
    <row r="15" spans="1:33" ht="15.75" customHeight="1" x14ac:dyDescent="0.25">
      <c r="A15" s="32" t="s">
        <v>22</v>
      </c>
      <c r="B15" s="33"/>
      <c r="C15" s="33"/>
      <c r="D15" s="33"/>
      <c r="E15" s="33"/>
      <c r="F15" s="34"/>
      <c r="G15" s="35">
        <v>200</v>
      </c>
      <c r="H15" s="36"/>
      <c r="I15" s="2"/>
      <c r="K15" s="47"/>
      <c r="L15" s="48"/>
      <c r="M15" s="48"/>
      <c r="N15" s="48"/>
      <c r="O15" s="48"/>
      <c r="P15" s="49"/>
      <c r="R15" s="77"/>
      <c r="S15" s="77"/>
      <c r="T15" s="77"/>
      <c r="U15" s="77"/>
      <c r="V15" s="77"/>
      <c r="W15" s="77"/>
      <c r="X15" s="77"/>
      <c r="Y15" s="77"/>
      <c r="AC15" s="43"/>
      <c r="AD15" s="39"/>
      <c r="AE15" s="39"/>
      <c r="AF15" s="39"/>
      <c r="AG15" s="31"/>
    </row>
    <row r="16" spans="1:33" ht="15.75" customHeight="1" x14ac:dyDescent="0.25">
      <c r="A16" s="32" t="s">
        <v>23</v>
      </c>
      <c r="B16" s="33"/>
      <c r="C16" s="33"/>
      <c r="D16" s="33"/>
      <c r="E16" s="33"/>
      <c r="F16" s="34"/>
      <c r="G16" s="35">
        <v>50</v>
      </c>
      <c r="H16" s="36"/>
      <c r="I16" s="2"/>
      <c r="K16" s="47"/>
      <c r="L16" s="48"/>
      <c r="M16" s="48"/>
      <c r="N16" s="48"/>
      <c r="O16" s="48"/>
      <c r="P16" s="49"/>
      <c r="R16" s="77"/>
      <c r="S16" s="77"/>
      <c r="T16" s="77"/>
      <c r="U16" s="77"/>
      <c r="V16" s="77"/>
      <c r="W16" s="77"/>
      <c r="X16" s="77"/>
      <c r="Y16" s="77"/>
      <c r="AC16" s="43" t="s">
        <v>49</v>
      </c>
      <c r="AD16" s="40"/>
      <c r="AE16" s="37" t="s">
        <v>49</v>
      </c>
      <c r="AF16" s="37"/>
      <c r="AG16" s="31" t="s">
        <v>49</v>
      </c>
    </row>
    <row r="17" spans="1:33" ht="15.75" customHeight="1" x14ac:dyDescent="0.25">
      <c r="A17" s="53" t="s">
        <v>36</v>
      </c>
      <c r="B17" s="54"/>
      <c r="C17" s="54"/>
      <c r="D17" s="54"/>
      <c r="E17" s="54"/>
      <c r="F17" s="55"/>
      <c r="G17" s="79">
        <v>400</v>
      </c>
      <c r="H17" s="80"/>
      <c r="I17" s="4" t="s">
        <v>18</v>
      </c>
      <c r="K17" s="47"/>
      <c r="L17" s="48"/>
      <c r="M17" s="48"/>
      <c r="N17" s="48"/>
      <c r="O17" s="48"/>
      <c r="P17" s="49"/>
      <c r="R17" s="78">
        <f>MIN('T17-1'!U3:U18)</f>
        <v>-4.1124600000000122E-3</v>
      </c>
      <c r="S17" s="78"/>
      <c r="T17" s="78">
        <f>MIN('T17-1'!V3:V18)</f>
        <v>-4.7749900000000345E-3</v>
      </c>
      <c r="U17" s="78"/>
      <c r="V17" s="78">
        <f>MAX('T17-1'!U3:U18)</f>
        <v>5.3679000000000088E-3</v>
      </c>
      <c r="W17" s="78"/>
      <c r="X17" s="78">
        <f>MAX('T17-1'!V3:V18)</f>
        <v>4.1583799999999616E-3</v>
      </c>
      <c r="Y17" s="78"/>
      <c r="AC17" s="43"/>
      <c r="AD17" s="41"/>
      <c r="AE17" s="38"/>
      <c r="AF17" s="38"/>
      <c r="AG17" s="31"/>
    </row>
    <row r="18" spans="1:33" ht="15.75" customHeight="1" x14ac:dyDescent="0.25">
      <c r="A18" s="53" t="s">
        <v>35</v>
      </c>
      <c r="B18" s="54"/>
      <c r="C18" s="54"/>
      <c r="D18" s="54"/>
      <c r="E18" s="54"/>
      <c r="F18" s="55"/>
      <c r="G18" s="79">
        <f>G14*G15*2</f>
        <v>60000</v>
      </c>
      <c r="H18" s="80"/>
      <c r="I18" s="2"/>
      <c r="K18" s="50"/>
      <c r="L18" s="51"/>
      <c r="M18" s="51"/>
      <c r="N18" s="51"/>
      <c r="O18" s="51"/>
      <c r="P18" s="52"/>
      <c r="R18" s="78"/>
      <c r="S18" s="78"/>
      <c r="T18" s="78"/>
      <c r="U18" s="78"/>
      <c r="V18" s="78"/>
      <c r="W18" s="78"/>
      <c r="X18" s="78"/>
      <c r="Y18" s="78"/>
      <c r="AC18" s="43"/>
      <c r="AD18" s="42"/>
      <c r="AE18" s="39"/>
      <c r="AF18" s="39"/>
      <c r="AG18" s="31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56" t="s">
        <v>49</v>
      </c>
      <c r="AD19" s="59" t="s">
        <v>49</v>
      </c>
      <c r="AE19" s="59" t="s">
        <v>49</v>
      </c>
      <c r="AF19" s="59" t="s">
        <v>49</v>
      </c>
      <c r="AG19" s="57" t="s">
        <v>49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56"/>
      <c r="AD20" s="60"/>
      <c r="AE20" s="60"/>
      <c r="AF20" s="60"/>
      <c r="AG20" s="57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56"/>
      <c r="AD21" s="60"/>
      <c r="AE21" s="60"/>
      <c r="AF21" s="60"/>
      <c r="AG21" s="57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7:AC9"/>
    <mergeCell ref="AD7:AD9"/>
    <mergeCell ref="AE7:AE9"/>
    <mergeCell ref="AF7:AF9"/>
    <mergeCell ref="AG7:AG9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G4:H4"/>
    <mergeCell ref="A1:B2"/>
    <mergeCell ref="C1:D2"/>
    <mergeCell ref="E1:Y2"/>
    <mergeCell ref="K4:P4"/>
    <mergeCell ref="A4:F4"/>
    <mergeCell ref="R4:Y4"/>
    <mergeCell ref="A10:F10"/>
    <mergeCell ref="G10:H10"/>
    <mergeCell ref="G9:H9"/>
    <mergeCell ref="G11:H11"/>
    <mergeCell ref="G13:H13"/>
    <mergeCell ref="A9:F9"/>
    <mergeCell ref="A11:F11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52"/>
  <sheetViews>
    <sheetView zoomScale="70" zoomScaleNormal="70" workbookViewId="0">
      <selection activeCell="A37" sqref="A37:AD52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58</v>
      </c>
      <c r="B2" t="s">
        <v>54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55</v>
      </c>
      <c r="L2" t="s">
        <v>56</v>
      </c>
      <c r="M2" t="s">
        <v>57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66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61</v>
      </c>
      <c r="C3" s="14">
        <v>0</v>
      </c>
      <c r="D3" s="14">
        <v>7</v>
      </c>
      <c r="E3" s="15">
        <v>-0.39617152</v>
      </c>
      <c r="F3" s="15">
        <v>-0.38543571999999998</v>
      </c>
      <c r="G3" s="15">
        <v>-1.073581E-2</v>
      </c>
      <c r="H3" s="15">
        <v>0.68804279999999995</v>
      </c>
      <c r="I3" s="15">
        <v>0.68742130000000001</v>
      </c>
      <c r="J3" s="15">
        <v>6.2144000000000001E-4</v>
      </c>
      <c r="K3" s="18">
        <v>26.17</v>
      </c>
      <c r="L3" s="18">
        <v>26.19</v>
      </c>
      <c r="M3" s="18">
        <v>-0.02</v>
      </c>
      <c r="N3" s="15">
        <v>5.5698240000000003E-2</v>
      </c>
      <c r="O3" s="15">
        <v>2.066022E-2</v>
      </c>
      <c r="P3" s="15">
        <v>3.5038020000000003E-2</v>
      </c>
      <c r="Q3" s="15">
        <v>4.9246699999999999E-3</v>
      </c>
      <c r="R3" s="15">
        <v>1.69294E-3</v>
      </c>
      <c r="S3" s="15">
        <v>3.23172E-3</v>
      </c>
      <c r="T3" s="14"/>
      <c r="U3" s="15">
        <f>(F3-E3)/2</f>
        <v>5.3679000000000088E-3</v>
      </c>
      <c r="V3" s="15">
        <f>(H3-I3)/2</f>
        <v>3.1074999999997077E-4</v>
      </c>
      <c r="W3" s="15"/>
      <c r="X3" s="15"/>
      <c r="Y3" s="16">
        <f t="shared" ref="Y3:Y34" si="0">N3</f>
        <v>5.5698240000000003E-2</v>
      </c>
      <c r="Z3" s="16">
        <f t="shared" ref="Z3:Z34" si="1">Q3</f>
        <v>4.9246699999999999E-3</v>
      </c>
      <c r="AA3" s="16">
        <f t="shared" ref="AA3:AA34" si="2">O3</f>
        <v>2.066022E-2</v>
      </c>
      <c r="AB3" s="16">
        <f t="shared" ref="AB3:AB34" si="3">R3</f>
        <v>1.69294E-3</v>
      </c>
      <c r="AC3" s="17">
        <f>IF(Y3="","",DEGREES(ASIN(SQRT(Y3^2+Z3^2))))</f>
        <v>3.20539557023928</v>
      </c>
      <c r="AD3" s="17">
        <f>IF(AA3="","",DEGREES(ASIN(SQRT(AA3^2+AB3^2))))</f>
        <v>1.1877959581762205</v>
      </c>
      <c r="AE3" s="17">
        <f>IF(Y3="","",MOD(DEGREES(ATAN2(Y3,Z3)),360))</f>
        <v>5.052780144005979</v>
      </c>
      <c r="AF3" s="17">
        <f t="shared" ref="AF3:AF34" si="4">IF(Y3="","",MOD(F3+AE3,360))</f>
        <v>4.6673444240059787</v>
      </c>
    </row>
    <row r="4" spans="1:32" x14ac:dyDescent="0.25">
      <c r="A4" s="14">
        <v>2</v>
      </c>
      <c r="B4" s="14" t="s">
        <v>61</v>
      </c>
      <c r="C4" s="14">
        <v>22.5</v>
      </c>
      <c r="D4" s="14">
        <v>6</v>
      </c>
      <c r="E4" s="15">
        <v>-0.38890000000000002</v>
      </c>
      <c r="F4" s="15">
        <v>-0.38335000000000002</v>
      </c>
      <c r="G4" s="15">
        <v>-5.5500300000000001E-3</v>
      </c>
      <c r="H4" s="15">
        <v>0.66313323999999996</v>
      </c>
      <c r="I4" s="15">
        <v>0.65864175999999997</v>
      </c>
      <c r="J4" s="15">
        <v>4.4915099999999998E-3</v>
      </c>
      <c r="K4" s="18">
        <v>26.19</v>
      </c>
      <c r="L4" s="18">
        <v>26.2</v>
      </c>
      <c r="M4" s="18">
        <v>-0.02</v>
      </c>
      <c r="N4" s="15">
        <v>5.5436609999999997E-2</v>
      </c>
      <c r="O4" s="15">
        <v>2.2049969999999999E-2</v>
      </c>
      <c r="P4" s="15">
        <v>3.3386640000000002E-2</v>
      </c>
      <c r="Q4" s="15">
        <v>-2.0027700000000001E-3</v>
      </c>
      <c r="R4" s="15">
        <v>8.6857099999999993E-3</v>
      </c>
      <c r="S4" s="15">
        <v>-1.068848E-2</v>
      </c>
      <c r="T4" s="14"/>
      <c r="U4" s="15">
        <f t="shared" ref="U4:U34" si="5">(F4-E4)/2</f>
        <v>2.7749999999999997E-3</v>
      </c>
      <c r="V4" s="15">
        <f t="shared" ref="V4:V34" si="6">(H4-I4)/2</f>
        <v>2.2457399999999961E-3</v>
      </c>
      <c r="W4" s="15"/>
      <c r="X4" s="15"/>
      <c r="Y4" s="16">
        <f t="shared" si="0"/>
        <v>5.5436609999999997E-2</v>
      </c>
      <c r="Z4" s="16">
        <f t="shared" si="1"/>
        <v>-2.0027700000000001E-3</v>
      </c>
      <c r="AA4" s="16">
        <f t="shared" si="2"/>
        <v>2.2049969999999999E-2</v>
      </c>
      <c r="AB4" s="16">
        <f t="shared" si="3"/>
        <v>8.6857099999999993E-3</v>
      </c>
      <c r="AC4" s="17">
        <f t="shared" ref="AC4:AC18" si="7">IF(Y4="","",DEGREES(ASIN(SQRT(Y4^2+Z4^2))))</f>
        <v>3.1799882605574461</v>
      </c>
      <c r="AD4" s="17">
        <f t="shared" ref="AD4:AD18" si="8">IF(AA4="","",DEGREES(ASIN(SQRT(AA4^2+AB4^2))))</f>
        <v>1.3579799777429316</v>
      </c>
      <c r="AE4" s="17">
        <f t="shared" ref="AE4:AE18" si="9">IF(Y4="","",MOD(DEGREES(ATAN2(Y4,Z4)),360))</f>
        <v>357.93096323306003</v>
      </c>
      <c r="AF4" s="17">
        <f t="shared" si="4"/>
        <v>357.54761323306002</v>
      </c>
    </row>
    <row r="5" spans="1:32" x14ac:dyDescent="0.25">
      <c r="A5" s="14">
        <v>3</v>
      </c>
      <c r="B5" s="14" t="s">
        <v>61</v>
      </c>
      <c r="C5" s="14">
        <v>45</v>
      </c>
      <c r="D5" s="14">
        <v>5</v>
      </c>
      <c r="E5" s="15">
        <v>-0.38319007999999999</v>
      </c>
      <c r="F5" s="15">
        <v>-0.38107004</v>
      </c>
      <c r="G5" s="15">
        <v>-2.1200199999999998E-3</v>
      </c>
      <c r="H5" s="15">
        <v>0.68807008000000003</v>
      </c>
      <c r="I5" s="15">
        <v>0.68374009999999996</v>
      </c>
      <c r="J5" s="15">
        <v>4.3299799999999998E-3</v>
      </c>
      <c r="K5" s="18">
        <v>26.15</v>
      </c>
      <c r="L5" s="18">
        <v>26.18</v>
      </c>
      <c r="M5" s="18">
        <v>-0.02</v>
      </c>
      <c r="N5" s="15">
        <v>5.2963379999999997E-2</v>
      </c>
      <c r="O5" s="15">
        <v>2.5778809999999999E-2</v>
      </c>
      <c r="P5" s="15">
        <v>2.7184570000000002E-2</v>
      </c>
      <c r="Q5" s="15">
        <v>-8.4609400000000001E-3</v>
      </c>
      <c r="R5" s="15">
        <v>1.473438E-2</v>
      </c>
      <c r="S5" s="15">
        <v>-2.319531E-2</v>
      </c>
      <c r="T5" s="14"/>
      <c r="U5" s="15">
        <f t="shared" si="5"/>
        <v>1.0600199999999949E-3</v>
      </c>
      <c r="V5" s="15">
        <f t="shared" si="6"/>
        <v>2.1649900000000333E-3</v>
      </c>
      <c r="W5" s="15"/>
      <c r="X5" s="15"/>
      <c r="Y5" s="16">
        <f t="shared" si="0"/>
        <v>5.2963379999999997E-2</v>
      </c>
      <c r="Z5" s="16">
        <f t="shared" si="1"/>
        <v>-8.4609400000000001E-3</v>
      </c>
      <c r="AA5" s="16">
        <f t="shared" si="2"/>
        <v>2.5778809999999999E-2</v>
      </c>
      <c r="AB5" s="16">
        <f t="shared" si="3"/>
        <v>1.473438E-2</v>
      </c>
      <c r="AC5" s="17">
        <f t="shared" si="7"/>
        <v>3.0745311678016716</v>
      </c>
      <c r="AD5" s="17">
        <f t="shared" si="8"/>
        <v>1.7015093044503415</v>
      </c>
      <c r="AE5" s="17">
        <f t="shared" si="9"/>
        <v>350.92364778590894</v>
      </c>
      <c r="AF5" s="17">
        <f t="shared" si="4"/>
        <v>350.54257774590894</v>
      </c>
    </row>
    <row r="6" spans="1:32" x14ac:dyDescent="0.25">
      <c r="A6" s="14">
        <v>4</v>
      </c>
      <c r="B6" s="14" t="s">
        <v>61</v>
      </c>
      <c r="C6" s="14">
        <v>67.5</v>
      </c>
      <c r="D6" s="14">
        <v>4</v>
      </c>
      <c r="E6" s="15">
        <v>-0.38859996000000002</v>
      </c>
      <c r="F6" s="15">
        <v>-0.39143748</v>
      </c>
      <c r="G6" s="15">
        <v>2.8375100000000001E-3</v>
      </c>
      <c r="H6" s="15">
        <v>0.65092503999999995</v>
      </c>
      <c r="I6" s="15">
        <v>0.64562492000000005</v>
      </c>
      <c r="J6" s="15">
        <v>5.3001000000000003E-3</v>
      </c>
      <c r="K6" s="18">
        <v>26.16</v>
      </c>
      <c r="L6" s="18">
        <v>26.17</v>
      </c>
      <c r="M6" s="18">
        <v>0</v>
      </c>
      <c r="N6" s="15">
        <v>4.6790159999999997E-2</v>
      </c>
      <c r="O6" s="15">
        <v>3.0591429999999999E-2</v>
      </c>
      <c r="P6" s="15">
        <v>1.6198730000000001E-2</v>
      </c>
      <c r="Q6" s="15">
        <v>-1.2643430000000001E-2</v>
      </c>
      <c r="R6" s="15">
        <v>1.956482E-2</v>
      </c>
      <c r="S6" s="15">
        <v>-3.2208250000000001E-2</v>
      </c>
      <c r="T6" s="14"/>
      <c r="U6" s="15">
        <f t="shared" si="5"/>
        <v>-1.4187599999999911E-3</v>
      </c>
      <c r="V6" s="15">
        <f t="shared" si="6"/>
        <v>2.6500599999999541E-3</v>
      </c>
      <c r="W6" s="15"/>
      <c r="X6" s="15"/>
      <c r="Y6" s="16">
        <f t="shared" si="0"/>
        <v>4.6790159999999997E-2</v>
      </c>
      <c r="Z6" s="16">
        <f t="shared" si="1"/>
        <v>-1.2643430000000001E-2</v>
      </c>
      <c r="AA6" s="16">
        <f t="shared" si="2"/>
        <v>3.0591429999999999E-2</v>
      </c>
      <c r="AB6" s="16">
        <f t="shared" si="3"/>
        <v>1.956482E-2</v>
      </c>
      <c r="AC6" s="17">
        <f t="shared" si="7"/>
        <v>2.7781170494713323</v>
      </c>
      <c r="AD6" s="17">
        <f t="shared" si="8"/>
        <v>2.0810263800052988</v>
      </c>
      <c r="AE6" s="17">
        <f t="shared" si="9"/>
        <v>344.87891319786917</v>
      </c>
      <c r="AF6" s="17">
        <f t="shared" si="4"/>
        <v>344.48747571786919</v>
      </c>
    </row>
    <row r="7" spans="1:32" x14ac:dyDescent="0.25">
      <c r="A7" s="14">
        <v>5</v>
      </c>
      <c r="B7" s="14" t="s">
        <v>61</v>
      </c>
      <c r="C7" s="14">
        <v>90</v>
      </c>
      <c r="D7" s="14">
        <v>1</v>
      </c>
      <c r="E7" s="15">
        <v>-0.40849999999999997</v>
      </c>
      <c r="F7" s="15">
        <v>-0.40280016000000002</v>
      </c>
      <c r="G7" s="15">
        <v>-5.6998700000000001E-3</v>
      </c>
      <c r="H7" s="15">
        <v>0.5942499</v>
      </c>
      <c r="I7" s="15">
        <v>0.58909992</v>
      </c>
      <c r="J7" s="15">
        <v>5.1499600000000003E-3</v>
      </c>
      <c r="K7" s="18">
        <v>26.26</v>
      </c>
      <c r="L7" s="18">
        <v>26.3</v>
      </c>
      <c r="M7" s="18">
        <v>-0.04</v>
      </c>
      <c r="N7" s="15">
        <v>3.996338E-2</v>
      </c>
      <c r="O7" s="15">
        <v>3.5644530000000001E-2</v>
      </c>
      <c r="P7" s="15">
        <v>4.3188499999999999E-3</v>
      </c>
      <c r="Q7" s="15">
        <v>-1.315674E-2</v>
      </c>
      <c r="R7" s="15">
        <v>2.139404E-2</v>
      </c>
      <c r="S7" s="15">
        <v>-3.4550780000000003E-2</v>
      </c>
      <c r="T7" s="14"/>
      <c r="U7" s="15">
        <f t="shared" si="5"/>
        <v>2.849919999999978E-3</v>
      </c>
      <c r="V7" s="15">
        <f t="shared" si="6"/>
        <v>2.5749899999999992E-3</v>
      </c>
      <c r="W7" s="15"/>
      <c r="X7" s="15"/>
      <c r="Y7" s="16">
        <f t="shared" si="0"/>
        <v>3.996338E-2</v>
      </c>
      <c r="Z7" s="16">
        <f t="shared" si="1"/>
        <v>-1.315674E-2</v>
      </c>
      <c r="AA7" s="16">
        <f t="shared" si="2"/>
        <v>3.5644530000000001E-2</v>
      </c>
      <c r="AB7" s="16">
        <f t="shared" si="3"/>
        <v>2.139404E-2</v>
      </c>
      <c r="AC7" s="17">
        <f t="shared" si="7"/>
        <v>2.411340403174993</v>
      </c>
      <c r="AD7" s="17">
        <f t="shared" si="8"/>
        <v>2.3825910921195068</v>
      </c>
      <c r="AE7" s="17">
        <f t="shared" si="9"/>
        <v>341.77742637309467</v>
      </c>
      <c r="AF7" s="17">
        <f t="shared" si="4"/>
        <v>341.37462621309464</v>
      </c>
    </row>
    <row r="8" spans="1:32" x14ac:dyDescent="0.25">
      <c r="A8" s="14">
        <v>6</v>
      </c>
      <c r="B8" s="14" t="s">
        <v>61</v>
      </c>
      <c r="C8" s="14">
        <v>112.5</v>
      </c>
      <c r="D8" s="14">
        <v>6</v>
      </c>
      <c r="E8" s="15">
        <v>-0.3907833</v>
      </c>
      <c r="F8" s="15">
        <v>-0.39610000000000001</v>
      </c>
      <c r="G8" s="15">
        <v>5.3166999999999997E-3</v>
      </c>
      <c r="H8" s="15">
        <v>0.64686659999999996</v>
      </c>
      <c r="I8" s="15">
        <v>0.63854984000000004</v>
      </c>
      <c r="J8" s="15">
        <v>8.3167599999999994E-3</v>
      </c>
      <c r="K8" s="18">
        <v>26.2</v>
      </c>
      <c r="L8" s="18">
        <v>26.22</v>
      </c>
      <c r="M8" s="18">
        <v>-0.02</v>
      </c>
      <c r="N8" s="15">
        <v>3.2709960000000003E-2</v>
      </c>
      <c r="O8" s="15">
        <v>4.3656819999999999E-2</v>
      </c>
      <c r="P8" s="15">
        <v>-1.0946849999999999E-2</v>
      </c>
      <c r="Q8" s="15">
        <v>-1.3625079999999999E-2</v>
      </c>
      <c r="R8" s="15">
        <v>2.075602E-2</v>
      </c>
      <c r="S8" s="15">
        <v>-3.4381099999999998E-2</v>
      </c>
      <c r="T8" s="14"/>
      <c r="U8" s="15">
        <f t="shared" si="5"/>
        <v>-2.6583500000000038E-3</v>
      </c>
      <c r="V8" s="15">
        <f t="shared" si="6"/>
        <v>4.1583799999999616E-3</v>
      </c>
      <c r="W8" s="15"/>
      <c r="X8" s="15"/>
      <c r="Y8" s="16">
        <f t="shared" si="0"/>
        <v>3.2709960000000003E-2</v>
      </c>
      <c r="Z8" s="16">
        <f t="shared" si="1"/>
        <v>-1.3625079999999999E-2</v>
      </c>
      <c r="AA8" s="16">
        <f t="shared" si="2"/>
        <v>4.3656819999999999E-2</v>
      </c>
      <c r="AB8" s="16">
        <f t="shared" si="3"/>
        <v>2.075602E-2</v>
      </c>
      <c r="AC8" s="17">
        <f t="shared" si="7"/>
        <v>2.0306566268880908</v>
      </c>
      <c r="AD8" s="17">
        <f t="shared" si="8"/>
        <v>2.7707427823200916</v>
      </c>
      <c r="AE8" s="17">
        <f t="shared" si="9"/>
        <v>337.38620985217864</v>
      </c>
      <c r="AF8" s="17">
        <f t="shared" si="4"/>
        <v>336.99010985217865</v>
      </c>
    </row>
    <row r="9" spans="1:32" x14ac:dyDescent="0.25">
      <c r="A9" s="14">
        <v>7</v>
      </c>
      <c r="B9" s="14" t="s">
        <v>61</v>
      </c>
      <c r="C9" s="14">
        <v>135</v>
      </c>
      <c r="D9" s="14">
        <v>4</v>
      </c>
      <c r="E9" s="15">
        <v>-0.378525</v>
      </c>
      <c r="F9" s="15">
        <v>-0.38379996</v>
      </c>
      <c r="G9" s="15">
        <v>5.2749800000000003E-3</v>
      </c>
      <c r="H9" s="15">
        <v>0.69121268000000002</v>
      </c>
      <c r="I9" s="15">
        <v>0.69678751999999999</v>
      </c>
      <c r="J9" s="15">
        <v>-5.5748799999999999E-3</v>
      </c>
      <c r="K9" s="18">
        <v>26.14</v>
      </c>
      <c r="L9" s="18">
        <v>26.15</v>
      </c>
      <c r="M9" s="18">
        <v>-0.01</v>
      </c>
      <c r="N9" s="15">
        <v>2.677856E-2</v>
      </c>
      <c r="O9" s="15">
        <v>4.8966669999999997E-2</v>
      </c>
      <c r="P9" s="15">
        <v>-2.218811E-2</v>
      </c>
      <c r="Q9" s="15">
        <v>-1.091309E-2</v>
      </c>
      <c r="R9" s="15">
        <v>1.706299E-2</v>
      </c>
      <c r="S9" s="15">
        <v>-2.7976069999999999E-2</v>
      </c>
      <c r="T9" s="14"/>
      <c r="U9" s="15">
        <f t="shared" si="5"/>
        <v>-2.6374799999999976E-3</v>
      </c>
      <c r="V9" s="15">
        <f t="shared" si="6"/>
        <v>-2.7874199999999849E-3</v>
      </c>
      <c r="W9" s="15"/>
      <c r="X9" s="15"/>
      <c r="Y9" s="16">
        <f t="shared" si="0"/>
        <v>2.677856E-2</v>
      </c>
      <c r="Z9" s="16">
        <f t="shared" si="1"/>
        <v>-1.091309E-2</v>
      </c>
      <c r="AA9" s="16">
        <f t="shared" si="2"/>
        <v>4.8966669999999997E-2</v>
      </c>
      <c r="AB9" s="16">
        <f t="shared" si="3"/>
        <v>1.706299E-2</v>
      </c>
      <c r="AC9" s="17">
        <f t="shared" si="7"/>
        <v>1.6570470209856545</v>
      </c>
      <c r="AD9" s="17">
        <f t="shared" si="8"/>
        <v>2.9723722278645885</v>
      </c>
      <c r="AE9" s="17">
        <f t="shared" si="9"/>
        <v>337.82758727494962</v>
      </c>
      <c r="AF9" s="17">
        <f t="shared" si="4"/>
        <v>337.44378731494965</v>
      </c>
    </row>
    <row r="10" spans="1:32" x14ac:dyDescent="0.25">
      <c r="A10" s="14">
        <v>8</v>
      </c>
      <c r="B10" s="14" t="s">
        <v>61</v>
      </c>
      <c r="C10" s="14">
        <v>157.5</v>
      </c>
      <c r="D10" s="14">
        <v>2</v>
      </c>
      <c r="E10" s="15">
        <v>-0.39017499999999999</v>
      </c>
      <c r="F10" s="15">
        <v>-0.39427499999999999</v>
      </c>
      <c r="G10" s="15">
        <v>4.1000000000000003E-3</v>
      </c>
      <c r="H10" s="15">
        <v>0.66310009999999997</v>
      </c>
      <c r="I10" s="15">
        <v>0.65687516000000001</v>
      </c>
      <c r="J10" s="15">
        <v>6.2249899999999997E-3</v>
      </c>
      <c r="K10" s="18">
        <v>26.2</v>
      </c>
      <c r="L10" s="18">
        <v>26.22</v>
      </c>
      <c r="M10" s="18">
        <v>-0.01</v>
      </c>
      <c r="N10" s="15">
        <v>2.1982419999999999E-2</v>
      </c>
      <c r="O10" s="15">
        <v>5.401367E-2</v>
      </c>
      <c r="P10" s="15">
        <v>-3.2031249999999997E-2</v>
      </c>
      <c r="Q10" s="15">
        <v>-5.08545E-3</v>
      </c>
      <c r="R10" s="15">
        <v>1.179321E-2</v>
      </c>
      <c r="S10" s="15">
        <v>-1.687866E-2</v>
      </c>
      <c r="T10" s="14"/>
      <c r="U10" s="15">
        <f t="shared" si="5"/>
        <v>-2.0499999999999963E-3</v>
      </c>
      <c r="V10" s="15">
        <f t="shared" si="6"/>
        <v>3.1124699999999783E-3</v>
      </c>
      <c r="W10" s="15"/>
      <c r="X10" s="15"/>
      <c r="Y10" s="16">
        <f t="shared" si="0"/>
        <v>2.1982419999999999E-2</v>
      </c>
      <c r="Z10" s="16">
        <f t="shared" si="1"/>
        <v>-5.08545E-3</v>
      </c>
      <c r="AA10" s="16">
        <f t="shared" si="2"/>
        <v>5.401367E-2</v>
      </c>
      <c r="AB10" s="16">
        <f t="shared" si="3"/>
        <v>1.179321E-2</v>
      </c>
      <c r="AC10" s="17">
        <f t="shared" si="7"/>
        <v>1.2928739066264376</v>
      </c>
      <c r="AD10" s="17">
        <f t="shared" si="8"/>
        <v>3.1692779203220485</v>
      </c>
      <c r="AE10" s="17">
        <f t="shared" si="9"/>
        <v>346.97424649799729</v>
      </c>
      <c r="AF10" s="17">
        <f t="shared" si="4"/>
        <v>346.57997149799729</v>
      </c>
    </row>
    <row r="11" spans="1:32" x14ac:dyDescent="0.25">
      <c r="A11" s="14">
        <v>9</v>
      </c>
      <c r="B11" s="14" t="s">
        <v>61</v>
      </c>
      <c r="C11" s="14">
        <v>180</v>
      </c>
      <c r="D11" s="14">
        <v>9</v>
      </c>
      <c r="E11" s="15">
        <v>-0.38645563999999999</v>
      </c>
      <c r="F11" s="15">
        <v>-0.39239447999999999</v>
      </c>
      <c r="G11" s="15">
        <v>5.9388599999999998E-3</v>
      </c>
      <c r="H11" s="15">
        <v>0.64052224000000002</v>
      </c>
      <c r="I11" s="15">
        <v>0.64036110000000002</v>
      </c>
      <c r="J11" s="15">
        <v>1.6117E-4</v>
      </c>
      <c r="K11" s="18">
        <v>26.23</v>
      </c>
      <c r="L11" s="18">
        <v>26.25</v>
      </c>
      <c r="M11" s="18">
        <v>-0.01</v>
      </c>
      <c r="N11" s="15">
        <v>1.978624E-2</v>
      </c>
      <c r="O11" s="15">
        <v>5.6318090000000001E-2</v>
      </c>
      <c r="P11" s="15">
        <v>-3.6531840000000003E-2</v>
      </c>
      <c r="Q11" s="15">
        <v>1.79525E-3</v>
      </c>
      <c r="R11" s="15">
        <v>5.1388900000000001E-3</v>
      </c>
      <c r="S11" s="15">
        <v>-3.3436400000000002E-3</v>
      </c>
      <c r="T11" s="14"/>
      <c r="U11" s="15">
        <f t="shared" si="5"/>
        <v>-2.9694200000000004E-3</v>
      </c>
      <c r="V11" s="15">
        <f t="shared" si="6"/>
        <v>8.0570000000002029E-5</v>
      </c>
      <c r="W11" s="15"/>
      <c r="X11" s="15"/>
      <c r="Y11" s="16">
        <f t="shared" si="0"/>
        <v>1.978624E-2</v>
      </c>
      <c r="Z11" s="16">
        <f t="shared" si="1"/>
        <v>1.79525E-3</v>
      </c>
      <c r="AA11" s="16">
        <f t="shared" si="2"/>
        <v>5.6318090000000001E-2</v>
      </c>
      <c r="AB11" s="16">
        <f t="shared" si="3"/>
        <v>5.1388900000000001E-3</v>
      </c>
      <c r="AC11" s="17">
        <f t="shared" si="7"/>
        <v>1.1383997502201952</v>
      </c>
      <c r="AD11" s="17">
        <f t="shared" si="8"/>
        <v>3.2419239282796637</v>
      </c>
      <c r="AE11" s="17">
        <f t="shared" si="9"/>
        <v>5.1843793477728344</v>
      </c>
      <c r="AF11" s="17">
        <f t="shared" si="4"/>
        <v>4.7919848677728343</v>
      </c>
    </row>
    <row r="12" spans="1:32" x14ac:dyDescent="0.25">
      <c r="A12" s="14">
        <v>10</v>
      </c>
      <c r="B12" s="14" t="s">
        <v>61</v>
      </c>
      <c r="C12" s="14">
        <v>202.5</v>
      </c>
      <c r="D12" s="14">
        <v>2</v>
      </c>
      <c r="E12" s="15">
        <v>-0.37585000000000002</v>
      </c>
      <c r="F12" s="15">
        <v>-0.38277499999999998</v>
      </c>
      <c r="G12" s="15">
        <v>6.9249899999999998E-3</v>
      </c>
      <c r="H12" s="15">
        <v>0.73574989999999996</v>
      </c>
      <c r="I12" s="15">
        <v>0.7278</v>
      </c>
      <c r="J12" s="15">
        <v>7.9498899999999994E-3</v>
      </c>
      <c r="K12" s="18">
        <v>26.05</v>
      </c>
      <c r="L12" s="18">
        <v>26.07</v>
      </c>
      <c r="M12" s="18">
        <v>-0.02</v>
      </c>
      <c r="N12" s="15">
        <v>2.125488E-2</v>
      </c>
      <c r="O12" s="15">
        <v>5.5722649999999999E-2</v>
      </c>
      <c r="P12" s="15">
        <v>-3.4467770000000002E-2</v>
      </c>
      <c r="Q12" s="15">
        <v>8.7426799999999992E-3</v>
      </c>
      <c r="R12" s="15">
        <v>-1.66748E-3</v>
      </c>
      <c r="S12" s="15">
        <v>1.041016E-2</v>
      </c>
      <c r="T12" s="14"/>
      <c r="U12" s="15">
        <f t="shared" si="5"/>
        <v>-3.4624999999999795E-3</v>
      </c>
      <c r="V12" s="15">
        <f t="shared" si="6"/>
        <v>3.9749499999999771E-3</v>
      </c>
      <c r="W12" s="15"/>
      <c r="X12" s="15"/>
      <c r="Y12" s="16">
        <f t="shared" si="0"/>
        <v>2.125488E-2</v>
      </c>
      <c r="Z12" s="16">
        <f t="shared" si="1"/>
        <v>8.7426799999999992E-3</v>
      </c>
      <c r="AA12" s="16">
        <f t="shared" si="2"/>
        <v>5.5722649999999999E-2</v>
      </c>
      <c r="AB12" s="16">
        <f t="shared" si="3"/>
        <v>-1.66748E-3</v>
      </c>
      <c r="AC12" s="17">
        <f t="shared" si="7"/>
        <v>1.316927511710301</v>
      </c>
      <c r="AD12" s="17">
        <f t="shared" si="8"/>
        <v>3.1957585949967187</v>
      </c>
      <c r="AE12" s="17">
        <f t="shared" si="9"/>
        <v>22.358628713443714</v>
      </c>
      <c r="AF12" s="17">
        <f t="shared" si="4"/>
        <v>21.975853713443716</v>
      </c>
    </row>
    <row r="13" spans="1:32" x14ac:dyDescent="0.25">
      <c r="A13" s="14">
        <v>11</v>
      </c>
      <c r="B13" s="14" t="s">
        <v>61</v>
      </c>
      <c r="C13" s="14">
        <v>225</v>
      </c>
      <c r="D13" s="14">
        <v>2</v>
      </c>
      <c r="E13" s="15">
        <v>-0.37402503999999998</v>
      </c>
      <c r="F13" s="15">
        <v>-0.38224996</v>
      </c>
      <c r="G13" s="15">
        <v>8.2249000000000003E-3</v>
      </c>
      <c r="H13" s="15">
        <v>0.72587511999999998</v>
      </c>
      <c r="I13" s="15">
        <v>0.72597515999999995</v>
      </c>
      <c r="J13" s="15">
        <v>-1.0001999999999999E-4</v>
      </c>
      <c r="K13" s="18">
        <v>26.13</v>
      </c>
      <c r="L13" s="18">
        <v>26.13</v>
      </c>
      <c r="M13" s="18">
        <v>0</v>
      </c>
      <c r="N13" s="15">
        <v>2.5323490000000001E-2</v>
      </c>
      <c r="O13" s="15">
        <v>5.165405E-2</v>
      </c>
      <c r="P13" s="15">
        <v>-2.6330570000000001E-2</v>
      </c>
      <c r="Q13" s="15">
        <v>1.5231929999999999E-2</v>
      </c>
      <c r="R13" s="15">
        <v>-8.1896999999999994E-3</v>
      </c>
      <c r="S13" s="15">
        <v>2.3421629999999999E-2</v>
      </c>
      <c r="T13" s="14"/>
      <c r="U13" s="15">
        <f t="shared" si="5"/>
        <v>-4.1124600000000122E-3</v>
      </c>
      <c r="V13" s="15">
        <f t="shared" si="6"/>
        <v>-5.0019999999983966E-5</v>
      </c>
      <c r="W13" s="15"/>
      <c r="X13" s="15"/>
      <c r="Y13" s="16">
        <f t="shared" si="0"/>
        <v>2.5323490000000001E-2</v>
      </c>
      <c r="Z13" s="16">
        <f t="shared" si="1"/>
        <v>1.5231929999999999E-2</v>
      </c>
      <c r="AA13" s="16">
        <f t="shared" si="2"/>
        <v>5.165405E-2</v>
      </c>
      <c r="AB13" s="16">
        <f t="shared" si="3"/>
        <v>-8.1896999999999994E-3</v>
      </c>
      <c r="AC13" s="17">
        <f t="shared" si="7"/>
        <v>1.6934224590322127</v>
      </c>
      <c r="AD13" s="17">
        <f t="shared" si="8"/>
        <v>2.9978942865731297</v>
      </c>
      <c r="AE13" s="17">
        <f t="shared" si="9"/>
        <v>31.02666064329139</v>
      </c>
      <c r="AF13" s="17">
        <f t="shared" si="4"/>
        <v>30.64441068329139</v>
      </c>
    </row>
    <row r="14" spans="1:32" x14ac:dyDescent="0.25">
      <c r="A14" s="14">
        <v>12</v>
      </c>
      <c r="B14" s="14" t="s">
        <v>61</v>
      </c>
      <c r="C14" s="14">
        <v>247.5</v>
      </c>
      <c r="D14" s="14">
        <v>1</v>
      </c>
      <c r="E14" s="15">
        <v>-0.38144995999999998</v>
      </c>
      <c r="F14" s="15">
        <v>-0.37619999999999998</v>
      </c>
      <c r="G14" s="15">
        <v>-5.2499499999999998E-3</v>
      </c>
      <c r="H14" s="15">
        <v>0.73800030000000005</v>
      </c>
      <c r="I14" s="15">
        <v>0.7399502</v>
      </c>
      <c r="J14" s="15">
        <v>-1.94991E-3</v>
      </c>
      <c r="K14" s="18">
        <v>26.1</v>
      </c>
      <c r="L14" s="18">
        <v>26.04</v>
      </c>
      <c r="M14" s="18">
        <v>0.05</v>
      </c>
      <c r="N14" s="15">
        <v>3.073242E-2</v>
      </c>
      <c r="O14" s="15">
        <v>4.8066409999999997E-2</v>
      </c>
      <c r="P14" s="15">
        <v>-1.7333990000000001E-2</v>
      </c>
      <c r="Q14" s="15">
        <v>1.9350590000000001E-2</v>
      </c>
      <c r="R14" s="15">
        <v>-1.272949E-2</v>
      </c>
      <c r="S14" s="15">
        <v>3.2080079999999997E-2</v>
      </c>
      <c r="T14" s="14"/>
      <c r="U14" s="15">
        <f t="shared" si="5"/>
        <v>2.624979999999999E-3</v>
      </c>
      <c r="V14" s="15">
        <f t="shared" si="6"/>
        <v>-9.7494999999997445E-4</v>
      </c>
      <c r="W14" s="15"/>
      <c r="X14" s="15"/>
      <c r="Y14" s="16">
        <f t="shared" si="0"/>
        <v>3.073242E-2</v>
      </c>
      <c r="Z14" s="16">
        <f t="shared" si="1"/>
        <v>1.9350590000000001E-2</v>
      </c>
      <c r="AA14" s="16">
        <f t="shared" si="2"/>
        <v>4.8066409999999997E-2</v>
      </c>
      <c r="AB14" s="16">
        <f t="shared" si="3"/>
        <v>-1.272949E-2</v>
      </c>
      <c r="AC14" s="17">
        <f t="shared" si="7"/>
        <v>2.0812704619324403</v>
      </c>
      <c r="AD14" s="17">
        <f t="shared" si="8"/>
        <v>2.8501180660252792</v>
      </c>
      <c r="AE14" s="17">
        <f t="shared" si="9"/>
        <v>32.196465253184137</v>
      </c>
      <c r="AF14" s="17">
        <f t="shared" si="4"/>
        <v>31.820265253184136</v>
      </c>
    </row>
    <row r="15" spans="1:32" x14ac:dyDescent="0.25">
      <c r="A15" s="14">
        <v>13</v>
      </c>
      <c r="B15" s="14" t="s">
        <v>61</v>
      </c>
      <c r="C15" s="14">
        <v>270</v>
      </c>
      <c r="D15" s="14">
        <v>3</v>
      </c>
      <c r="E15" s="15">
        <v>-0.39450000000000002</v>
      </c>
      <c r="F15" s="15">
        <v>-0.38858332000000001</v>
      </c>
      <c r="G15" s="15">
        <v>-5.9166599999999998E-3</v>
      </c>
      <c r="H15" s="15">
        <v>0.66736669999999998</v>
      </c>
      <c r="I15" s="15">
        <v>0.67320016000000005</v>
      </c>
      <c r="J15" s="15">
        <v>-5.8334499999999996E-3</v>
      </c>
      <c r="K15" s="18">
        <v>26.15</v>
      </c>
      <c r="L15" s="18">
        <v>26.18</v>
      </c>
      <c r="M15" s="18">
        <v>-0.03</v>
      </c>
      <c r="N15" s="15">
        <v>3.6261399999999999E-2</v>
      </c>
      <c r="O15" s="15">
        <v>4.1838380000000001E-2</v>
      </c>
      <c r="P15" s="15">
        <v>-5.5769799999999996E-3</v>
      </c>
      <c r="Q15" s="15">
        <v>2.1289059999999999E-2</v>
      </c>
      <c r="R15" s="15">
        <v>-1.4687499999999999E-2</v>
      </c>
      <c r="S15" s="15">
        <v>3.5976559999999998E-2</v>
      </c>
      <c r="T15" s="14"/>
      <c r="U15" s="15">
        <f t="shared" si="5"/>
        <v>2.9583400000000037E-3</v>
      </c>
      <c r="V15" s="15">
        <f t="shared" si="6"/>
        <v>-2.916730000000034E-3</v>
      </c>
      <c r="W15" s="15"/>
      <c r="X15" s="15"/>
      <c r="Y15" s="16">
        <f t="shared" si="0"/>
        <v>3.6261399999999999E-2</v>
      </c>
      <c r="Z15" s="16">
        <f t="shared" si="1"/>
        <v>2.1289059999999999E-2</v>
      </c>
      <c r="AA15" s="16">
        <f t="shared" si="2"/>
        <v>4.1838380000000001E-2</v>
      </c>
      <c r="AB15" s="16">
        <f t="shared" si="3"/>
        <v>-1.4687499999999999E-2</v>
      </c>
      <c r="AC15" s="17">
        <f t="shared" si="7"/>
        <v>2.4099372228925069</v>
      </c>
      <c r="AD15" s="17">
        <f t="shared" si="8"/>
        <v>2.5414167151517204</v>
      </c>
      <c r="AE15" s="17">
        <f t="shared" si="9"/>
        <v>30.417185789270633</v>
      </c>
      <c r="AF15" s="17">
        <f t="shared" si="4"/>
        <v>30.028602469270634</v>
      </c>
    </row>
    <row r="16" spans="1:32" x14ac:dyDescent="0.25">
      <c r="A16" s="14">
        <v>14</v>
      </c>
      <c r="B16" s="14" t="s">
        <v>61</v>
      </c>
      <c r="C16" s="14">
        <v>292.5</v>
      </c>
      <c r="D16" s="14">
        <v>4</v>
      </c>
      <c r="E16" s="15">
        <v>-0.39357491999999999</v>
      </c>
      <c r="F16" s="15">
        <v>-0.38701244000000001</v>
      </c>
      <c r="G16" s="15">
        <v>-6.5624699999999999E-3</v>
      </c>
      <c r="H16" s="15">
        <v>0.68282509999999996</v>
      </c>
      <c r="I16" s="15">
        <v>0.69237508000000003</v>
      </c>
      <c r="J16" s="15">
        <v>-9.5499799999999996E-3</v>
      </c>
      <c r="K16" s="18">
        <v>26.16</v>
      </c>
      <c r="L16" s="18">
        <v>26.15</v>
      </c>
      <c r="M16" s="18">
        <v>0.01</v>
      </c>
      <c r="N16" s="15">
        <v>4.4002079999999999E-2</v>
      </c>
      <c r="O16" s="15">
        <v>3.3577269999999999E-2</v>
      </c>
      <c r="P16" s="15">
        <v>1.042481E-2</v>
      </c>
      <c r="Q16" s="15">
        <v>2.0624389999999999E-2</v>
      </c>
      <c r="R16" s="15">
        <v>-1.4011839999999999E-2</v>
      </c>
      <c r="S16" s="15">
        <v>3.4636229999999997E-2</v>
      </c>
      <c r="T16" s="14"/>
      <c r="U16" s="15">
        <f t="shared" si="5"/>
        <v>3.2812399999999908E-3</v>
      </c>
      <c r="V16" s="15">
        <f t="shared" si="6"/>
        <v>-4.7749900000000345E-3</v>
      </c>
      <c r="W16" s="15"/>
      <c r="X16" s="15"/>
      <c r="Y16" s="16">
        <f t="shared" si="0"/>
        <v>4.4002079999999999E-2</v>
      </c>
      <c r="Z16" s="16">
        <f t="shared" si="1"/>
        <v>2.0624389999999999E-2</v>
      </c>
      <c r="AA16" s="16">
        <f t="shared" si="2"/>
        <v>3.3577269999999999E-2</v>
      </c>
      <c r="AB16" s="16">
        <f t="shared" si="3"/>
        <v>-1.4011839999999999E-2</v>
      </c>
      <c r="AC16" s="17">
        <f t="shared" si="7"/>
        <v>2.7854293696322094</v>
      </c>
      <c r="AD16" s="17">
        <f t="shared" si="8"/>
        <v>2.0850856413275034</v>
      </c>
      <c r="AE16" s="17">
        <f t="shared" si="9"/>
        <v>25.113142800960226</v>
      </c>
      <c r="AF16" s="17">
        <f t="shared" si="4"/>
        <v>24.726130360960227</v>
      </c>
    </row>
    <row r="17" spans="1:32" x14ac:dyDescent="0.25">
      <c r="A17" s="14">
        <v>15</v>
      </c>
      <c r="B17" s="14" t="s">
        <v>61</v>
      </c>
      <c r="C17" s="14">
        <v>315</v>
      </c>
      <c r="D17" s="14">
        <v>6</v>
      </c>
      <c r="E17" s="15">
        <v>-0.39031670000000002</v>
      </c>
      <c r="F17" s="15">
        <v>-0.3864417</v>
      </c>
      <c r="G17" s="15">
        <v>-3.87499E-3</v>
      </c>
      <c r="H17" s="15">
        <v>0.63840836000000001</v>
      </c>
      <c r="I17" s="15">
        <v>0.63815823999999999</v>
      </c>
      <c r="J17" s="15">
        <v>2.5010000000000001E-4</v>
      </c>
      <c r="K17" s="18">
        <v>26.21</v>
      </c>
      <c r="L17" s="18">
        <v>26.2</v>
      </c>
      <c r="M17" s="18">
        <v>0.01</v>
      </c>
      <c r="N17" s="15">
        <v>4.9335940000000002E-2</v>
      </c>
      <c r="O17" s="15">
        <v>2.6831460000000001E-2</v>
      </c>
      <c r="P17" s="15">
        <v>2.250448E-2</v>
      </c>
      <c r="Q17" s="15">
        <v>1.712443E-2</v>
      </c>
      <c r="R17" s="15">
        <v>-1.0251059999999999E-2</v>
      </c>
      <c r="S17" s="15">
        <v>2.7375489999999999E-2</v>
      </c>
      <c r="T17" s="14"/>
      <c r="U17" s="15">
        <f t="shared" si="5"/>
        <v>1.9375000000000087E-3</v>
      </c>
      <c r="V17" s="15">
        <f t="shared" si="6"/>
        <v>1.2506000000001016E-4</v>
      </c>
      <c r="W17" s="15"/>
      <c r="X17" s="15"/>
      <c r="Y17" s="16">
        <f t="shared" si="0"/>
        <v>4.9335940000000002E-2</v>
      </c>
      <c r="Z17" s="16">
        <f t="shared" si="1"/>
        <v>1.712443E-2</v>
      </c>
      <c r="AA17" s="16">
        <f t="shared" si="2"/>
        <v>2.6831460000000001E-2</v>
      </c>
      <c r="AB17" s="16">
        <f t="shared" si="3"/>
        <v>-1.0251059999999999E-2</v>
      </c>
      <c r="AC17" s="17">
        <f t="shared" si="7"/>
        <v>2.9935408368126653</v>
      </c>
      <c r="AD17" s="17">
        <f t="shared" si="8"/>
        <v>1.6459337928237925</v>
      </c>
      <c r="AE17" s="17">
        <f t="shared" si="9"/>
        <v>19.141810347732235</v>
      </c>
      <c r="AF17" s="17">
        <f t="shared" si="4"/>
        <v>18.755368647732237</v>
      </c>
    </row>
    <row r="18" spans="1:32" x14ac:dyDescent="0.25">
      <c r="A18" s="14">
        <v>16</v>
      </c>
      <c r="B18" s="14" t="s">
        <v>61</v>
      </c>
      <c r="C18" s="14">
        <v>337.5</v>
      </c>
      <c r="D18" s="14">
        <v>3</v>
      </c>
      <c r="E18" s="15">
        <v>-0.39590004000000001</v>
      </c>
      <c r="F18" s="15">
        <v>-0.39113320000000001</v>
      </c>
      <c r="G18" s="15">
        <v>-4.7668199999999997E-3</v>
      </c>
      <c r="H18" s="15">
        <v>0.63254999999999995</v>
      </c>
      <c r="I18" s="15">
        <v>0.63243340000000003</v>
      </c>
      <c r="J18" s="15">
        <v>1.1658999999999999E-4</v>
      </c>
      <c r="K18" s="18">
        <v>26.27</v>
      </c>
      <c r="L18" s="18">
        <v>26.27</v>
      </c>
      <c r="M18" s="18">
        <v>0</v>
      </c>
      <c r="N18" s="15">
        <v>5.4104819999999998E-2</v>
      </c>
      <c r="O18" s="15">
        <v>2.253581E-2</v>
      </c>
      <c r="P18" s="15">
        <v>3.1569010000000002E-2</v>
      </c>
      <c r="Q18" s="15">
        <v>1.1290690000000001E-2</v>
      </c>
      <c r="R18" s="15">
        <v>-5.0146499999999998E-3</v>
      </c>
      <c r="S18" s="15">
        <v>1.6305340000000001E-2</v>
      </c>
      <c r="T18" s="14"/>
      <c r="U18" s="15">
        <f t="shared" si="5"/>
        <v>2.3834199999999972E-3</v>
      </c>
      <c r="V18" s="15">
        <f t="shared" si="6"/>
        <v>5.829999999995561E-5</v>
      </c>
      <c r="W18" s="15"/>
      <c r="X18" s="15"/>
      <c r="Y18" s="16">
        <f t="shared" si="0"/>
        <v>5.4104819999999998E-2</v>
      </c>
      <c r="Z18" s="16">
        <f t="shared" si="1"/>
        <v>1.1290690000000001E-2</v>
      </c>
      <c r="AA18" s="16">
        <f t="shared" si="2"/>
        <v>2.253581E-2</v>
      </c>
      <c r="AB18" s="16">
        <f t="shared" si="3"/>
        <v>-5.0146499999999998E-3</v>
      </c>
      <c r="AC18" s="17">
        <f t="shared" si="7"/>
        <v>3.1683721281858275</v>
      </c>
      <c r="AD18" s="17">
        <f t="shared" si="8"/>
        <v>1.3229050481069253</v>
      </c>
      <c r="AE18" s="17">
        <f t="shared" si="9"/>
        <v>11.787421506232814</v>
      </c>
      <c r="AF18" s="17">
        <f t="shared" si="4"/>
        <v>11.396288306232814</v>
      </c>
    </row>
    <row r="19" spans="1:32" x14ac:dyDescent="0.25">
      <c r="A19" s="19">
        <v>17</v>
      </c>
      <c r="B19" s="19" t="s">
        <v>62</v>
      </c>
      <c r="C19" s="19">
        <v>0</v>
      </c>
      <c r="D19" s="19">
        <v>7</v>
      </c>
      <c r="E19" s="20">
        <v>-0.38701432000000002</v>
      </c>
      <c r="F19" s="20">
        <v>-0.38765008000000001</v>
      </c>
      <c r="G19" s="20">
        <v>6.3573999999999998E-4</v>
      </c>
      <c r="H19" s="20">
        <v>0.66539990000000004</v>
      </c>
      <c r="I19" s="20">
        <v>0.66686420000000002</v>
      </c>
      <c r="J19" s="20">
        <v>-1.4643099999999999E-3</v>
      </c>
      <c r="K19" s="21">
        <v>26.14</v>
      </c>
      <c r="L19" s="21">
        <v>26.16</v>
      </c>
      <c r="M19" s="21">
        <v>-0.02</v>
      </c>
      <c r="N19" s="20">
        <v>5.5906110000000002E-2</v>
      </c>
      <c r="O19" s="20">
        <v>2.192243E-2</v>
      </c>
      <c r="P19" s="20">
        <v>3.3983680000000002E-2</v>
      </c>
      <c r="Q19" s="20">
        <v>4.8782799999999996E-3</v>
      </c>
      <c r="R19" s="20">
        <v>1.2622099999999999E-3</v>
      </c>
      <c r="S19" s="20">
        <v>3.6160699999999999E-3</v>
      </c>
      <c r="T19" s="19"/>
      <c r="U19" s="20">
        <f t="shared" si="5"/>
        <v>-3.1787999999999261E-4</v>
      </c>
      <c r="V19" s="20">
        <f t="shared" si="6"/>
        <v>-7.3214999999998698E-4</v>
      </c>
      <c r="W19" s="20"/>
      <c r="X19" s="20"/>
      <c r="Y19" s="22">
        <f t="shared" si="0"/>
        <v>5.5906110000000002E-2</v>
      </c>
      <c r="Z19" s="22">
        <f t="shared" si="1"/>
        <v>4.8782799999999996E-3</v>
      </c>
      <c r="AA19" s="22">
        <f t="shared" si="2"/>
        <v>2.192243E-2</v>
      </c>
      <c r="AB19" s="22">
        <f t="shared" si="3"/>
        <v>1.2622099999999999E-3</v>
      </c>
      <c r="AC19" s="23">
        <f t="shared" ref="AC19:AC34" si="10">IF(Y19="","",DEGREES(ASIN(SQRT(Y19^2+Z19^2))))</f>
        <v>3.2170456842716848</v>
      </c>
      <c r="AD19" s="23">
        <f t="shared" ref="AD19:AD34" si="11">IF(AA19="","",DEGREES(ASIN(SQRT(AA19^2+AB19^2))))</f>
        <v>1.2582440599542954</v>
      </c>
      <c r="AE19" s="23">
        <f t="shared" ref="AE19:AE34" si="12">IF(Y19="","",MOD(DEGREES(ATAN2(Y19,Z19)),360))</f>
        <v>4.9869091572682009</v>
      </c>
      <c r="AF19" s="23">
        <f t="shared" si="4"/>
        <v>4.5992590772682007</v>
      </c>
    </row>
    <row r="20" spans="1:32" x14ac:dyDescent="0.25">
      <c r="A20" s="14">
        <v>18</v>
      </c>
      <c r="B20" s="14" t="s">
        <v>62</v>
      </c>
      <c r="C20" s="14">
        <v>22.5</v>
      </c>
      <c r="D20" s="14">
        <v>1</v>
      </c>
      <c r="E20" s="15">
        <v>-0.4088002</v>
      </c>
      <c r="F20" s="15">
        <v>-0.38924992000000003</v>
      </c>
      <c r="G20" s="15">
        <v>-1.9550290000000001E-2</v>
      </c>
      <c r="H20" s="15">
        <v>0.58050000000000002</v>
      </c>
      <c r="I20" s="15">
        <v>0.57060003999999998</v>
      </c>
      <c r="J20" s="15">
        <v>9.8999699999999993E-3</v>
      </c>
      <c r="K20" s="18">
        <v>26.3</v>
      </c>
      <c r="L20" s="18">
        <v>26.3</v>
      </c>
      <c r="M20" s="18">
        <v>0</v>
      </c>
      <c r="N20" s="15">
        <v>5.5483400000000002E-2</v>
      </c>
      <c r="O20" s="15">
        <v>2.1728520000000001E-2</v>
      </c>
      <c r="P20" s="15">
        <v>3.3754880000000001E-2</v>
      </c>
      <c r="Q20" s="15">
        <v>-1.5991200000000001E-3</v>
      </c>
      <c r="R20" s="15">
        <v>8.7206999999999996E-3</v>
      </c>
      <c r="S20" s="15">
        <v>-1.031982E-2</v>
      </c>
      <c r="T20" s="14"/>
      <c r="U20" s="15">
        <f t="shared" si="5"/>
        <v>9.7751399999999877E-3</v>
      </c>
      <c r="V20" s="15">
        <f t="shared" si="6"/>
        <v>4.9499800000000205E-3</v>
      </c>
      <c r="W20" s="15"/>
      <c r="X20" s="15"/>
      <c r="Y20" s="16">
        <f t="shared" si="0"/>
        <v>5.5483400000000002E-2</v>
      </c>
      <c r="Z20" s="16">
        <f t="shared" si="1"/>
        <v>-1.5991200000000001E-3</v>
      </c>
      <c r="AA20" s="16">
        <f t="shared" si="2"/>
        <v>2.1728520000000001E-2</v>
      </c>
      <c r="AB20" s="16">
        <f t="shared" si="3"/>
        <v>8.7206999999999996E-3</v>
      </c>
      <c r="AC20" s="17">
        <f t="shared" si="10"/>
        <v>3.181920062760299</v>
      </c>
      <c r="AD20" s="17">
        <f t="shared" si="11"/>
        <v>1.341601673332335</v>
      </c>
      <c r="AE20" s="17">
        <f t="shared" si="12"/>
        <v>358.34910135838311</v>
      </c>
      <c r="AF20" s="17">
        <f t="shared" si="4"/>
        <v>357.95985143838311</v>
      </c>
    </row>
    <row r="21" spans="1:32" x14ac:dyDescent="0.25">
      <c r="A21" s="14">
        <v>19</v>
      </c>
      <c r="B21" s="14" t="s">
        <v>62</v>
      </c>
      <c r="C21" s="14">
        <v>45</v>
      </c>
      <c r="D21" s="14">
        <v>6</v>
      </c>
      <c r="E21" s="15">
        <v>-0.39142500000000002</v>
      </c>
      <c r="F21" s="15">
        <v>-0.38968340000000001</v>
      </c>
      <c r="G21" s="15">
        <v>-1.7416199999999999E-3</v>
      </c>
      <c r="H21" s="15">
        <v>0.66776676000000001</v>
      </c>
      <c r="I21" s="15">
        <v>0.66007492000000001</v>
      </c>
      <c r="J21" s="15">
        <v>7.6918000000000004E-3</v>
      </c>
      <c r="K21" s="18">
        <v>26.2</v>
      </c>
      <c r="L21" s="18">
        <v>26.19</v>
      </c>
      <c r="M21" s="18">
        <v>0.01</v>
      </c>
      <c r="N21" s="15">
        <v>5.2036539999999999E-2</v>
      </c>
      <c r="O21" s="15">
        <v>2.4631750000000001E-2</v>
      </c>
      <c r="P21" s="15">
        <v>2.7404789999999998E-2</v>
      </c>
      <c r="Q21" s="15">
        <v>-8.4301800000000007E-3</v>
      </c>
      <c r="R21" s="15">
        <v>1.4490970000000001E-2</v>
      </c>
      <c r="S21" s="15">
        <v>-2.292114E-2</v>
      </c>
      <c r="T21" s="14"/>
      <c r="U21" s="15">
        <f t="shared" si="5"/>
        <v>8.708000000000049E-4</v>
      </c>
      <c r="V21" s="15">
        <f t="shared" si="6"/>
        <v>3.8459200000000027E-3</v>
      </c>
      <c r="W21" s="15"/>
      <c r="X21" s="15"/>
      <c r="Y21" s="16">
        <f t="shared" si="0"/>
        <v>5.2036539999999999E-2</v>
      </c>
      <c r="Z21" s="16">
        <f t="shared" si="1"/>
        <v>-8.4301800000000007E-3</v>
      </c>
      <c r="AA21" s="16">
        <f t="shared" si="2"/>
        <v>2.4631750000000001E-2</v>
      </c>
      <c r="AB21" s="16">
        <f t="shared" si="3"/>
        <v>1.4490970000000001E-2</v>
      </c>
      <c r="AC21" s="17">
        <f t="shared" si="10"/>
        <v>3.0217466515829474</v>
      </c>
      <c r="AD21" s="17">
        <f t="shared" si="11"/>
        <v>1.6376310086560115</v>
      </c>
      <c r="AE21" s="17">
        <f t="shared" si="12"/>
        <v>350.79774731755964</v>
      </c>
      <c r="AF21" s="17">
        <f t="shared" si="4"/>
        <v>350.40806391755962</v>
      </c>
    </row>
    <row r="22" spans="1:32" x14ac:dyDescent="0.25">
      <c r="A22" s="14">
        <v>20</v>
      </c>
      <c r="B22" s="14" t="s">
        <v>62</v>
      </c>
      <c r="C22" s="14">
        <v>67.5</v>
      </c>
      <c r="D22" s="14">
        <v>13</v>
      </c>
      <c r="E22" s="15">
        <v>-0.39697695999999999</v>
      </c>
      <c r="F22" s="15">
        <v>-0.39389229999999997</v>
      </c>
      <c r="G22" s="15">
        <v>-3.0846599999999999E-3</v>
      </c>
      <c r="H22" s="15">
        <v>0.67044610000000004</v>
      </c>
      <c r="I22" s="15">
        <v>0.66285384000000003</v>
      </c>
      <c r="J22" s="15">
        <v>7.59226E-3</v>
      </c>
      <c r="K22" s="18">
        <v>26.19</v>
      </c>
      <c r="L22" s="18">
        <v>26.19</v>
      </c>
      <c r="M22" s="18">
        <v>0</v>
      </c>
      <c r="N22" s="15">
        <v>4.7256800000000002E-2</v>
      </c>
      <c r="O22" s="15">
        <v>3.0755709999999999E-2</v>
      </c>
      <c r="P22" s="15">
        <v>1.650109E-2</v>
      </c>
      <c r="Q22" s="15">
        <v>-1.2750340000000001E-2</v>
      </c>
      <c r="R22" s="15">
        <v>1.9223819999999999E-2</v>
      </c>
      <c r="S22" s="15">
        <v>-3.1974160000000001E-2</v>
      </c>
      <c r="T22" s="14"/>
      <c r="U22" s="15">
        <f t="shared" si="5"/>
        <v>1.5423300000000084E-3</v>
      </c>
      <c r="V22" s="15">
        <f t="shared" si="6"/>
        <v>3.7961300000000087E-3</v>
      </c>
      <c r="W22" s="15"/>
      <c r="X22" s="15"/>
      <c r="Y22" s="16">
        <f t="shared" si="0"/>
        <v>4.7256800000000002E-2</v>
      </c>
      <c r="Z22" s="16">
        <f t="shared" si="1"/>
        <v>-1.2750340000000001E-2</v>
      </c>
      <c r="AA22" s="16">
        <f t="shared" si="2"/>
        <v>3.0755709999999999E-2</v>
      </c>
      <c r="AB22" s="16">
        <f t="shared" si="3"/>
        <v>1.9223819999999999E-2</v>
      </c>
      <c r="AC22" s="17">
        <f t="shared" si="10"/>
        <v>2.805558512147349</v>
      </c>
      <c r="AD22" s="17">
        <f t="shared" si="11"/>
        <v>2.0785390899773382</v>
      </c>
      <c r="AE22" s="17">
        <f t="shared" si="12"/>
        <v>344.90059132756733</v>
      </c>
      <c r="AF22" s="17">
        <f t="shared" si="4"/>
        <v>344.50669902756732</v>
      </c>
    </row>
    <row r="23" spans="1:32" x14ac:dyDescent="0.25">
      <c r="A23" s="14">
        <v>21</v>
      </c>
      <c r="B23" s="14" t="s">
        <v>62</v>
      </c>
      <c r="C23" s="14">
        <v>90</v>
      </c>
      <c r="D23" s="14">
        <v>2</v>
      </c>
      <c r="E23" s="15">
        <v>-0.3880999</v>
      </c>
      <c r="F23" s="15">
        <v>-0.38784999999999997</v>
      </c>
      <c r="G23" s="15">
        <v>-2.4989000000000001E-4</v>
      </c>
      <c r="H23" s="15">
        <v>0.63952507999999997</v>
      </c>
      <c r="I23" s="15">
        <v>0.63169984000000001</v>
      </c>
      <c r="J23" s="15">
        <v>7.8251999999999992E-3</v>
      </c>
      <c r="K23" s="18">
        <v>26.14</v>
      </c>
      <c r="L23" s="18">
        <v>26.15</v>
      </c>
      <c r="M23" s="18">
        <v>-0.01</v>
      </c>
      <c r="N23" s="15">
        <v>3.9215090000000001E-2</v>
      </c>
      <c r="O23" s="15">
        <v>3.8715819999999998E-2</v>
      </c>
      <c r="P23" s="15">
        <v>4.9927000000000001E-4</v>
      </c>
      <c r="Q23" s="15">
        <v>-1.427612E-2</v>
      </c>
      <c r="R23" s="15">
        <v>2.1590580000000002E-2</v>
      </c>
      <c r="S23" s="15">
        <v>-3.5866700000000001E-2</v>
      </c>
      <c r="T23" s="14"/>
      <c r="U23" s="15">
        <f t="shared" si="5"/>
        <v>1.2495000000001255E-4</v>
      </c>
      <c r="V23" s="15">
        <f t="shared" si="6"/>
        <v>3.9126199999999778E-3</v>
      </c>
      <c r="W23" s="15"/>
      <c r="X23" s="15"/>
      <c r="Y23" s="16">
        <f t="shared" si="0"/>
        <v>3.9215090000000001E-2</v>
      </c>
      <c r="Z23" s="16">
        <f t="shared" si="1"/>
        <v>-1.427612E-2</v>
      </c>
      <c r="AA23" s="16">
        <f t="shared" si="2"/>
        <v>3.8715819999999998E-2</v>
      </c>
      <c r="AB23" s="16">
        <f t="shared" si="3"/>
        <v>2.1590580000000002E-2</v>
      </c>
      <c r="AC23" s="17">
        <f t="shared" si="10"/>
        <v>2.3918108704448575</v>
      </c>
      <c r="AD23" s="17">
        <f t="shared" si="11"/>
        <v>2.5407021082389667</v>
      </c>
      <c r="AE23" s="17">
        <f t="shared" si="12"/>
        <v>339.99613672549822</v>
      </c>
      <c r="AF23" s="17">
        <f t="shared" si="4"/>
        <v>339.6082867254982</v>
      </c>
    </row>
    <row r="24" spans="1:32" x14ac:dyDescent="0.25">
      <c r="A24" s="14">
        <v>22</v>
      </c>
      <c r="B24" s="14" t="s">
        <v>62</v>
      </c>
      <c r="C24" s="14">
        <v>112.5</v>
      </c>
      <c r="D24" s="14">
        <v>6</v>
      </c>
      <c r="E24" s="15">
        <v>-0.3856</v>
      </c>
      <c r="F24" s="15">
        <v>-0.38788331999999998</v>
      </c>
      <c r="G24" s="15">
        <v>2.2833300000000001E-3</v>
      </c>
      <c r="H24" s="15">
        <v>0.65702490000000002</v>
      </c>
      <c r="I24" s="15">
        <v>0.65475819999999996</v>
      </c>
      <c r="J24" s="15">
        <v>2.2667099999999999E-3</v>
      </c>
      <c r="K24" s="18">
        <v>26.17</v>
      </c>
      <c r="L24" s="18">
        <v>26.19</v>
      </c>
      <c r="M24" s="18">
        <v>-0.03</v>
      </c>
      <c r="N24" s="15">
        <v>3.2771809999999998E-2</v>
      </c>
      <c r="O24" s="15">
        <v>4.3885899999999999E-2</v>
      </c>
      <c r="P24" s="15">
        <v>-1.111409E-2</v>
      </c>
      <c r="Q24" s="15">
        <v>-1.382853E-2</v>
      </c>
      <c r="R24" s="15">
        <v>2.07373E-2</v>
      </c>
      <c r="S24" s="15">
        <v>-3.456584E-2</v>
      </c>
      <c r="T24" s="14"/>
      <c r="U24" s="15">
        <f t="shared" si="5"/>
        <v>-1.1416599999999888E-3</v>
      </c>
      <c r="V24" s="15">
        <f t="shared" si="6"/>
        <v>1.1333500000000329E-3</v>
      </c>
      <c r="W24" s="15"/>
      <c r="X24" s="15"/>
      <c r="Y24" s="16">
        <f t="shared" si="0"/>
        <v>3.2771809999999998E-2</v>
      </c>
      <c r="Z24" s="16">
        <f t="shared" si="1"/>
        <v>-1.382853E-2</v>
      </c>
      <c r="AA24" s="16">
        <f t="shared" si="2"/>
        <v>4.3885899999999999E-2</v>
      </c>
      <c r="AB24" s="16">
        <f t="shared" si="3"/>
        <v>2.07373E-2</v>
      </c>
      <c r="AC24" s="17">
        <f t="shared" si="10"/>
        <v>2.0384367469954201</v>
      </c>
      <c r="AD24" s="17">
        <f t="shared" si="11"/>
        <v>2.7821572828773711</v>
      </c>
      <c r="AE24" s="17">
        <f t="shared" si="12"/>
        <v>337.12199721735249</v>
      </c>
      <c r="AF24" s="17">
        <f t="shared" si="4"/>
        <v>336.73411389735247</v>
      </c>
    </row>
    <row r="25" spans="1:32" x14ac:dyDescent="0.25">
      <c r="A25" s="14">
        <v>23</v>
      </c>
      <c r="B25" s="14" t="s">
        <v>62</v>
      </c>
      <c r="C25" s="14">
        <v>135</v>
      </c>
      <c r="D25" s="14">
        <v>5</v>
      </c>
      <c r="E25" s="15">
        <v>-0.38789003999999999</v>
      </c>
      <c r="F25" s="15">
        <v>-0.38540999999999997</v>
      </c>
      <c r="G25" s="15">
        <v>-2.4800299999999998E-3</v>
      </c>
      <c r="H25" s="15">
        <v>0.64905007999999997</v>
      </c>
      <c r="I25" s="15">
        <v>0.64257989999999998</v>
      </c>
      <c r="J25" s="15">
        <v>6.4701400000000001E-3</v>
      </c>
      <c r="K25" s="18">
        <v>26.2</v>
      </c>
      <c r="L25" s="18">
        <v>26.18</v>
      </c>
      <c r="M25" s="18">
        <v>0.01</v>
      </c>
      <c r="N25" s="15">
        <v>2.7173340000000001E-2</v>
      </c>
      <c r="O25" s="15">
        <v>5.0194830000000003E-2</v>
      </c>
      <c r="P25" s="15">
        <v>-2.3021489999999999E-2</v>
      </c>
      <c r="Q25" s="15">
        <v>-1.062744E-2</v>
      </c>
      <c r="R25" s="15">
        <v>1.7080080000000001E-2</v>
      </c>
      <c r="S25" s="15">
        <v>-2.7707519999999999E-2</v>
      </c>
      <c r="T25" s="14"/>
      <c r="U25" s="15">
        <f t="shared" si="5"/>
        <v>1.2400200000000083E-3</v>
      </c>
      <c r="V25" s="15">
        <f t="shared" si="6"/>
        <v>3.235089999999996E-3</v>
      </c>
      <c r="W25" s="15"/>
      <c r="X25" s="15"/>
      <c r="Y25" s="16">
        <f t="shared" si="0"/>
        <v>2.7173340000000001E-2</v>
      </c>
      <c r="Z25" s="16">
        <f t="shared" si="1"/>
        <v>-1.062744E-2</v>
      </c>
      <c r="AA25" s="16">
        <f t="shared" si="2"/>
        <v>5.0194830000000003E-2</v>
      </c>
      <c r="AB25" s="16">
        <f t="shared" si="3"/>
        <v>1.7080080000000001E-2</v>
      </c>
      <c r="AC25" s="17">
        <f t="shared" si="10"/>
        <v>1.6719911664523344</v>
      </c>
      <c r="AD25" s="17">
        <f t="shared" si="11"/>
        <v>3.0393174870598281</v>
      </c>
      <c r="AE25" s="17">
        <f t="shared" si="12"/>
        <v>338.63962942567389</v>
      </c>
      <c r="AF25" s="17">
        <f t="shared" si="4"/>
        <v>338.25421942567391</v>
      </c>
    </row>
    <row r="26" spans="1:32" x14ac:dyDescent="0.25">
      <c r="A26" s="14">
        <v>24</v>
      </c>
      <c r="B26" s="14" t="s">
        <v>62</v>
      </c>
      <c r="C26" s="14">
        <v>157.5</v>
      </c>
      <c r="D26" s="14">
        <v>8</v>
      </c>
      <c r="E26" s="15">
        <v>-0.38391876000000003</v>
      </c>
      <c r="F26" s="15">
        <v>-0.39149376000000002</v>
      </c>
      <c r="G26" s="15">
        <v>7.5749800000000003E-3</v>
      </c>
      <c r="H26" s="15">
        <v>0.67381256</v>
      </c>
      <c r="I26" s="15">
        <v>0.67264990000000002</v>
      </c>
      <c r="J26" s="15">
        <v>1.1626500000000001E-3</v>
      </c>
      <c r="K26" s="18">
        <v>26.15</v>
      </c>
      <c r="L26" s="18">
        <v>26.16</v>
      </c>
      <c r="M26" s="18">
        <v>-0.01</v>
      </c>
      <c r="N26" s="15">
        <v>2.2518920000000001E-2</v>
      </c>
      <c r="O26" s="15">
        <v>5.3669740000000001E-2</v>
      </c>
      <c r="P26" s="15">
        <v>-3.1150819999999999E-2</v>
      </c>
      <c r="Q26" s="15">
        <v>-4.9887100000000004E-3</v>
      </c>
      <c r="R26" s="15">
        <v>1.1812130000000001E-2</v>
      </c>
      <c r="S26" s="15">
        <v>-1.6800840000000001E-2</v>
      </c>
      <c r="T26" s="14"/>
      <c r="U26" s="15">
        <f t="shared" si="5"/>
        <v>-3.7874999999999992E-3</v>
      </c>
      <c r="V26" s="15">
        <f t="shared" si="6"/>
        <v>5.8132999999999102E-4</v>
      </c>
      <c r="W26" s="15"/>
      <c r="X26" s="15"/>
      <c r="Y26" s="16">
        <f t="shared" si="0"/>
        <v>2.2518920000000001E-2</v>
      </c>
      <c r="Z26" s="16">
        <f t="shared" si="1"/>
        <v>-4.9887100000000004E-3</v>
      </c>
      <c r="AA26" s="16">
        <f t="shared" si="2"/>
        <v>5.3669740000000001E-2</v>
      </c>
      <c r="AB26" s="16">
        <f t="shared" si="3"/>
        <v>1.1812130000000001E-2</v>
      </c>
      <c r="AC26" s="17">
        <f t="shared" si="10"/>
        <v>1.3216378471084953</v>
      </c>
      <c r="AD26" s="17">
        <f t="shared" si="11"/>
        <v>3.1502324103083179</v>
      </c>
      <c r="AE26" s="17">
        <f t="shared" si="12"/>
        <v>347.50876568246173</v>
      </c>
      <c r="AF26" s="17">
        <f t="shared" si="4"/>
        <v>347.11727192246173</v>
      </c>
    </row>
    <row r="27" spans="1:32" x14ac:dyDescent="0.25">
      <c r="A27" s="14">
        <v>25</v>
      </c>
      <c r="B27" s="14" t="s">
        <v>62</v>
      </c>
      <c r="C27" s="14">
        <v>180</v>
      </c>
      <c r="D27" s="14">
        <v>9</v>
      </c>
      <c r="E27" s="15">
        <v>-0.38643329999999998</v>
      </c>
      <c r="F27" s="15">
        <v>-0.38820559999999998</v>
      </c>
      <c r="G27" s="15">
        <v>1.77228E-3</v>
      </c>
      <c r="H27" s="15">
        <v>0.66526675999999996</v>
      </c>
      <c r="I27" s="15">
        <v>0.66887779999999997</v>
      </c>
      <c r="J27" s="15">
        <v>-3.6110299999999999E-3</v>
      </c>
      <c r="K27" s="18">
        <v>26.17</v>
      </c>
      <c r="L27" s="18">
        <v>26.17</v>
      </c>
      <c r="M27" s="18">
        <v>0</v>
      </c>
      <c r="N27" s="15">
        <v>2.015082E-2</v>
      </c>
      <c r="O27" s="15">
        <v>5.6624349999999997E-2</v>
      </c>
      <c r="P27" s="15">
        <v>-3.6473529999999997E-2</v>
      </c>
      <c r="Q27" s="15">
        <v>1.90701E-3</v>
      </c>
      <c r="R27" s="15">
        <v>5.2745200000000004E-3</v>
      </c>
      <c r="S27" s="15">
        <v>-3.3675100000000002E-3</v>
      </c>
      <c r="T27" s="14"/>
      <c r="U27" s="15">
        <f t="shared" si="5"/>
        <v>-8.8615000000000221E-4</v>
      </c>
      <c r="V27" s="15">
        <f t="shared" si="6"/>
        <v>-1.8055200000000049E-3</v>
      </c>
      <c r="W27" s="15"/>
      <c r="X27" s="15"/>
      <c r="Y27" s="16">
        <f t="shared" si="0"/>
        <v>2.015082E-2</v>
      </c>
      <c r="Z27" s="16">
        <f t="shared" si="1"/>
        <v>1.90701E-3</v>
      </c>
      <c r="AA27" s="16">
        <f t="shared" si="2"/>
        <v>5.6624349999999997E-2</v>
      </c>
      <c r="AB27" s="16">
        <f t="shared" si="3"/>
        <v>5.2745200000000004E-3</v>
      </c>
      <c r="AC27" s="17">
        <f t="shared" si="10"/>
        <v>1.1597947996868334</v>
      </c>
      <c r="AD27" s="17">
        <f t="shared" si="11"/>
        <v>3.2601399989324333</v>
      </c>
      <c r="AE27" s="17">
        <f t="shared" si="12"/>
        <v>5.4061905697644503</v>
      </c>
      <c r="AF27" s="17">
        <f t="shared" si="4"/>
        <v>5.0179849697644503</v>
      </c>
    </row>
    <row r="28" spans="1:32" x14ac:dyDescent="0.25">
      <c r="A28" s="14">
        <v>26</v>
      </c>
      <c r="B28" s="14" t="s">
        <v>62</v>
      </c>
      <c r="C28" s="14">
        <v>202.5</v>
      </c>
      <c r="D28" s="14">
        <v>2</v>
      </c>
      <c r="E28" s="15">
        <v>-0.39134992000000002</v>
      </c>
      <c r="F28" s="15">
        <v>-0.38979992000000002</v>
      </c>
      <c r="G28" s="15">
        <v>-1.55002E-3</v>
      </c>
      <c r="H28" s="15">
        <v>0.59184990000000004</v>
      </c>
      <c r="I28" s="15">
        <v>0.59362484000000004</v>
      </c>
      <c r="J28" s="15">
        <v>-1.77491E-3</v>
      </c>
      <c r="K28" s="18">
        <v>26.3</v>
      </c>
      <c r="L28" s="18">
        <v>26.3</v>
      </c>
      <c r="M28" s="18">
        <v>0</v>
      </c>
      <c r="N28" s="15">
        <v>2.1445309999999999E-2</v>
      </c>
      <c r="O28" s="15">
        <v>5.4841309999999997E-2</v>
      </c>
      <c r="P28" s="15">
        <v>-3.3396000000000002E-2</v>
      </c>
      <c r="Q28" s="15">
        <v>9.0270999999999997E-3</v>
      </c>
      <c r="R28" s="15">
        <v>-2.02271E-3</v>
      </c>
      <c r="S28" s="15">
        <v>1.10498E-2</v>
      </c>
      <c r="T28" s="14"/>
      <c r="U28" s="15">
        <f t="shared" si="5"/>
        <v>7.7499999999999791E-4</v>
      </c>
      <c r="V28" s="15">
        <f t="shared" si="6"/>
        <v>-8.8747000000000131E-4</v>
      </c>
      <c r="W28" s="15"/>
      <c r="X28" s="15"/>
      <c r="Y28" s="16">
        <f t="shared" si="0"/>
        <v>2.1445309999999999E-2</v>
      </c>
      <c r="Z28" s="16">
        <f t="shared" si="1"/>
        <v>9.0270999999999997E-3</v>
      </c>
      <c r="AA28" s="16">
        <f t="shared" si="2"/>
        <v>5.4841309999999997E-2</v>
      </c>
      <c r="AB28" s="16">
        <f t="shared" si="3"/>
        <v>-2.02271E-3</v>
      </c>
      <c r="AC28" s="17">
        <f t="shared" si="10"/>
        <v>1.3332662454426487</v>
      </c>
      <c r="AD28" s="17">
        <f t="shared" si="11"/>
        <v>3.1458925231629582</v>
      </c>
      <c r="AE28" s="17">
        <f t="shared" si="12"/>
        <v>22.827970917601036</v>
      </c>
      <c r="AF28" s="17">
        <f t="shared" si="4"/>
        <v>22.438170997601034</v>
      </c>
    </row>
    <row r="29" spans="1:32" x14ac:dyDescent="0.25">
      <c r="A29" s="14">
        <v>27</v>
      </c>
      <c r="B29" s="14" t="s">
        <v>62</v>
      </c>
      <c r="C29" s="14">
        <v>225</v>
      </c>
      <c r="D29" s="14">
        <v>8</v>
      </c>
      <c r="E29" s="15">
        <v>-0.38401879999999999</v>
      </c>
      <c r="F29" s="15">
        <v>-0.38280628</v>
      </c>
      <c r="G29" s="15">
        <v>-1.21251E-3</v>
      </c>
      <c r="H29" s="15">
        <v>0.6675875</v>
      </c>
      <c r="I29" s="15">
        <v>0.67228750000000004</v>
      </c>
      <c r="J29" s="15">
        <v>-4.7000000000000002E-3</v>
      </c>
      <c r="K29" s="18">
        <v>26.15</v>
      </c>
      <c r="L29" s="18">
        <v>26.14</v>
      </c>
      <c r="M29" s="18">
        <v>0.01</v>
      </c>
      <c r="N29" s="15">
        <v>2.569275E-2</v>
      </c>
      <c r="O29" s="15">
        <v>5.1875610000000003E-2</v>
      </c>
      <c r="P29" s="15">
        <v>-2.6182859999999999E-2</v>
      </c>
      <c r="Q29" s="15">
        <v>1.5112E-2</v>
      </c>
      <c r="R29" s="15">
        <v>-8.1585700000000004E-3</v>
      </c>
      <c r="S29" s="15">
        <v>2.3270570000000001E-2</v>
      </c>
      <c r="T29" s="14"/>
      <c r="U29" s="15">
        <f t="shared" si="5"/>
        <v>6.0625999999999736E-4</v>
      </c>
      <c r="V29" s="15">
        <f t="shared" si="6"/>
        <v>-2.3500000000000187E-3</v>
      </c>
      <c r="W29" s="15"/>
      <c r="X29" s="15"/>
      <c r="Y29" s="16">
        <f t="shared" si="0"/>
        <v>2.569275E-2</v>
      </c>
      <c r="Z29" s="16">
        <f t="shared" si="1"/>
        <v>1.5112E-2</v>
      </c>
      <c r="AA29" s="16">
        <f t="shared" si="2"/>
        <v>5.1875610000000003E-2</v>
      </c>
      <c r="AB29" s="16">
        <f t="shared" si="3"/>
        <v>-8.1585700000000004E-3</v>
      </c>
      <c r="AC29" s="17">
        <f t="shared" si="10"/>
        <v>1.7080997276464946</v>
      </c>
      <c r="AD29" s="17">
        <f t="shared" si="11"/>
        <v>3.0101720363186812</v>
      </c>
      <c r="AE29" s="17">
        <f t="shared" si="12"/>
        <v>30.463254634953564</v>
      </c>
      <c r="AF29" s="17">
        <f t="shared" si="4"/>
        <v>30.080448354953564</v>
      </c>
    </row>
    <row r="30" spans="1:32" x14ac:dyDescent="0.25">
      <c r="A30" s="14">
        <v>28</v>
      </c>
      <c r="B30" s="14" t="s">
        <v>62</v>
      </c>
      <c r="C30" s="14">
        <v>247.5</v>
      </c>
      <c r="D30" s="14">
        <v>2</v>
      </c>
      <c r="E30" s="15">
        <v>-0.40002500000000002</v>
      </c>
      <c r="F30" s="15">
        <v>-0.39665</v>
      </c>
      <c r="G30" s="15">
        <v>-3.37499E-3</v>
      </c>
      <c r="H30" s="15">
        <v>0.59539984000000001</v>
      </c>
      <c r="I30" s="15">
        <v>0.60469989999999996</v>
      </c>
      <c r="J30" s="15">
        <v>-9.3000500000000007E-3</v>
      </c>
      <c r="K30" s="18">
        <v>26.33</v>
      </c>
      <c r="L30" s="18">
        <v>26.23</v>
      </c>
      <c r="M30" s="18">
        <v>0.1</v>
      </c>
      <c r="N30" s="15">
        <v>3.0836180000000001E-2</v>
      </c>
      <c r="O30" s="15">
        <v>4.8153080000000001E-2</v>
      </c>
      <c r="P30" s="15">
        <v>-1.7316890000000001E-2</v>
      </c>
      <c r="Q30" s="15">
        <v>1.968872E-2</v>
      </c>
      <c r="R30" s="15">
        <v>-1.259644E-2</v>
      </c>
      <c r="S30" s="15">
        <v>3.228516E-2</v>
      </c>
      <c r="T30" s="14"/>
      <c r="U30" s="15">
        <f t="shared" si="5"/>
        <v>1.6875000000000084E-3</v>
      </c>
      <c r="V30" s="15">
        <f t="shared" si="6"/>
        <v>-4.6500299999999717E-3</v>
      </c>
      <c r="W30" s="15"/>
      <c r="X30" s="15"/>
      <c r="Y30" s="16">
        <f t="shared" si="0"/>
        <v>3.0836180000000001E-2</v>
      </c>
      <c r="Z30" s="16">
        <f t="shared" si="1"/>
        <v>1.968872E-2</v>
      </c>
      <c r="AA30" s="16">
        <f t="shared" si="2"/>
        <v>4.8153080000000001E-2</v>
      </c>
      <c r="AB30" s="16">
        <f t="shared" si="3"/>
        <v>-1.259644E-2</v>
      </c>
      <c r="AC30" s="17">
        <f t="shared" si="10"/>
        <v>2.0966758770286043</v>
      </c>
      <c r="AD30" s="17">
        <f t="shared" si="11"/>
        <v>2.8529834589719489</v>
      </c>
      <c r="AE30" s="17">
        <f t="shared" si="12"/>
        <v>32.557992469899716</v>
      </c>
      <c r="AF30" s="17">
        <f t="shared" si="4"/>
        <v>32.161342469899715</v>
      </c>
    </row>
    <row r="31" spans="1:32" x14ac:dyDescent="0.25">
      <c r="A31" s="14">
        <v>29</v>
      </c>
      <c r="B31" s="14" t="s">
        <v>62</v>
      </c>
      <c r="C31" s="14">
        <v>270</v>
      </c>
      <c r="D31" s="14">
        <v>5</v>
      </c>
      <c r="E31" s="15">
        <v>-0.39872000000000002</v>
      </c>
      <c r="F31" s="15">
        <v>-0.39418992000000003</v>
      </c>
      <c r="G31" s="15">
        <v>-4.5300699999999998E-3</v>
      </c>
      <c r="H31" s="15">
        <v>0.60314999999999996</v>
      </c>
      <c r="I31" s="15">
        <v>0.61143004000000001</v>
      </c>
      <c r="J31" s="15">
        <v>-8.2800400000000007E-3</v>
      </c>
      <c r="K31" s="18">
        <v>26.29</v>
      </c>
      <c r="L31" s="18">
        <v>26.29</v>
      </c>
      <c r="M31" s="18">
        <v>0</v>
      </c>
      <c r="N31" s="15">
        <v>3.6909669999999999E-2</v>
      </c>
      <c r="O31" s="15">
        <v>4.0239259999999999E-2</v>
      </c>
      <c r="P31" s="15">
        <v>-3.3295899999999999E-3</v>
      </c>
      <c r="Q31" s="15">
        <v>2.1404300000000001E-2</v>
      </c>
      <c r="R31" s="15">
        <v>-1.4627930000000001E-2</v>
      </c>
      <c r="S31" s="15">
        <v>3.6032229999999998E-2</v>
      </c>
      <c r="T31" s="14"/>
      <c r="U31" s="15">
        <f t="shared" si="5"/>
        <v>2.2650399999999959E-3</v>
      </c>
      <c r="V31" s="15">
        <f t="shared" si="6"/>
        <v>-4.140020000000022E-3</v>
      </c>
      <c r="W31" s="15"/>
      <c r="X31" s="15"/>
      <c r="Y31" s="16">
        <f t="shared" si="0"/>
        <v>3.6909669999999999E-2</v>
      </c>
      <c r="Z31" s="16">
        <f t="shared" si="1"/>
        <v>2.1404300000000001E-2</v>
      </c>
      <c r="AA31" s="16">
        <f t="shared" si="2"/>
        <v>4.0239259999999999E-2</v>
      </c>
      <c r="AB31" s="16">
        <f t="shared" si="3"/>
        <v>-1.4627930000000001E-2</v>
      </c>
      <c r="AC31" s="17">
        <f t="shared" si="10"/>
        <v>2.4453779445919208</v>
      </c>
      <c r="AD31" s="17">
        <f t="shared" si="11"/>
        <v>2.4539024880396778</v>
      </c>
      <c r="AE31" s="17">
        <f t="shared" si="12"/>
        <v>30.109889825511935</v>
      </c>
      <c r="AF31" s="17">
        <f t="shared" si="4"/>
        <v>29.715699905511936</v>
      </c>
    </row>
    <row r="32" spans="1:32" x14ac:dyDescent="0.25">
      <c r="A32" s="14">
        <v>30</v>
      </c>
      <c r="B32" s="14" t="s">
        <v>62</v>
      </c>
      <c r="C32" s="14">
        <v>292.5</v>
      </c>
      <c r="D32" s="14">
        <v>4</v>
      </c>
      <c r="E32" s="15">
        <v>-0.39237504000000001</v>
      </c>
      <c r="F32" s="15">
        <v>-0.38561250000000002</v>
      </c>
      <c r="G32" s="15">
        <v>-6.7625599999999999E-3</v>
      </c>
      <c r="H32" s="15">
        <v>0.61573756000000002</v>
      </c>
      <c r="I32" s="15">
        <v>0.61849991999999998</v>
      </c>
      <c r="J32" s="15">
        <v>-2.76238E-3</v>
      </c>
      <c r="K32" s="18">
        <v>26.21</v>
      </c>
      <c r="L32" s="18">
        <v>26.2</v>
      </c>
      <c r="M32" s="18">
        <v>0.01</v>
      </c>
      <c r="N32" s="15">
        <v>4.4077150000000002E-2</v>
      </c>
      <c r="O32" s="15">
        <v>3.3560180000000002E-2</v>
      </c>
      <c r="P32" s="15">
        <v>1.051697E-2</v>
      </c>
      <c r="Q32" s="15">
        <v>2.0603639999999999E-2</v>
      </c>
      <c r="R32" s="15">
        <v>-1.368774E-2</v>
      </c>
      <c r="S32" s="15">
        <v>3.4291380000000003E-2</v>
      </c>
      <c r="T32" s="14"/>
      <c r="U32" s="15">
        <f t="shared" si="5"/>
        <v>3.3812699999999918E-3</v>
      </c>
      <c r="V32" s="15">
        <f t="shared" si="6"/>
        <v>-1.3811799999999819E-3</v>
      </c>
      <c r="W32" s="15"/>
      <c r="X32" s="15"/>
      <c r="Y32" s="16">
        <f t="shared" si="0"/>
        <v>4.4077150000000002E-2</v>
      </c>
      <c r="Z32" s="16">
        <f t="shared" si="1"/>
        <v>2.0603639999999999E-2</v>
      </c>
      <c r="AA32" s="16">
        <f t="shared" si="2"/>
        <v>3.3560180000000002E-2</v>
      </c>
      <c r="AB32" s="16">
        <f t="shared" si="3"/>
        <v>-1.368774E-2</v>
      </c>
      <c r="AC32" s="17">
        <f t="shared" si="10"/>
        <v>2.7888249330278705</v>
      </c>
      <c r="AD32" s="17">
        <f t="shared" si="11"/>
        <v>2.077092939717295</v>
      </c>
      <c r="AE32" s="17">
        <f t="shared" si="12"/>
        <v>25.053499104517176</v>
      </c>
      <c r="AF32" s="17">
        <f t="shared" si="4"/>
        <v>24.667886604517175</v>
      </c>
    </row>
    <row r="33" spans="1:32" x14ac:dyDescent="0.25">
      <c r="A33" s="14">
        <v>31</v>
      </c>
      <c r="B33" s="14" t="s">
        <v>62</v>
      </c>
      <c r="C33" s="14">
        <v>315</v>
      </c>
      <c r="D33" s="14">
        <v>3</v>
      </c>
      <c r="E33" s="15">
        <v>-0.39304995999999998</v>
      </c>
      <c r="F33" s="15">
        <v>-0.39</v>
      </c>
      <c r="G33" s="15">
        <v>-3.0499699999999999E-3</v>
      </c>
      <c r="H33" s="15">
        <v>0.61165000000000003</v>
      </c>
      <c r="I33" s="15">
        <v>0.61478319999999997</v>
      </c>
      <c r="J33" s="15">
        <v>-3.1332399999999998E-3</v>
      </c>
      <c r="K33" s="18">
        <v>26.25</v>
      </c>
      <c r="L33" s="18">
        <v>26.26</v>
      </c>
      <c r="M33" s="18">
        <v>-0.01</v>
      </c>
      <c r="N33" s="15">
        <v>4.9533689999999998E-2</v>
      </c>
      <c r="O33" s="15">
        <v>2.7998039999999998E-2</v>
      </c>
      <c r="P33" s="15">
        <v>2.153565E-2</v>
      </c>
      <c r="Q33" s="15">
        <v>1.7030440000000001E-2</v>
      </c>
      <c r="R33" s="15">
        <v>-1.056559E-2</v>
      </c>
      <c r="S33" s="15">
        <v>2.7596030000000001E-2</v>
      </c>
      <c r="T33" s="14"/>
      <c r="U33" s="15">
        <f t="shared" si="5"/>
        <v>1.5249799999999814E-3</v>
      </c>
      <c r="V33" s="15">
        <f t="shared" si="6"/>
        <v>-1.5665999999999736E-3</v>
      </c>
      <c r="W33" s="15"/>
      <c r="X33" s="15"/>
      <c r="Y33" s="16">
        <f t="shared" si="0"/>
        <v>4.9533689999999998E-2</v>
      </c>
      <c r="Z33" s="16">
        <f t="shared" si="1"/>
        <v>1.7030440000000001E-2</v>
      </c>
      <c r="AA33" s="16">
        <f t="shared" si="2"/>
        <v>2.7998039999999998E-2</v>
      </c>
      <c r="AB33" s="16">
        <f t="shared" si="3"/>
        <v>-1.056559E-2</v>
      </c>
      <c r="AC33" s="17">
        <f t="shared" si="10"/>
        <v>3.002503947521538</v>
      </c>
      <c r="AD33" s="17">
        <f t="shared" si="11"/>
        <v>1.7148478289268423</v>
      </c>
      <c r="AE33" s="17">
        <f t="shared" si="12"/>
        <v>18.973753270567173</v>
      </c>
      <c r="AF33" s="17">
        <f t="shared" si="4"/>
        <v>18.583753270567172</v>
      </c>
    </row>
    <row r="34" spans="1:32" x14ac:dyDescent="0.25">
      <c r="A34" s="14">
        <v>32</v>
      </c>
      <c r="B34" s="14" t="s">
        <v>62</v>
      </c>
      <c r="C34" s="14">
        <v>337.5</v>
      </c>
      <c r="D34" s="14">
        <v>4</v>
      </c>
      <c r="E34" s="15">
        <v>-0.39058747999999999</v>
      </c>
      <c r="F34" s="15">
        <v>-0.38137500000000002</v>
      </c>
      <c r="G34" s="15">
        <v>-9.2124600000000004E-3</v>
      </c>
      <c r="H34" s="15">
        <v>0.66528756</v>
      </c>
      <c r="I34" s="15">
        <v>0.66735007999999996</v>
      </c>
      <c r="J34" s="15">
        <v>-2.0625000000000001E-3</v>
      </c>
      <c r="K34" s="18">
        <v>26.16</v>
      </c>
      <c r="L34" s="18">
        <v>26.16</v>
      </c>
      <c r="M34" s="18">
        <v>-0.01</v>
      </c>
      <c r="N34" s="15">
        <v>5.3886110000000001E-2</v>
      </c>
      <c r="O34" s="15">
        <v>2.415954E-2</v>
      </c>
      <c r="P34" s="15">
        <v>2.9726559999999999E-2</v>
      </c>
      <c r="Q34" s="15">
        <v>1.1762699999999999E-2</v>
      </c>
      <c r="R34" s="15">
        <v>-5.5352800000000001E-3</v>
      </c>
      <c r="S34" s="15">
        <v>1.7297969999999999E-2</v>
      </c>
      <c r="T34" s="14"/>
      <c r="U34" s="15">
        <f t="shared" si="5"/>
        <v>4.6062399999999837E-3</v>
      </c>
      <c r="V34" s="15">
        <f t="shared" si="6"/>
        <v>-1.0312599999999783E-3</v>
      </c>
      <c r="W34" s="15"/>
      <c r="X34" s="15"/>
      <c r="Y34" s="16">
        <f t="shared" si="0"/>
        <v>5.3886110000000001E-2</v>
      </c>
      <c r="Z34" s="16">
        <f t="shared" si="1"/>
        <v>1.1762699999999999E-2</v>
      </c>
      <c r="AA34" s="16">
        <f t="shared" si="2"/>
        <v>2.415954E-2</v>
      </c>
      <c r="AB34" s="16">
        <f t="shared" si="3"/>
        <v>-5.5352800000000001E-3</v>
      </c>
      <c r="AC34" s="17">
        <f t="shared" si="10"/>
        <v>3.1617531181078569</v>
      </c>
      <c r="AD34" s="17">
        <f t="shared" si="11"/>
        <v>1.4202519343370739</v>
      </c>
      <c r="AE34" s="17">
        <f t="shared" si="12"/>
        <v>12.313831963165757</v>
      </c>
      <c r="AF34" s="17">
        <f t="shared" si="4"/>
        <v>11.932456963165757</v>
      </c>
    </row>
    <row r="37" spans="1:32" x14ac:dyDescent="0.25">
      <c r="A37">
        <v>1</v>
      </c>
      <c r="C37">
        <v>0</v>
      </c>
      <c r="K37">
        <f>(K3+K19)/2</f>
        <v>26.155000000000001</v>
      </c>
      <c r="L37">
        <f>(L3+L19)/2</f>
        <v>26.175000000000001</v>
      </c>
      <c r="M37">
        <f>K37-L37</f>
        <v>-1.9999999999999574E-2</v>
      </c>
      <c r="U37">
        <f>(U3+U19)/2</f>
        <v>2.5250100000000081E-3</v>
      </c>
      <c r="V37">
        <f>(V3+V19)/2</f>
        <v>-2.107000000000081E-4</v>
      </c>
      <c r="AC37">
        <f>(AC3+AC19)/2</f>
        <v>3.2112206272554822</v>
      </c>
      <c r="AD37">
        <f>(AD3+AD19)/2</f>
        <v>1.2230200090652579</v>
      </c>
    </row>
    <row r="38" spans="1:32" x14ac:dyDescent="0.25">
      <c r="A38">
        <v>2</v>
      </c>
      <c r="C38">
        <v>22.5</v>
      </c>
      <c r="K38">
        <f t="shared" ref="K38:L52" si="13">(K4+K20)/2</f>
        <v>26.245000000000001</v>
      </c>
      <c r="L38">
        <f t="shared" si="13"/>
        <v>26.25</v>
      </c>
      <c r="M38">
        <f t="shared" ref="M38:M52" si="14">K38-L38</f>
        <v>-4.9999999999990052E-3</v>
      </c>
      <c r="U38">
        <f t="shared" ref="U38:V52" si="15">(U4+U20)/2</f>
        <v>6.2750699999999937E-3</v>
      </c>
      <c r="V38">
        <f t="shared" si="15"/>
        <v>3.5978600000000083E-3</v>
      </c>
      <c r="AC38">
        <f t="shared" ref="AC38:AD52" si="16">(AC4+AC20)/2</f>
        <v>3.1809541616588728</v>
      </c>
      <c r="AD38">
        <f t="shared" si="16"/>
        <v>1.3497908255376334</v>
      </c>
    </row>
    <row r="39" spans="1:32" x14ac:dyDescent="0.25">
      <c r="A39">
        <v>3</v>
      </c>
      <c r="C39">
        <v>45</v>
      </c>
      <c r="K39">
        <f t="shared" si="13"/>
        <v>26.174999999999997</v>
      </c>
      <c r="L39">
        <f t="shared" si="13"/>
        <v>26.185000000000002</v>
      </c>
      <c r="M39">
        <f t="shared" si="14"/>
        <v>-1.0000000000005116E-2</v>
      </c>
      <c r="U39">
        <f t="shared" si="15"/>
        <v>9.6540999999999988E-4</v>
      </c>
      <c r="V39">
        <f t="shared" si="15"/>
        <v>3.005455000000018E-3</v>
      </c>
      <c r="AC39">
        <f t="shared" si="16"/>
        <v>3.0481389096923097</v>
      </c>
      <c r="AD39">
        <f t="shared" si="16"/>
        <v>1.6695701565531764</v>
      </c>
    </row>
    <row r="40" spans="1:32" x14ac:dyDescent="0.25">
      <c r="A40">
        <v>4</v>
      </c>
      <c r="C40">
        <v>67.5</v>
      </c>
      <c r="K40">
        <f t="shared" si="13"/>
        <v>26.175000000000001</v>
      </c>
      <c r="L40">
        <f t="shared" si="13"/>
        <v>26.18</v>
      </c>
      <c r="M40">
        <f t="shared" si="14"/>
        <v>-4.9999999999990052E-3</v>
      </c>
      <c r="U40">
        <f t="shared" si="15"/>
        <v>6.1785000000008639E-5</v>
      </c>
      <c r="V40">
        <f t="shared" si="15"/>
        <v>3.2230949999999814E-3</v>
      </c>
      <c r="AC40">
        <f t="shared" si="16"/>
        <v>2.7918377808093409</v>
      </c>
      <c r="AD40">
        <f t="shared" si="16"/>
        <v>2.0797827349913183</v>
      </c>
    </row>
    <row r="41" spans="1:32" x14ac:dyDescent="0.25">
      <c r="A41">
        <v>5</v>
      </c>
      <c r="C41">
        <v>90</v>
      </c>
      <c r="K41">
        <f t="shared" si="13"/>
        <v>26.200000000000003</v>
      </c>
      <c r="L41">
        <f t="shared" si="13"/>
        <v>26.225000000000001</v>
      </c>
      <c r="M41">
        <f t="shared" si="14"/>
        <v>-2.4999999999998579E-2</v>
      </c>
      <c r="U41">
        <f t="shared" si="15"/>
        <v>1.4874349999999953E-3</v>
      </c>
      <c r="V41">
        <f t="shared" si="15"/>
        <v>3.2438049999999885E-3</v>
      </c>
      <c r="AC41">
        <f t="shared" si="16"/>
        <v>2.401575636809925</v>
      </c>
      <c r="AD41">
        <f t="shared" si="16"/>
        <v>2.461646600179237</v>
      </c>
    </row>
    <row r="42" spans="1:32" x14ac:dyDescent="0.25">
      <c r="A42">
        <v>6</v>
      </c>
      <c r="C42">
        <v>112.5</v>
      </c>
      <c r="K42">
        <f t="shared" si="13"/>
        <v>26.185000000000002</v>
      </c>
      <c r="L42">
        <f t="shared" si="13"/>
        <v>26.204999999999998</v>
      </c>
      <c r="M42">
        <f t="shared" si="14"/>
        <v>-1.9999999999996021E-2</v>
      </c>
      <c r="U42">
        <f t="shared" si="15"/>
        <v>-1.9000049999999963E-3</v>
      </c>
      <c r="V42">
        <f t="shared" si="15"/>
        <v>2.6458649999999972E-3</v>
      </c>
      <c r="AC42">
        <f t="shared" si="16"/>
        <v>2.0345466869417557</v>
      </c>
      <c r="AD42">
        <f t="shared" si="16"/>
        <v>2.7764500325987314</v>
      </c>
    </row>
    <row r="43" spans="1:32" x14ac:dyDescent="0.25">
      <c r="A43">
        <v>7</v>
      </c>
      <c r="C43">
        <v>135</v>
      </c>
      <c r="K43">
        <f t="shared" si="13"/>
        <v>26.17</v>
      </c>
      <c r="L43">
        <f t="shared" si="13"/>
        <v>26.164999999999999</v>
      </c>
      <c r="M43">
        <f t="shared" si="14"/>
        <v>5.000000000002558E-3</v>
      </c>
      <c r="U43">
        <f t="shared" si="15"/>
        <v>-6.9872999999999463E-4</v>
      </c>
      <c r="V43">
        <f t="shared" si="15"/>
        <v>2.2383500000000556E-4</v>
      </c>
      <c r="AC43">
        <f t="shared" si="16"/>
        <v>1.6645190937189944</v>
      </c>
      <c r="AD43">
        <f t="shared" si="16"/>
        <v>3.0058448574622085</v>
      </c>
    </row>
    <row r="44" spans="1:32" x14ac:dyDescent="0.25">
      <c r="A44">
        <v>8</v>
      </c>
      <c r="C44">
        <v>157.5</v>
      </c>
      <c r="K44">
        <f t="shared" si="13"/>
        <v>26.174999999999997</v>
      </c>
      <c r="L44">
        <f t="shared" si="13"/>
        <v>26.189999999999998</v>
      </c>
      <c r="M44">
        <f t="shared" si="14"/>
        <v>-1.5000000000000568E-2</v>
      </c>
      <c r="U44">
        <f t="shared" si="15"/>
        <v>-2.9187499999999977E-3</v>
      </c>
      <c r="V44">
        <f t="shared" si="15"/>
        <v>1.8468999999999847E-3</v>
      </c>
      <c r="AC44">
        <f t="shared" si="16"/>
        <v>1.3072558768674665</v>
      </c>
      <c r="AD44">
        <f t="shared" si="16"/>
        <v>3.1597551653151834</v>
      </c>
    </row>
    <row r="45" spans="1:32" x14ac:dyDescent="0.25">
      <c r="A45">
        <v>9</v>
      </c>
      <c r="C45">
        <v>180</v>
      </c>
      <c r="K45">
        <f t="shared" si="13"/>
        <v>26.200000000000003</v>
      </c>
      <c r="L45">
        <f t="shared" si="13"/>
        <v>26.21</v>
      </c>
      <c r="M45">
        <f t="shared" si="14"/>
        <v>-9.9999999999980105E-3</v>
      </c>
      <c r="U45">
        <f t="shared" si="15"/>
        <v>-1.9277850000000013E-3</v>
      </c>
      <c r="V45">
        <f t="shared" si="15"/>
        <v>-8.6247500000000143E-4</v>
      </c>
      <c r="AC45">
        <f t="shared" si="16"/>
        <v>1.1490972749535144</v>
      </c>
      <c r="AD45">
        <f t="shared" si="16"/>
        <v>3.2510319636060485</v>
      </c>
    </row>
    <row r="46" spans="1:32" x14ac:dyDescent="0.25">
      <c r="A46">
        <v>10</v>
      </c>
      <c r="C46">
        <v>202.5</v>
      </c>
      <c r="K46">
        <f t="shared" si="13"/>
        <v>26.175000000000001</v>
      </c>
      <c r="L46">
        <f t="shared" si="13"/>
        <v>26.185000000000002</v>
      </c>
      <c r="M46">
        <f t="shared" si="14"/>
        <v>-1.0000000000001563E-2</v>
      </c>
      <c r="U46">
        <f t="shared" si="15"/>
        <v>-1.3437499999999908E-3</v>
      </c>
      <c r="V46">
        <f t="shared" si="15"/>
        <v>1.5437399999999879E-3</v>
      </c>
      <c r="AC46">
        <f t="shared" si="16"/>
        <v>1.325096878576475</v>
      </c>
      <c r="AD46">
        <f t="shared" si="16"/>
        <v>3.1708255590798382</v>
      </c>
    </row>
    <row r="47" spans="1:32" x14ac:dyDescent="0.25">
      <c r="A47">
        <v>11</v>
      </c>
      <c r="C47">
        <v>225</v>
      </c>
      <c r="K47">
        <f t="shared" si="13"/>
        <v>26.14</v>
      </c>
      <c r="L47">
        <f t="shared" si="13"/>
        <v>26.134999999999998</v>
      </c>
      <c r="M47">
        <f t="shared" si="14"/>
        <v>5.000000000002558E-3</v>
      </c>
      <c r="U47">
        <f t="shared" si="15"/>
        <v>-1.7531000000000074E-3</v>
      </c>
      <c r="V47">
        <f t="shared" si="15"/>
        <v>-1.2000100000000014E-3</v>
      </c>
      <c r="AC47">
        <f t="shared" si="16"/>
        <v>1.7007610933393535</v>
      </c>
      <c r="AD47">
        <f t="shared" si="16"/>
        <v>3.0040331614459053</v>
      </c>
    </row>
    <row r="48" spans="1:32" x14ac:dyDescent="0.25">
      <c r="A48">
        <v>12</v>
      </c>
      <c r="C48">
        <v>247.5</v>
      </c>
      <c r="K48">
        <f t="shared" si="13"/>
        <v>26.215</v>
      </c>
      <c r="L48">
        <f t="shared" si="13"/>
        <v>26.134999999999998</v>
      </c>
      <c r="M48">
        <f t="shared" si="14"/>
        <v>8.0000000000001847E-2</v>
      </c>
      <c r="U48">
        <f t="shared" si="15"/>
        <v>2.1562400000000037E-3</v>
      </c>
      <c r="V48">
        <f t="shared" si="15"/>
        <v>-2.8124899999999731E-3</v>
      </c>
      <c r="AC48">
        <f t="shared" si="16"/>
        <v>2.0889731694805223</v>
      </c>
      <c r="AD48">
        <f t="shared" si="16"/>
        <v>2.8515507624986141</v>
      </c>
    </row>
    <row r="49" spans="1:30" x14ac:dyDescent="0.25">
      <c r="A49">
        <v>13</v>
      </c>
      <c r="C49">
        <v>270</v>
      </c>
      <c r="K49">
        <f t="shared" si="13"/>
        <v>26.22</v>
      </c>
      <c r="L49">
        <f t="shared" si="13"/>
        <v>26.234999999999999</v>
      </c>
      <c r="M49">
        <f t="shared" si="14"/>
        <v>-1.5000000000000568E-2</v>
      </c>
      <c r="U49">
        <f t="shared" si="15"/>
        <v>2.6116899999999998E-3</v>
      </c>
      <c r="V49">
        <f t="shared" si="15"/>
        <v>-3.528375000000028E-3</v>
      </c>
      <c r="AC49">
        <f t="shared" si="16"/>
        <v>2.4276575837422136</v>
      </c>
      <c r="AD49">
        <f t="shared" si="16"/>
        <v>2.4976596015956991</v>
      </c>
    </row>
    <row r="50" spans="1:30" x14ac:dyDescent="0.25">
      <c r="A50">
        <v>14</v>
      </c>
      <c r="C50">
        <v>292.5</v>
      </c>
      <c r="K50">
        <f t="shared" si="13"/>
        <v>26.185000000000002</v>
      </c>
      <c r="L50">
        <f t="shared" si="13"/>
        <v>26.174999999999997</v>
      </c>
      <c r="M50">
        <f t="shared" si="14"/>
        <v>1.0000000000005116E-2</v>
      </c>
      <c r="U50">
        <f t="shared" si="15"/>
        <v>3.3312549999999913E-3</v>
      </c>
      <c r="V50">
        <f t="shared" si="15"/>
        <v>-3.0780850000000082E-3</v>
      </c>
      <c r="AC50">
        <f t="shared" si="16"/>
        <v>2.78712715133004</v>
      </c>
      <c r="AD50">
        <f t="shared" si="16"/>
        <v>2.0810892905223994</v>
      </c>
    </row>
    <row r="51" spans="1:30" x14ac:dyDescent="0.25">
      <c r="A51">
        <v>15</v>
      </c>
      <c r="C51">
        <v>315</v>
      </c>
      <c r="K51">
        <f t="shared" si="13"/>
        <v>26.23</v>
      </c>
      <c r="L51">
        <f t="shared" si="13"/>
        <v>26.23</v>
      </c>
      <c r="M51">
        <f t="shared" si="14"/>
        <v>0</v>
      </c>
      <c r="U51">
        <f t="shared" si="15"/>
        <v>1.731239999999995E-3</v>
      </c>
      <c r="V51">
        <f t="shared" si="15"/>
        <v>-7.207699999999817E-4</v>
      </c>
      <c r="AC51">
        <f t="shared" si="16"/>
        <v>2.9980223921671016</v>
      </c>
      <c r="AD51">
        <f t="shared" si="16"/>
        <v>1.6803908108753174</v>
      </c>
    </row>
    <row r="52" spans="1:30" x14ac:dyDescent="0.25">
      <c r="A52">
        <v>16</v>
      </c>
      <c r="C52">
        <v>337.5</v>
      </c>
      <c r="K52">
        <f t="shared" si="13"/>
        <v>26.215</v>
      </c>
      <c r="L52">
        <f t="shared" si="13"/>
        <v>26.215</v>
      </c>
      <c r="M52">
        <f t="shared" si="14"/>
        <v>0</v>
      </c>
      <c r="U52">
        <f t="shared" si="15"/>
        <v>3.4948299999999904E-3</v>
      </c>
      <c r="V52">
        <f t="shared" si="15"/>
        <v>-4.8648000000001135E-4</v>
      </c>
      <c r="AC52">
        <f t="shared" si="16"/>
        <v>3.1650626231468424</v>
      </c>
      <c r="AD52">
        <f t="shared" si="16"/>
        <v>1.3715784912219995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T17-1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2026-08-02T16:48:53Z</dcterms:modified>
</cp:coreProperties>
</file>