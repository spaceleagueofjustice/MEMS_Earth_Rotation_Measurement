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7\T17-4\"/>
    </mc:Choice>
  </mc:AlternateContent>
  <xr:revisionPtr revIDLastSave="0" documentId="13_ncr:1_{7156D296-2A66-4463-8EDD-9AAF16C3D5EE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7-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D52" i="1"/>
  <c r="AC52" i="1"/>
  <c r="V52" i="1"/>
  <c r="U52" i="1"/>
  <c r="L52" i="1"/>
  <c r="K52" i="1"/>
  <c r="AB17" i="1"/>
  <c r="AD17" i="1"/>
  <c r="Z17" i="1"/>
  <c r="AA17" i="1"/>
  <c r="Y17" i="1"/>
  <c r="AC17" i="1" s="1"/>
  <c r="U53" i="1"/>
  <c r="U51" i="1"/>
  <c r="U50" i="1"/>
  <c r="U47" i="1"/>
  <c r="U38" i="1"/>
  <c r="U46" i="1"/>
  <c r="K44" i="1"/>
  <c r="AE17" i="1" l="1"/>
  <c r="AF17" i="1" s="1"/>
  <c r="AD53" i="1"/>
  <c r="AC53" i="1"/>
  <c r="V53" i="1"/>
  <c r="L53" i="1"/>
  <c r="K53" i="1"/>
  <c r="M53" i="1" s="1"/>
  <c r="AD51" i="1"/>
  <c r="AC51" i="1"/>
  <c r="V51" i="1"/>
  <c r="L51" i="1"/>
  <c r="K51" i="1"/>
  <c r="M51" i="1" s="1"/>
  <c r="AD50" i="1"/>
  <c r="AC50" i="1"/>
  <c r="V50" i="1"/>
  <c r="M50" i="1"/>
  <c r="L50" i="1"/>
  <c r="K50" i="1"/>
  <c r="AD49" i="1"/>
  <c r="AC49" i="1"/>
  <c r="V49" i="1"/>
  <c r="U49" i="1"/>
  <c r="L49" i="1"/>
  <c r="K49" i="1"/>
  <c r="M49" i="1" s="1"/>
  <c r="AD48" i="1"/>
  <c r="AC48" i="1"/>
  <c r="V48" i="1"/>
  <c r="U48" i="1"/>
  <c r="L48" i="1"/>
  <c r="K48" i="1"/>
  <c r="M48" i="1" s="1"/>
  <c r="AD47" i="1"/>
  <c r="AC47" i="1"/>
  <c r="V47" i="1"/>
  <c r="L47" i="1"/>
  <c r="M47" i="1" s="1"/>
  <c r="K47" i="1"/>
  <c r="AD46" i="1"/>
  <c r="AC46" i="1"/>
  <c r="V46" i="1"/>
  <c r="L46" i="1"/>
  <c r="K46" i="1"/>
  <c r="M46" i="1" s="1"/>
  <c r="AD45" i="1"/>
  <c r="AC45" i="1"/>
  <c r="V45" i="1"/>
  <c r="U45" i="1"/>
  <c r="M45" i="1"/>
  <c r="L45" i="1"/>
  <c r="K45" i="1"/>
  <c r="AD44" i="1"/>
  <c r="AC44" i="1"/>
  <c r="V44" i="1"/>
  <c r="U44" i="1"/>
  <c r="L44" i="1"/>
  <c r="M44" i="1"/>
  <c r="AD43" i="1"/>
  <c r="AC43" i="1"/>
  <c r="V43" i="1"/>
  <c r="U43" i="1"/>
  <c r="L43" i="1"/>
  <c r="K43" i="1"/>
  <c r="M43" i="1" s="1"/>
  <c r="AD42" i="1"/>
  <c r="AC42" i="1"/>
  <c r="V42" i="1"/>
  <c r="U42" i="1"/>
  <c r="L42" i="1"/>
  <c r="K42" i="1"/>
  <c r="M42" i="1" s="1"/>
  <c r="AD41" i="1"/>
  <c r="AC41" i="1"/>
  <c r="V41" i="1"/>
  <c r="U41" i="1"/>
  <c r="L41" i="1"/>
  <c r="K41" i="1"/>
  <c r="M41" i="1" s="1"/>
  <c r="AD40" i="1"/>
  <c r="AC40" i="1"/>
  <c r="V40" i="1"/>
  <c r="U40" i="1"/>
  <c r="M40" i="1"/>
  <c r="L40" i="1"/>
  <c r="K40" i="1"/>
  <c r="AD39" i="1"/>
  <c r="AC39" i="1"/>
  <c r="V39" i="1"/>
  <c r="U39" i="1"/>
  <c r="L39" i="1"/>
  <c r="K39" i="1"/>
  <c r="M39" i="1" s="1"/>
  <c r="M38" i="1"/>
  <c r="L38" i="1"/>
  <c r="K38" i="1"/>
  <c r="AD38" i="1"/>
  <c r="AC38" i="1"/>
  <c r="V38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M52" i="1" l="1"/>
  <c r="AE29" i="1"/>
  <c r="AF29" i="1" s="1"/>
  <c r="AD8" i="1"/>
  <c r="AD28" i="1"/>
  <c r="AD34" i="1"/>
  <c r="AD4" i="1"/>
  <c r="AD29" i="1"/>
  <c r="AD20" i="1"/>
  <c r="AE26" i="1"/>
  <c r="AF26" i="1" s="1"/>
  <c r="AE32" i="1"/>
  <c r="AF32" i="1" s="1"/>
  <c r="AE22" i="1"/>
  <c r="AF22" i="1" s="1"/>
  <c r="AD33" i="1"/>
  <c r="AD19" i="1"/>
  <c r="AD25" i="1"/>
  <c r="AD23" i="1"/>
  <c r="AD11" i="1"/>
  <c r="AD14" i="1"/>
  <c r="AD24" i="1"/>
  <c r="AD27" i="1"/>
  <c r="AC25" i="1"/>
  <c r="AC28" i="1"/>
  <c r="AD3" i="1"/>
  <c r="AD6" i="1"/>
  <c r="AD9" i="1"/>
  <c r="AD12" i="1"/>
  <c r="AD15" i="1"/>
  <c r="AD22" i="1"/>
  <c r="AC19" i="1"/>
  <c r="AE31" i="1"/>
  <c r="AF31" i="1" s="1"/>
  <c r="AD31" i="1"/>
  <c r="AD26" i="1"/>
  <c r="AE23" i="1"/>
  <c r="AF23" i="1" s="1"/>
  <c r="AD32" i="1"/>
  <c r="AD21" i="1"/>
  <c r="AE3" i="1"/>
  <c r="AF3" i="1" s="1"/>
  <c r="AC6" i="1"/>
  <c r="AC12" i="1"/>
  <c r="AC15" i="1"/>
  <c r="AC22" i="1"/>
  <c r="AE30" i="1"/>
  <c r="AF30" i="1" s="1"/>
  <c r="AE24" i="1"/>
  <c r="AF24" i="1" s="1"/>
  <c r="AE34" i="1"/>
  <c r="AF34" i="1" s="1"/>
  <c r="AE27" i="1"/>
  <c r="AF27" i="1" s="1"/>
  <c r="AE19" i="1"/>
  <c r="AF19" i="1" s="1"/>
  <c r="AE20" i="1"/>
  <c r="AF20" i="1" s="1"/>
  <c r="AE28" i="1"/>
  <c r="AF28" i="1" s="1"/>
  <c r="AD30" i="1"/>
  <c r="AE25" i="1"/>
  <c r="AF25" i="1" s="1"/>
  <c r="AC20" i="1"/>
  <c r="AE21" i="1"/>
  <c r="AF21" i="1" s="1"/>
  <c r="AC31" i="1"/>
  <c r="AE33" i="1"/>
  <c r="AF33" i="1" s="1"/>
  <c r="AC34" i="1"/>
  <c r="AC21" i="1"/>
  <c r="AC24" i="1"/>
  <c r="AC27" i="1"/>
  <c r="AC30" i="1"/>
  <c r="AC33" i="1"/>
  <c r="AC23" i="1"/>
  <c r="AC26" i="1"/>
  <c r="AC29" i="1"/>
  <c r="AC32" i="1"/>
  <c r="AD13" i="1"/>
  <c r="AD16" i="1"/>
  <c r="AD7" i="1"/>
  <c r="AD10" i="1"/>
  <c r="AD5" i="1"/>
  <c r="AC9" i="1"/>
  <c r="AD18" i="1"/>
  <c r="AC5" i="1"/>
  <c r="AC8" i="1"/>
  <c r="AC11" i="1"/>
  <c r="AC14" i="1"/>
  <c r="AC18" i="1"/>
  <c r="AE5" i="1"/>
  <c r="AF5" i="1" s="1"/>
  <c r="AE8" i="1"/>
  <c r="AF8" i="1" s="1"/>
  <c r="AE11" i="1"/>
  <c r="AF11" i="1" s="1"/>
  <c r="AE14" i="1"/>
  <c r="AF14" i="1" s="1"/>
  <c r="AE18" i="1"/>
  <c r="AF18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<sst xmlns="http://schemas.openxmlformats.org/spreadsheetml/2006/main" count="112" uniqueCount="67">
  <si>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</si>
  <si>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</si>
  <si>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</si>
  <si>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</si>
  <si>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</si>
  <si>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</si>
  <si>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</si>
  <si>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</si>
  <si>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</si>
  <si>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</si>
  <si>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</si>
  <si>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</si>
  <si>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</si>
  <si>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</si>
  <si>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</si>
  <si>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</si>
  <si>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</si>
  <si>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</si>
  <si>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</si>
  <si>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</si>
  <si>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</si>
  <si>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</si>
  <si>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</si>
  <si>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</si>
  <si>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</si>
  <si>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</si>
  <si>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</si>
  <si>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</si>
  <si>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</si>
  <si>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</si>
  <si>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</si>
  <si>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</si>
  <si>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</si>
  <si>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</si>
  <si>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</si>
  <si>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</si>
  <si>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</si>
  <si>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</si>
  <si>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</si>
  <si>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</si>
  <si>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</si>
  <si>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</si>
  <si>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</si>
  <si>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</si>
  <si>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</si>
  <si>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</si>
  <si>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</si>
  <si>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</si>
  <si>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</si>
  <si>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</si>
  <si>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</si>
  <si>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</si>
  <si>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</si>
  <si>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</si>
  <si>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</si>
  <si>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</si>
  <si>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</si>
  <si>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</si>
  <si>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</si>
  <si>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</si>
  <si>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living room</t>
  </si>
  <si>
    <t xml:space="preserve">Extended azimuth/tilt-Dependence Test (Randomized 360° Step Scan) </t>
  </si>
  <si>
    <t>T17-4</t>
  </si>
  <si>
    <t>CCW</t>
  </si>
  <si>
    <t>CW</t>
  </si>
  <si>
    <t>(xC-xA)/2</t>
  </si>
  <si>
    <t>- Rotace ramene CW/CCW
- Náhodné azimuty pro celých 360°
- 4x různý azimut sestavy (0°-90°-180°-270°)
- Azimut ramene při startu vžy 0° (sever)
- Kalibrace nulového náklonu do 0,5° (přibližně)
- Vyměněné měřicí rameno
- TEST MÁ VYVRÁTIT/POTVRDIT MOŽNOST, ŽE FÁZE SIGNÁLU JE GENEROVANÁ I MINIMÁLNÍM NÁKLONEM SESTAVY
- Oprava xA-xC na správný směr xC-xA
- Chybí jeden měřicí azimut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</si>
</sst>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vertical="center" textRotation="45"/>
    </xf>
    <xf numFmtId="0" fontId="6" fillId="0" borderId="0" xfId="0" applyFont="1" applyAlignment="1">
      <alignment textRotation="90"/>
    </xf>
    <xf numFmtId="0" fontId="6" fillId="0" borderId="0" xfId="0" applyFont="1" applyAlignment="1">
      <alignment vertical="center" textRotation="135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textRotation="45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'T17-4'!$U$2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'T17-4'!$U$3:$U$18</c:f>
              <c:numCache>
                <c:formatCode>0.000000</c:formatCode>
                <c:ptCount val="16"/>
                <c:pt idx="0">
                  <c:v>4.1248000000002061E-4</c:v>
                </c:pt>
                <c:pt idx="1">
                  <c:v>2.150000000000013E-3</c:v>
                </c:pt>
                <c:pt idx="2">
                  <c:v>-1.8754000000001381E-4</c:v>
                </c:pt>
                <c:pt idx="3">
                  <c:v>3.3458499999999836E-3</c:v>
                </c:pt>
                <c:pt idx="4">
                  <c:v>-9.9970000000004777E-5</c:v>
                </c:pt>
                <c:pt idx="5">
                  <c:v>1.4937600000000106E-3</c:v>
                </c:pt>
                <c:pt idx="6">
                  <c:v>-3.1499600000000072E-3</c:v>
                </c:pt>
                <c:pt idx="7">
                  <c:v>-3.6429999999998408E-4</c:v>
                </c:pt>
                <c:pt idx="8">
                  <c:v>1.5687699999999971E-3</c:v>
                </c:pt>
                <c:pt idx="9">
                  <c:v>-3.3336000000000476E-4</c:v>
                </c:pt>
                <c:pt idx="10">
                  <c:v>1.2374700000000183E-3</c:v>
                </c:pt>
                <c:pt idx="11">
                  <c:v>-1.6583000000000014E-3</c:v>
                </c:pt>
                <c:pt idx="12">
                  <c:v>-6.5003999999999063E-4</c:v>
                </c:pt>
                <c:pt idx="13">
                  <c:v>-1.0333399999999937E-3</c:v>
                </c:pt>
                <c:pt idx="15">
                  <c:v>2.9370000000000784E-4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'T17-4'!$V$2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'T17-4'!$C$3:$C$18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'T17-4'!$V$3:$V$18</c:f>
              <c:numCache>
                <c:formatCode>0.000000</c:formatCode>
                <c:ptCount val="16"/>
                <c:pt idx="0">
                  <c:v>-1.9749500000000308E-3</c:v>
                </c:pt>
                <c:pt idx="1">
                  <c:v>-1.033329999999999E-3</c:v>
                </c:pt>
                <c:pt idx="2">
                  <c:v>3.3625999999999934E-3</c:v>
                </c:pt>
                <c:pt idx="3">
                  <c:v>2.5499199999999833E-3</c:v>
                </c:pt>
                <c:pt idx="4">
                  <c:v>3.2083400000000317E-3</c:v>
                </c:pt>
                <c:pt idx="5">
                  <c:v>3.2812199999999736E-3</c:v>
                </c:pt>
                <c:pt idx="6">
                  <c:v>5.2500400000000114E-3</c:v>
                </c:pt>
                <c:pt idx="7">
                  <c:v>3.0352000000000157E-4</c:v>
                </c:pt>
                <c:pt idx="8">
                  <c:v>-2.5499499999999675E-3</c:v>
                </c:pt>
                <c:pt idx="9">
                  <c:v>-1.8328000000000788E-4</c:v>
                </c:pt>
                <c:pt idx="10">
                  <c:v>-5.4937999999999931E-3</c:v>
                </c:pt>
                <c:pt idx="11">
                  <c:v>-2.733360000000018E-3</c:v>
                </c:pt>
                <c:pt idx="12">
                  <c:v>4.8496999999997348E-4</c:v>
                </c:pt>
                <c:pt idx="13">
                  <c:v>-3.6084000000000116E-3</c:v>
                </c:pt>
                <c:pt idx="15">
                  <c:v>-1.2500599999999973E-3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'T17-4'!$U$2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'T17-4'!$C$3:$C$18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'T17-4'!$U$19:$U$34</c:f>
              <c:numCache>
                <c:formatCode>0.000000</c:formatCode>
                <c:ptCount val="16"/>
                <c:pt idx="0">
                  <c:v>4.2500000000000038E-3</c:v>
                </c:pt>
                <c:pt idx="1">
                  <c:v>5.9600000000000208E-3</c:v>
                </c:pt>
                <c:pt idx="2">
                  <c:v>2.7100200000000074E-3</c:v>
                </c:pt>
                <c:pt idx="3">
                  <c:v>1.3593699999999986E-3</c:v>
                </c:pt>
                <c:pt idx="4">
                  <c:v>-2.6247999999998162E-4</c:v>
                </c:pt>
                <c:pt idx="5">
                  <c:v>1.700039999999986E-3</c:v>
                </c:pt>
                <c:pt idx="6">
                  <c:v>-1.2399599999999844E-3</c:v>
                </c:pt>
                <c:pt idx="7">
                  <c:v>-2.2249599999999981E-3</c:v>
                </c:pt>
                <c:pt idx="8">
                  <c:v>3.0000000000000027E-3</c:v>
                </c:pt>
                <c:pt idx="9">
                  <c:v>2.4997999999998299E-4</c:v>
                </c:pt>
                <c:pt idx="10">
                  <c:v>-3.5917000000000032E-3</c:v>
                </c:pt>
                <c:pt idx="11">
                  <c:v>-4.1499799999999976E-3</c:v>
                </c:pt>
                <c:pt idx="12">
                  <c:v>-2.1285900000000135E-3</c:v>
                </c:pt>
                <c:pt idx="13">
                  <c:v>-1.1500200000000016E-3</c:v>
                </c:pt>
                <c:pt idx="14">
                  <c:v>3.9374499999999812E-3</c:v>
                </c:pt>
                <c:pt idx="15">
                  <c:v>-1.1416599999999888E-3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6-4C9B-ABF7-D4264A42A468}"/>
            </c:ext>
          </c:extLst>
        </c:ser>
        <c:ser>
          <c:idx val="3"/>
          <c:order val="3"/>
          <c:tx>
            <c:strRef>
              <c:f>'T17-4'!$V$2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'T17-4'!$C$3:$C$18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'T17-4'!$V$19:$V$34</c:f>
              <c:numCache>
                <c:formatCode>0.000000</c:formatCode>
                <c:ptCount val="16"/>
                <c:pt idx="0">
                  <c:v>6.9997999999998894E-4</c:v>
                </c:pt>
                <c:pt idx="1">
                  <c:v>-1.6649999999999721E-3</c:v>
                </c:pt>
                <c:pt idx="2">
                  <c:v>9.5000000000000639E-4</c:v>
                </c:pt>
                <c:pt idx="3">
                  <c:v>1.3126000000002191E-4</c:v>
                </c:pt>
                <c:pt idx="4">
                  <c:v>-2.375000000000016E-3</c:v>
                </c:pt>
                <c:pt idx="5">
                  <c:v>-1.82504E-3</c:v>
                </c:pt>
                <c:pt idx="6">
                  <c:v>-4.6000000000001595E-4</c:v>
                </c:pt>
                <c:pt idx="7">
                  <c:v>-1.1499700000000002E-3</c:v>
                </c:pt>
                <c:pt idx="8">
                  <c:v>-2.4750499999999787E-3</c:v>
                </c:pt>
                <c:pt idx="9">
                  <c:v>-5.80550000000013E-4</c:v>
                </c:pt>
                <c:pt idx="10">
                  <c:v>-1.2416599999999778E-3</c:v>
                </c:pt>
                <c:pt idx="11">
                  <c:v>1.2687900000000196E-3</c:v>
                </c:pt>
                <c:pt idx="12">
                  <c:v>-1.2715000000000365E-3</c:v>
                </c:pt>
                <c:pt idx="13">
                  <c:v>6.8760000000001043E-5</c:v>
                </c:pt>
                <c:pt idx="14">
                  <c:v>-8.875999999999884E-4</c:v>
                </c:pt>
                <c:pt idx="15">
                  <c:v>-1.5332999999999597E-3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6-4C9B-ABF7-D4264A42A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'T17-4'!$AC$2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'T17-4'!$AC$38:$AC$53</c:f>
              <c:numCache>
                <c:formatCode>General</c:formatCode>
                <c:ptCount val="16"/>
                <c:pt idx="0">
                  <c:v>2.3855724140420707</c:v>
                </c:pt>
                <c:pt idx="1">
                  <c:v>1.9909923209597338</c:v>
                </c:pt>
                <c:pt idx="2">
                  <c:v>1.585565216871252</c:v>
                </c:pt>
                <c:pt idx="3">
                  <c:v>1.4200801589959318</c:v>
                </c:pt>
                <c:pt idx="4">
                  <c:v>1.4425978976482083</c:v>
                </c:pt>
                <c:pt idx="5">
                  <c:v>1.7028652634795574</c:v>
                </c:pt>
                <c:pt idx="6">
                  <c:v>2.0380959653626682</c:v>
                </c:pt>
                <c:pt idx="7">
                  <c:v>2.4745029748043583</c:v>
                </c:pt>
                <c:pt idx="8">
                  <c:v>2.7901920966278047</c:v>
                </c:pt>
                <c:pt idx="9">
                  <c:v>3.1198084670693826</c:v>
                </c:pt>
                <c:pt idx="10">
                  <c:v>3.2815145275482953</c:v>
                </c:pt>
                <c:pt idx="11">
                  <c:v>3.3878799145676544</c:v>
                </c:pt>
                <c:pt idx="12">
                  <c:v>3.3945914618756703</c:v>
                </c:pt>
                <c:pt idx="13">
                  <c:v>3.284389427083104</c:v>
                </c:pt>
                <c:pt idx="14" formatCode="0.00">
                  <c:v>3.0483090421938068</c:v>
                </c:pt>
                <c:pt idx="15">
                  <c:v>2.7645037159210819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'T17-4'!$AD$2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'T17-4'!$AD$38:$AD$53</c:f>
              <c:numCache>
                <c:formatCode>General</c:formatCode>
                <c:ptCount val="16"/>
                <c:pt idx="0">
                  <c:v>2.8092779725505466</c:v>
                </c:pt>
                <c:pt idx="1">
                  <c:v>3.138368470635295</c:v>
                </c:pt>
                <c:pt idx="2">
                  <c:v>3.2948187090516781</c:v>
                </c:pt>
                <c:pt idx="3">
                  <c:v>3.3902209707052591</c:v>
                </c:pt>
                <c:pt idx="4">
                  <c:v>3.3952710004668489</c:v>
                </c:pt>
                <c:pt idx="5">
                  <c:v>3.2792264086046812</c:v>
                </c:pt>
                <c:pt idx="6">
                  <c:v>3.0765131284111118</c:v>
                </c:pt>
                <c:pt idx="7">
                  <c:v>2.7819976715376118</c:v>
                </c:pt>
                <c:pt idx="8">
                  <c:v>2.4362913759185512</c:v>
                </c:pt>
                <c:pt idx="9">
                  <c:v>2.0101694247246202</c:v>
                </c:pt>
                <c:pt idx="10">
                  <c:v>1.6523592387628991</c:v>
                </c:pt>
                <c:pt idx="11">
                  <c:v>1.4753138808515698</c:v>
                </c:pt>
                <c:pt idx="12">
                  <c:v>1.4401352190492092</c:v>
                </c:pt>
                <c:pt idx="13">
                  <c:v>1.7144076006256763</c:v>
                </c:pt>
                <c:pt idx="14" formatCode="0.00">
                  <c:v>2.0578591415826333</c:v>
                </c:pt>
                <c:pt idx="15">
                  <c:v>2.4617419502819371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'T17-4'!$K$2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'T17-4'!$K$38:$K$53</c:f>
              <c:numCache>
                <c:formatCode>General</c:formatCode>
                <c:ptCount val="16"/>
                <c:pt idx="0">
                  <c:v>23.47</c:v>
                </c:pt>
                <c:pt idx="1">
                  <c:v>23.54</c:v>
                </c:pt>
                <c:pt idx="2">
                  <c:v>23.68</c:v>
                </c:pt>
                <c:pt idx="3">
                  <c:v>23.555</c:v>
                </c:pt>
                <c:pt idx="4">
                  <c:v>23.675000000000001</c:v>
                </c:pt>
                <c:pt idx="5">
                  <c:v>23.615000000000002</c:v>
                </c:pt>
                <c:pt idx="6">
                  <c:v>23.5</c:v>
                </c:pt>
                <c:pt idx="7">
                  <c:v>23.564999999999998</c:v>
                </c:pt>
                <c:pt idx="8">
                  <c:v>23.6</c:v>
                </c:pt>
                <c:pt idx="9">
                  <c:v>23.685000000000002</c:v>
                </c:pt>
                <c:pt idx="10">
                  <c:v>23.594999999999999</c:v>
                </c:pt>
                <c:pt idx="11">
                  <c:v>23.689999999999998</c:v>
                </c:pt>
                <c:pt idx="12">
                  <c:v>23.5</c:v>
                </c:pt>
                <c:pt idx="13">
                  <c:v>23.5</c:v>
                </c:pt>
                <c:pt idx="14" formatCode="0.00">
                  <c:v>23.64</c:v>
                </c:pt>
                <c:pt idx="15">
                  <c:v>23.594999999999999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'T17-4'!$L$2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'T17-4'!$L$38:$L$53</c:f>
              <c:numCache>
                <c:formatCode>General</c:formatCode>
                <c:ptCount val="16"/>
                <c:pt idx="0">
                  <c:v>23.454999999999998</c:v>
                </c:pt>
                <c:pt idx="1">
                  <c:v>23.54</c:v>
                </c:pt>
                <c:pt idx="2">
                  <c:v>23.67</c:v>
                </c:pt>
                <c:pt idx="3">
                  <c:v>23.535</c:v>
                </c:pt>
                <c:pt idx="4">
                  <c:v>23.71</c:v>
                </c:pt>
                <c:pt idx="5">
                  <c:v>23.605</c:v>
                </c:pt>
                <c:pt idx="6">
                  <c:v>23.505000000000003</c:v>
                </c:pt>
                <c:pt idx="7">
                  <c:v>23.56</c:v>
                </c:pt>
                <c:pt idx="8">
                  <c:v>23.6</c:v>
                </c:pt>
                <c:pt idx="9">
                  <c:v>23.695</c:v>
                </c:pt>
                <c:pt idx="10">
                  <c:v>23.62</c:v>
                </c:pt>
                <c:pt idx="11">
                  <c:v>23.67</c:v>
                </c:pt>
                <c:pt idx="12">
                  <c:v>23.484999999999999</c:v>
                </c:pt>
                <c:pt idx="13">
                  <c:v>23.504999999999999</c:v>
                </c:pt>
                <c:pt idx="14" formatCode="0.00">
                  <c:v>23.64</c:v>
                </c:pt>
                <c:pt idx="15">
                  <c:v>23.615000000000002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'T17-4'!$D$2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'T17-4'!$C$3:$C$18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'T17-4'!$D$3:$D$18</c:f>
              <c:numCache>
                <c:formatCode>General</c:formatCode>
                <c:ptCount val="16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8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'T17-4'!$D$2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'T17-4'!$D$18:$D$34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7</c:v>
                </c:pt>
                <c:pt idx="9">
                  <c:v>3</c:v>
                </c:pt>
                <c:pt idx="10">
                  <c:v>9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4</c:v>
                </c:pt>
                <c:pt idx="15">
                  <c:v>2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4-4477-B060-3DD0087B6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'T17-4'!$M$2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'T17-4'!$M$38:$M$53</c:f>
              <c:numCache>
                <c:formatCode>General</c:formatCode>
                <c:ptCount val="16"/>
                <c:pt idx="0">
                  <c:v>1.5000000000000568E-2</c:v>
                </c:pt>
                <c:pt idx="1">
                  <c:v>0</c:v>
                </c:pt>
                <c:pt idx="2">
                  <c:v>9.9999999999980105E-3</c:v>
                </c:pt>
                <c:pt idx="3">
                  <c:v>1.9999999999999574E-2</c:v>
                </c:pt>
                <c:pt idx="4">
                  <c:v>-3.5000000000000142E-2</c:v>
                </c:pt>
                <c:pt idx="5">
                  <c:v>1.0000000000001563E-2</c:v>
                </c:pt>
                <c:pt idx="6">
                  <c:v>-5.000000000002558E-3</c:v>
                </c:pt>
                <c:pt idx="7">
                  <c:v>4.9999999999990052E-3</c:v>
                </c:pt>
                <c:pt idx="8">
                  <c:v>0</c:v>
                </c:pt>
                <c:pt idx="9">
                  <c:v>-9.9999999999980105E-3</c:v>
                </c:pt>
                <c:pt idx="10">
                  <c:v>-2.5000000000002132E-2</c:v>
                </c:pt>
                <c:pt idx="11">
                  <c:v>1.9999999999996021E-2</c:v>
                </c:pt>
                <c:pt idx="12">
                  <c:v>1.5000000000000568E-2</c:v>
                </c:pt>
                <c:pt idx="13">
                  <c:v>-4.9999999999990052E-3</c:v>
                </c:pt>
                <c:pt idx="14">
                  <c:v>0</c:v>
                </c:pt>
                <c:pt idx="15">
                  <c:v>-2.0000000000003126E-2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'T17-4'!$U$2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'T17-4'!$U$38:$U$53</c:f>
              <c:numCache>
                <c:formatCode>General</c:formatCode>
                <c:ptCount val="16"/>
                <c:pt idx="0">
                  <c:v>2.3312400000000122E-3</c:v>
                </c:pt>
                <c:pt idx="1">
                  <c:v>4.0550000000000169E-3</c:v>
                </c:pt>
                <c:pt idx="2">
                  <c:v>1.2612399999999968E-3</c:v>
                </c:pt>
                <c:pt idx="3">
                  <c:v>2.3526099999999911E-3</c:v>
                </c:pt>
                <c:pt idx="4">
                  <c:v>-1.812249999999932E-4</c:v>
                </c:pt>
                <c:pt idx="5">
                  <c:v>1.5968999999999983E-3</c:v>
                </c:pt>
                <c:pt idx="6">
                  <c:v>-2.1949599999999958E-3</c:v>
                </c:pt>
                <c:pt idx="7">
                  <c:v>-1.2946299999999911E-3</c:v>
                </c:pt>
                <c:pt idx="8">
                  <c:v>2.2843849999999999E-3</c:v>
                </c:pt>
                <c:pt idx="9">
                  <c:v>-4.1690000000010885E-5</c:v>
                </c:pt>
                <c:pt idx="10">
                  <c:v>-1.1771149999999925E-3</c:v>
                </c:pt>
                <c:pt idx="11">
                  <c:v>-2.9041399999999995E-3</c:v>
                </c:pt>
                <c:pt idx="12">
                  <c:v>-1.3893150000000021E-3</c:v>
                </c:pt>
                <c:pt idx="13">
                  <c:v>-1.0916799999999977E-3</c:v>
                </c:pt>
                <c:pt idx="14" formatCode="0.000000">
                  <c:v>3.9374499999999812E-3</c:v>
                </c:pt>
                <c:pt idx="15">
                  <c:v>-4.2397999999999048E-4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254-44AB-8B4B-95BEA426DCA2}"/>
            </c:ext>
          </c:extLst>
        </c:ser>
        <c:ser>
          <c:idx val="1"/>
          <c:order val="1"/>
          <c:tx>
            <c:strRef>
              <c:f>'T17-4'!$V$2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'T17-4'!$C$38:$C$53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'T17-4'!$V$38:$V$53</c:f>
              <c:numCache>
                <c:formatCode>General</c:formatCode>
                <c:ptCount val="16"/>
                <c:pt idx="0">
                  <c:v>-6.3748500000002095E-4</c:v>
                </c:pt>
                <c:pt idx="1">
                  <c:v>-1.3491649999999855E-3</c:v>
                </c:pt>
                <c:pt idx="2">
                  <c:v>2.1562999999999999E-3</c:v>
                </c:pt>
                <c:pt idx="3">
                  <c:v>1.3405900000000026E-3</c:v>
                </c:pt>
                <c:pt idx="4">
                  <c:v>4.1667000000000787E-4</c:v>
                </c:pt>
                <c:pt idx="5">
                  <c:v>7.280899999999868E-4</c:v>
                </c:pt>
                <c:pt idx="6">
                  <c:v>2.3950199999999977E-3</c:v>
                </c:pt>
                <c:pt idx="7">
                  <c:v>-4.232249999999993E-4</c:v>
                </c:pt>
                <c:pt idx="8">
                  <c:v>-2.5124999999999731E-3</c:v>
                </c:pt>
                <c:pt idx="9">
                  <c:v>-3.8191500000001044E-4</c:v>
                </c:pt>
                <c:pt idx="10">
                  <c:v>-3.3677299999999855E-3</c:v>
                </c:pt>
                <c:pt idx="11">
                  <c:v>-7.3228499999999919E-4</c:v>
                </c:pt>
                <c:pt idx="12">
                  <c:v>-3.9326500000003151E-4</c:v>
                </c:pt>
                <c:pt idx="13">
                  <c:v>-1.7698200000000053E-3</c:v>
                </c:pt>
                <c:pt idx="14" formatCode="0.000000">
                  <c:v>-8.875999999999884E-4</c:v>
                </c:pt>
                <c:pt idx="15">
                  <c:v>-1.3916799999999785E-3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254-44AB-8B4B-95BEA426D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605116</xdr:colOff>
      <xdr:row>55</xdr:row>
      <xdr:rowOff>1</xdr:rowOff>
    </xdr:from>
    <xdr:to>
      <xdr:col>25</xdr:col>
      <xdr:colOff>0</xdr:colOff>
      <xdr:row>84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</xdr:colOff>
      <xdr:row>24</xdr:row>
      <xdr:rowOff>1</xdr:rowOff>
    </xdr:from>
    <xdr:to>
      <xdr:col>25</xdr:col>
      <xdr:colOff>1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A8AC19-EB27-4D8A-B723-D96B2D6C7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R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44" ht="15.75" customHeight="1" x14ac:dyDescent="0.25">
      <c r="A1" s="78" t="s">
        <v>29</v>
      </c>
      <c r="B1" s="78"/>
      <c r="C1" s="78" t="s">
        <v>62</v>
      </c>
      <c r="D1" s="78"/>
      <c r="E1" s="78" t="s">
        <v>61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AC1" s="31" t="s">
        <v>53</v>
      </c>
      <c r="AD1" s="32"/>
      <c r="AE1" s="32"/>
      <c r="AF1" s="32"/>
      <c r="AG1" s="33"/>
    </row>
    <row r="2" spans="1:44" ht="15.7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AC2" s="34"/>
      <c r="AD2" s="35"/>
      <c r="AE2" s="35"/>
      <c r="AF2" s="35"/>
      <c r="AG2" s="36"/>
    </row>
    <row r="4" spans="1:44" x14ac:dyDescent="0.25">
      <c r="A4" s="77" t="s">
        <v>30</v>
      </c>
      <c r="B4" s="77"/>
      <c r="C4" s="77"/>
      <c r="D4" s="77"/>
      <c r="E4" s="77"/>
      <c r="F4" s="77"/>
      <c r="G4" s="41">
        <v>270</v>
      </c>
      <c r="H4" s="42"/>
      <c r="I4" s="2" t="s">
        <v>18</v>
      </c>
      <c r="K4" s="79" t="s">
        <v>45</v>
      </c>
      <c r="L4" s="79"/>
      <c r="M4" s="79"/>
      <c r="N4" s="79"/>
      <c r="O4" s="79"/>
      <c r="P4" s="79"/>
      <c r="R4" s="79" t="s">
        <v>46</v>
      </c>
      <c r="S4" s="79"/>
      <c r="T4" s="79"/>
      <c r="U4" s="79"/>
      <c r="V4" s="79"/>
      <c r="W4" s="79"/>
      <c r="X4" s="79"/>
      <c r="Y4" s="79"/>
      <c r="AC4" s="64"/>
      <c r="AD4" s="66"/>
      <c r="AE4" s="67" t="s">
        <v>59</v>
      </c>
      <c r="AF4" s="66"/>
      <c r="AG4" s="64"/>
    </row>
    <row r="5" spans="1:44" ht="15.75" customHeight="1" x14ac:dyDescent="0.25">
      <c r="A5" s="38" t="s">
        <v>31</v>
      </c>
      <c r="B5" s="39"/>
      <c r="C5" s="39"/>
      <c r="D5" s="39"/>
      <c r="E5" s="39"/>
      <c r="F5" s="40"/>
      <c r="G5" s="41">
        <v>0</v>
      </c>
      <c r="H5" s="42"/>
      <c r="I5" s="2" t="s">
        <v>18</v>
      </c>
      <c r="K5" s="50" t="s">
        <v>66</v>
      </c>
      <c r="L5" s="51"/>
      <c r="M5" s="51"/>
      <c r="N5" s="51"/>
      <c r="O5" s="51"/>
      <c r="P5" s="52"/>
      <c r="R5" s="80" t="s">
        <v>48</v>
      </c>
      <c r="S5" s="80"/>
      <c r="T5" s="80"/>
      <c r="U5" s="80"/>
      <c r="V5" s="80"/>
      <c r="W5" s="80"/>
      <c r="X5" s="80"/>
      <c r="Y5" s="80"/>
      <c r="AC5" s="64"/>
      <c r="AD5" s="66"/>
      <c r="AE5" s="67"/>
      <c r="AF5" s="66"/>
      <c r="AG5" s="64"/>
    </row>
    <row r="6" spans="1:44" x14ac:dyDescent="0.25">
      <c r="A6" s="77" t="s">
        <v>32</v>
      </c>
      <c r="B6" s="77"/>
      <c r="C6" s="77"/>
      <c r="D6" s="77"/>
      <c r="E6" s="77"/>
      <c r="F6" s="77"/>
      <c r="G6" s="76">
        <v>0</v>
      </c>
      <c r="H6" s="76"/>
      <c r="I6" s="2" t="s">
        <v>24</v>
      </c>
      <c r="K6" s="53"/>
      <c r="L6" s="54"/>
      <c r="M6" s="54"/>
      <c r="N6" s="54"/>
      <c r="O6" s="54"/>
      <c r="P6" s="55"/>
      <c r="R6" s="80"/>
      <c r="S6" s="80"/>
      <c r="T6" s="80"/>
      <c r="U6" s="80"/>
      <c r="V6" s="80"/>
      <c r="W6" s="80"/>
      <c r="X6" s="80"/>
      <c r="Y6" s="80"/>
      <c r="AC6" s="64"/>
      <c r="AD6" s="66"/>
      <c r="AE6" s="67"/>
      <c r="AF6" s="66"/>
      <c r="AG6" s="64"/>
    </row>
    <row r="7" spans="1:44" ht="15.75" customHeight="1" x14ac:dyDescent="0.25">
      <c r="A7" s="38" t="s">
        <v>52</v>
      </c>
      <c r="B7" s="39"/>
      <c r="C7" s="39"/>
      <c r="D7" s="39"/>
      <c r="E7" s="39"/>
      <c r="F7" s="40"/>
      <c r="G7" s="41" t="s">
        <v>60</v>
      </c>
      <c r="H7" s="42"/>
      <c r="I7" s="2"/>
      <c r="K7" s="53"/>
      <c r="L7" s="54"/>
      <c r="M7" s="54"/>
      <c r="N7" s="54"/>
      <c r="O7" s="54"/>
      <c r="P7" s="55"/>
      <c r="R7" s="80"/>
      <c r="S7" s="80"/>
      <c r="T7" s="80"/>
      <c r="U7" s="80"/>
      <c r="V7" s="80"/>
      <c r="W7" s="80"/>
      <c r="X7" s="80"/>
      <c r="Y7" s="80"/>
      <c r="AC7" s="63"/>
      <c r="AD7" s="86" t="s">
        <v>49</v>
      </c>
      <c r="AE7" s="86" t="s">
        <v>49</v>
      </c>
      <c r="AF7" s="86" t="s">
        <v>49</v>
      </c>
      <c r="AG7" s="62" t="s">
        <v>49</v>
      </c>
    </row>
    <row r="8" spans="1:44" x14ac:dyDescent="0.25">
      <c r="A8" s="77" t="s">
        <v>15</v>
      </c>
      <c r="B8" s="77"/>
      <c r="C8" s="77"/>
      <c r="D8" s="77"/>
      <c r="E8" s="77"/>
      <c r="F8" s="77"/>
      <c r="G8" s="81">
        <f>360/((23*60*60)+(56*60)+4.09)</f>
        <v>4.1780746480349299E-3</v>
      </c>
      <c r="H8" s="81"/>
      <c r="I8" s="2" t="s">
        <v>16</v>
      </c>
      <c r="K8" s="53"/>
      <c r="L8" s="54"/>
      <c r="M8" s="54"/>
      <c r="N8" s="54"/>
      <c r="O8" s="54"/>
      <c r="P8" s="55"/>
      <c r="R8" s="80"/>
      <c r="S8" s="80"/>
      <c r="T8" s="80"/>
      <c r="U8" s="80"/>
      <c r="V8" s="80"/>
      <c r="W8" s="80"/>
      <c r="X8" s="80"/>
      <c r="Y8" s="80"/>
      <c r="AC8" s="63"/>
      <c r="AD8" s="86"/>
      <c r="AE8" s="86"/>
      <c r="AF8" s="86"/>
      <c r="AG8" s="62"/>
    </row>
    <row r="9" spans="1:44" x14ac:dyDescent="0.25">
      <c r="A9" s="77" t="s">
        <v>17</v>
      </c>
      <c r="B9" s="77"/>
      <c r="C9" s="77"/>
      <c r="D9" s="77"/>
      <c r="E9" s="77"/>
      <c r="F9" s="77"/>
      <c r="G9" s="76">
        <v>49</v>
      </c>
      <c r="H9" s="76"/>
      <c r="I9" s="2" t="s">
        <v>18</v>
      </c>
      <c r="K9" s="53"/>
      <c r="L9" s="54"/>
      <c r="M9" s="54"/>
      <c r="N9" s="54"/>
      <c r="O9" s="54"/>
      <c r="P9" s="55"/>
      <c r="R9" s="80"/>
      <c r="S9" s="80"/>
      <c r="T9" s="80"/>
      <c r="U9" s="80"/>
      <c r="V9" s="80"/>
      <c r="W9" s="80"/>
      <c r="X9" s="80"/>
      <c r="Y9" s="80"/>
      <c r="AC9" s="63"/>
      <c r="AD9" s="86"/>
      <c r="AE9" s="86"/>
      <c r="AF9" s="86"/>
      <c r="AG9" s="62"/>
    </row>
    <row r="10" spans="1:44" ht="15.75" customHeight="1" x14ac:dyDescent="0.25">
      <c r="A10" s="71" t="s">
        <v>19</v>
      </c>
      <c r="B10" s="72"/>
      <c r="C10" s="72"/>
      <c r="D10" s="72"/>
      <c r="E10" s="72"/>
      <c r="F10" s="73"/>
      <c r="G10" s="74">
        <f>(COS(RADIANS(G9))*G8)</f>
        <v>2.7410635966396515E-3</v>
      </c>
      <c r="H10" s="75"/>
      <c r="I10" s="3" t="s">
        <v>16</v>
      </c>
      <c r="K10" s="53"/>
      <c r="L10" s="54"/>
      <c r="M10" s="54"/>
      <c r="N10" s="54"/>
      <c r="O10" s="54"/>
      <c r="P10" s="55"/>
      <c r="R10" s="13"/>
      <c r="S10" s="13"/>
      <c r="T10" s="13"/>
      <c r="U10" s="13"/>
      <c r="V10" s="13"/>
      <c r="W10" s="13"/>
      <c r="X10" s="13"/>
      <c r="Y10" s="13"/>
      <c r="AC10" s="68"/>
      <c r="AD10" s="69"/>
      <c r="AE10" s="70" t="s">
        <v>51</v>
      </c>
      <c r="AF10" s="69"/>
      <c r="AG10" s="37" t="s">
        <v>49</v>
      </c>
      <c r="AN10" s="22"/>
      <c r="AO10" s="22"/>
      <c r="AP10" s="23"/>
      <c r="AQ10" s="22"/>
      <c r="AR10" s="22"/>
    </row>
    <row r="11" spans="1:44" ht="15.75" customHeight="1" x14ac:dyDescent="0.25">
      <c r="A11" s="77" t="s">
        <v>33</v>
      </c>
      <c r="B11" s="77"/>
      <c r="C11" s="77"/>
      <c r="D11" s="77"/>
      <c r="E11" s="77"/>
      <c r="F11" s="77"/>
      <c r="G11" s="76">
        <v>22.5</v>
      </c>
      <c r="H11" s="76"/>
      <c r="I11" s="2" t="s">
        <v>18</v>
      </c>
      <c r="K11" s="53"/>
      <c r="L11" s="54"/>
      <c r="M11" s="54"/>
      <c r="N11" s="54"/>
      <c r="O11" s="54"/>
      <c r="P11" s="55"/>
      <c r="R11" s="13"/>
      <c r="S11" s="13"/>
      <c r="T11" s="13"/>
      <c r="U11" s="13"/>
      <c r="V11" s="13"/>
      <c r="W11" s="13"/>
      <c r="X11" s="13"/>
      <c r="Y11" s="13"/>
      <c r="AC11" s="68"/>
      <c r="AD11" s="69"/>
      <c r="AE11" s="70"/>
      <c r="AF11" s="69"/>
      <c r="AG11" s="37"/>
      <c r="AN11" s="22"/>
      <c r="AO11" s="22"/>
      <c r="AP11" s="23"/>
      <c r="AQ11" s="22"/>
      <c r="AR11" s="22"/>
    </row>
    <row r="12" spans="1:44" ht="15.75" customHeight="1" x14ac:dyDescent="0.25">
      <c r="A12" s="38" t="s">
        <v>34</v>
      </c>
      <c r="B12" s="39"/>
      <c r="C12" s="39"/>
      <c r="D12" s="39"/>
      <c r="E12" s="39"/>
      <c r="F12" s="40"/>
      <c r="G12" s="41">
        <f>360/G11</f>
        <v>16</v>
      </c>
      <c r="H12" s="42"/>
      <c r="I12" s="2"/>
      <c r="K12" s="53"/>
      <c r="L12" s="54"/>
      <c r="M12" s="54"/>
      <c r="N12" s="54"/>
      <c r="O12" s="54"/>
      <c r="P12" s="55"/>
      <c r="R12" s="8"/>
      <c r="S12" s="8"/>
      <c r="T12" s="8"/>
      <c r="U12" s="8"/>
      <c r="V12" s="8"/>
      <c r="W12" s="8"/>
      <c r="X12" s="8"/>
      <c r="Y12" s="8"/>
      <c r="AC12" s="68"/>
      <c r="AD12" s="69"/>
      <c r="AE12" s="70"/>
      <c r="AF12" s="69"/>
      <c r="AG12" s="37"/>
      <c r="AN12" s="22"/>
      <c r="AO12" s="22"/>
      <c r="AP12" s="23"/>
      <c r="AQ12" s="22"/>
      <c r="AR12" s="22"/>
    </row>
    <row r="13" spans="1:44" ht="15.75" customHeight="1" x14ac:dyDescent="0.25">
      <c r="A13" s="77" t="s">
        <v>20</v>
      </c>
      <c r="B13" s="77"/>
      <c r="C13" s="77"/>
      <c r="D13" s="77"/>
      <c r="E13" s="77"/>
      <c r="F13" s="77"/>
      <c r="G13" s="76" t="s">
        <v>47</v>
      </c>
      <c r="H13" s="76"/>
      <c r="I13" s="2"/>
      <c r="K13" s="53"/>
      <c r="L13" s="54"/>
      <c r="M13" s="54"/>
      <c r="N13" s="54"/>
      <c r="O13" s="54"/>
      <c r="P13" s="55"/>
      <c r="R13" s="82" t="s">
        <v>25</v>
      </c>
      <c r="S13" s="82"/>
      <c r="T13" s="82" t="s">
        <v>26</v>
      </c>
      <c r="U13" s="82"/>
      <c r="V13" s="82" t="s">
        <v>27</v>
      </c>
      <c r="W13" s="82"/>
      <c r="X13" s="82" t="s">
        <v>28</v>
      </c>
      <c r="Y13" s="82"/>
      <c r="AC13" s="49"/>
      <c r="AD13" s="43"/>
      <c r="AE13" s="43" t="s">
        <v>50</v>
      </c>
      <c r="AF13" s="43"/>
      <c r="AG13" s="37" t="s">
        <v>49</v>
      </c>
      <c r="AN13" s="22"/>
      <c r="AO13" s="22"/>
      <c r="AP13" s="22"/>
      <c r="AQ13" s="22"/>
      <c r="AR13" s="22"/>
    </row>
    <row r="14" spans="1:44" ht="15.75" customHeight="1" x14ac:dyDescent="0.25">
      <c r="A14" s="38" t="s">
        <v>21</v>
      </c>
      <c r="B14" s="39"/>
      <c r="C14" s="39"/>
      <c r="D14" s="39"/>
      <c r="E14" s="39"/>
      <c r="F14" s="40"/>
      <c r="G14" s="41">
        <v>150</v>
      </c>
      <c r="H14" s="42"/>
      <c r="I14" s="2"/>
      <c r="K14" s="53"/>
      <c r="L14" s="54"/>
      <c r="M14" s="54"/>
      <c r="N14" s="54"/>
      <c r="O14" s="54"/>
      <c r="P14" s="55"/>
      <c r="R14" s="82"/>
      <c r="S14" s="82"/>
      <c r="T14" s="82"/>
      <c r="U14" s="82"/>
      <c r="V14" s="82"/>
      <c r="W14" s="82"/>
      <c r="X14" s="82"/>
      <c r="Y14" s="82"/>
      <c r="AC14" s="49"/>
      <c r="AD14" s="44"/>
      <c r="AE14" s="44"/>
      <c r="AF14" s="44"/>
      <c r="AG14" s="37"/>
      <c r="AN14" s="22"/>
      <c r="AO14" s="22"/>
      <c r="AP14" s="22"/>
      <c r="AQ14" s="22"/>
      <c r="AR14" s="22"/>
    </row>
    <row r="15" spans="1:44" ht="15.75" customHeight="1" x14ac:dyDescent="0.25">
      <c r="A15" s="38" t="s">
        <v>22</v>
      </c>
      <c r="B15" s="39"/>
      <c r="C15" s="39"/>
      <c r="D15" s="39"/>
      <c r="E15" s="39"/>
      <c r="F15" s="40"/>
      <c r="G15" s="41">
        <v>200</v>
      </c>
      <c r="H15" s="42"/>
      <c r="I15" s="2"/>
      <c r="K15" s="53"/>
      <c r="L15" s="54"/>
      <c r="M15" s="54"/>
      <c r="N15" s="54"/>
      <c r="O15" s="54"/>
      <c r="P15" s="55"/>
      <c r="R15" s="82"/>
      <c r="S15" s="82"/>
      <c r="T15" s="82"/>
      <c r="U15" s="82"/>
      <c r="V15" s="82"/>
      <c r="W15" s="82"/>
      <c r="X15" s="82"/>
      <c r="Y15" s="82"/>
      <c r="AC15" s="49"/>
      <c r="AD15" s="45"/>
      <c r="AE15" s="45"/>
      <c r="AF15" s="45"/>
      <c r="AG15" s="37"/>
      <c r="AN15" s="22"/>
      <c r="AO15" s="22"/>
      <c r="AP15" s="22"/>
      <c r="AQ15" s="22"/>
      <c r="AR15" s="22"/>
    </row>
    <row r="16" spans="1:44" ht="15.75" customHeight="1" x14ac:dyDescent="0.25">
      <c r="A16" s="38" t="s">
        <v>23</v>
      </c>
      <c r="B16" s="39"/>
      <c r="C16" s="39"/>
      <c r="D16" s="39"/>
      <c r="E16" s="39"/>
      <c r="F16" s="40"/>
      <c r="G16" s="41">
        <v>50</v>
      </c>
      <c r="H16" s="42"/>
      <c r="I16" s="2"/>
      <c r="K16" s="53"/>
      <c r="L16" s="54"/>
      <c r="M16" s="54"/>
      <c r="N16" s="54"/>
      <c r="O16" s="54"/>
      <c r="P16" s="55"/>
      <c r="R16" s="82"/>
      <c r="S16" s="82"/>
      <c r="T16" s="82"/>
      <c r="U16" s="82"/>
      <c r="V16" s="82"/>
      <c r="W16" s="82"/>
      <c r="X16" s="82"/>
      <c r="Y16" s="82"/>
      <c r="AC16" s="49"/>
      <c r="AD16" s="46"/>
      <c r="AE16" s="43" t="s">
        <v>49</v>
      </c>
      <c r="AF16" s="43"/>
      <c r="AG16" s="37" t="s">
        <v>49</v>
      </c>
      <c r="AN16" s="22"/>
      <c r="AO16" s="19"/>
      <c r="AP16" s="22"/>
      <c r="AQ16" s="22"/>
      <c r="AR16" s="22"/>
    </row>
    <row r="17" spans="1:44" ht="15.75" customHeight="1" x14ac:dyDescent="0.25">
      <c r="A17" s="59" t="s">
        <v>36</v>
      </c>
      <c r="B17" s="60"/>
      <c r="C17" s="60"/>
      <c r="D17" s="60"/>
      <c r="E17" s="60"/>
      <c r="F17" s="61"/>
      <c r="G17" s="84">
        <v>400</v>
      </c>
      <c r="H17" s="85"/>
      <c r="I17" s="4" t="s">
        <v>18</v>
      </c>
      <c r="K17" s="53"/>
      <c r="L17" s="54"/>
      <c r="M17" s="54"/>
      <c r="N17" s="54"/>
      <c r="O17" s="54"/>
      <c r="P17" s="55"/>
      <c r="R17" s="83">
        <f>MIN('T17-4'!U3:U19)</f>
        <v>-3.1499600000000072E-3</v>
      </c>
      <c r="S17" s="83"/>
      <c r="T17" s="83">
        <f>MIN('T17-4'!V3:V19)</f>
        <v>-5.4937999999999931E-3</v>
      </c>
      <c r="U17" s="83"/>
      <c r="V17" s="83">
        <f>MAX('T17-4'!U3:U19)</f>
        <v>4.2500000000000038E-3</v>
      </c>
      <c r="W17" s="83"/>
      <c r="X17" s="83">
        <f>MAX('T17-4'!V3:V19)</f>
        <v>5.2500400000000114E-3</v>
      </c>
      <c r="Y17" s="83"/>
      <c r="AC17" s="49"/>
      <c r="AD17" s="47"/>
      <c r="AE17" s="44"/>
      <c r="AF17" s="44"/>
      <c r="AG17" s="37"/>
      <c r="AN17" s="22"/>
      <c r="AO17" s="19"/>
      <c r="AP17" s="22"/>
      <c r="AQ17" s="22"/>
      <c r="AR17" s="22"/>
    </row>
    <row r="18" spans="1:44" ht="15.75" customHeight="1" x14ac:dyDescent="0.25">
      <c r="A18" s="59" t="s">
        <v>35</v>
      </c>
      <c r="B18" s="60"/>
      <c r="C18" s="60"/>
      <c r="D18" s="60"/>
      <c r="E18" s="60"/>
      <c r="F18" s="61"/>
      <c r="G18" s="84">
        <f>G14*G15*2</f>
        <v>60000</v>
      </c>
      <c r="H18" s="85"/>
      <c r="I18" s="2"/>
      <c r="K18" s="56"/>
      <c r="L18" s="57"/>
      <c r="M18" s="57"/>
      <c r="N18" s="57"/>
      <c r="O18" s="57"/>
      <c r="P18" s="58"/>
      <c r="R18" s="83"/>
      <c r="S18" s="83"/>
      <c r="T18" s="83"/>
      <c r="U18" s="83"/>
      <c r="V18" s="83"/>
      <c r="W18" s="83"/>
      <c r="X18" s="83"/>
      <c r="Y18" s="83"/>
      <c r="AC18" s="49"/>
      <c r="AD18" s="48"/>
      <c r="AE18" s="45"/>
      <c r="AF18" s="45"/>
      <c r="AG18" s="37"/>
      <c r="AN18" s="22"/>
      <c r="AO18" s="19"/>
      <c r="AP18" s="22"/>
      <c r="AQ18" s="22"/>
      <c r="AR18" s="22"/>
    </row>
    <row r="19" spans="1:44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62"/>
      <c r="AD19" s="65" t="s">
        <v>49</v>
      </c>
      <c r="AE19" s="65" t="s">
        <v>49</v>
      </c>
      <c r="AF19" s="65" t="s">
        <v>49</v>
      </c>
      <c r="AG19" s="63" t="s">
        <v>49</v>
      </c>
      <c r="AN19" s="19"/>
      <c r="AO19" s="20"/>
      <c r="AP19" s="20"/>
      <c r="AQ19" s="20"/>
      <c r="AR19" s="21"/>
    </row>
    <row r="20" spans="1:44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62"/>
      <c r="AD20" s="65"/>
      <c r="AE20" s="65"/>
      <c r="AF20" s="65"/>
      <c r="AG20" s="63"/>
      <c r="AN20" s="19"/>
      <c r="AO20" s="20"/>
      <c r="AP20" s="20"/>
      <c r="AQ20" s="20"/>
      <c r="AR20" s="21"/>
    </row>
    <row r="21" spans="1:44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62"/>
      <c r="AD21" s="65"/>
      <c r="AE21" s="65"/>
      <c r="AF21" s="65"/>
      <c r="AG21" s="63"/>
      <c r="AN21" s="19"/>
      <c r="AO21" s="20"/>
      <c r="AP21" s="20"/>
      <c r="AQ21" s="20"/>
      <c r="AR21" s="21"/>
    </row>
    <row r="22" spans="1:44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3"/>
  <sheetViews>
    <sheetView topLeftCell="B1" workbookViewId="0">
      <selection activeCell="AC38" sqref="AC38:AD53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65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63</v>
      </c>
      <c r="C3" s="14">
        <v>0</v>
      </c>
      <c r="D3" s="14">
        <v>6</v>
      </c>
      <c r="E3" s="15">
        <v>-0.42506660000000002</v>
      </c>
      <c r="F3" s="15">
        <v>-0.42424163999999998</v>
      </c>
      <c r="G3" s="15">
        <v>-8.2498999999999995E-4</v>
      </c>
      <c r="H3" s="15">
        <v>0.67320009999999997</v>
      </c>
      <c r="I3" s="15">
        <v>0.67715000000000003</v>
      </c>
      <c r="J3" s="15">
        <v>-3.9499399999999999E-3</v>
      </c>
      <c r="K3" s="18">
        <v>23.41</v>
      </c>
      <c r="L3" s="18">
        <v>23.38</v>
      </c>
      <c r="M3" s="18">
        <v>0.03</v>
      </c>
      <c r="N3" s="15">
        <v>3.9267980000000001E-2</v>
      </c>
      <c r="O3" s="15">
        <v>4.2958580000000003E-2</v>
      </c>
      <c r="P3" s="15">
        <v>-3.6905900000000001E-3</v>
      </c>
      <c r="Q3" s="15">
        <v>-1.184204E-2</v>
      </c>
      <c r="R3" s="15">
        <v>2.3650310000000001E-2</v>
      </c>
      <c r="S3" s="15">
        <v>-3.5492349999999999E-2</v>
      </c>
      <c r="T3" s="14"/>
      <c r="U3" s="15">
        <f>(F3-E3)/2</f>
        <v>4.1248000000002061E-4</v>
      </c>
      <c r="V3" s="15">
        <f>(H3-I3)/2</f>
        <v>-1.9749500000000308E-3</v>
      </c>
      <c r="W3" s="15"/>
      <c r="X3" s="15"/>
      <c r="Y3" s="16">
        <f t="shared" ref="Y3:Y34" si="0">N3</f>
        <v>3.9267980000000001E-2</v>
      </c>
      <c r="Z3" s="16">
        <f t="shared" ref="Z3:Z34" si="1">Q3</f>
        <v>-1.184204E-2</v>
      </c>
      <c r="AA3" s="16">
        <f t="shared" ref="AA3:AA34" si="2">O3</f>
        <v>4.2958580000000003E-2</v>
      </c>
      <c r="AB3" s="16">
        <f t="shared" ref="AB3:AB34" si="3">R3</f>
        <v>2.3650310000000001E-2</v>
      </c>
      <c r="AC3" s="17">
        <f>IF(Y3="","",DEGREES(ASIN(SQRT(Y3^2+Z3^2))))</f>
        <v>2.3506303440843785</v>
      </c>
      <c r="AD3" s="17">
        <f>IF(AA3="","",DEGREES(ASIN(SQRT(AA3^2+AB3^2))))</f>
        <v>2.8108277509592061</v>
      </c>
      <c r="AE3" s="17">
        <f>IF(Y3="","",MOD(DEGREES(ATAN2(Y3,Z3)),360))</f>
        <v>343.21827084417839</v>
      </c>
      <c r="AF3" s="17">
        <f t="shared" ref="AF3:AF34" si="4">IF(Y3="","",MOD(F3+AE3,360))</f>
        <v>342.7940292041784</v>
      </c>
    </row>
    <row r="4" spans="1:32" x14ac:dyDescent="0.25">
      <c r="A4" s="14">
        <v>2</v>
      </c>
      <c r="B4" s="14" t="s">
        <v>63</v>
      </c>
      <c r="C4" s="14">
        <v>22.5</v>
      </c>
      <c r="D4" s="14">
        <v>3</v>
      </c>
      <c r="E4" s="15">
        <v>-0.42528332000000002</v>
      </c>
      <c r="F4" s="15">
        <v>-0.42098331999999999</v>
      </c>
      <c r="G4" s="15">
        <v>-4.3E-3</v>
      </c>
      <c r="H4" s="15">
        <v>0.67101664000000005</v>
      </c>
      <c r="I4" s="15">
        <v>0.67308330000000005</v>
      </c>
      <c r="J4" s="15">
        <v>-2.0666700000000001E-3</v>
      </c>
      <c r="K4" s="18">
        <v>23.38</v>
      </c>
      <c r="L4" s="18">
        <v>23.37</v>
      </c>
      <c r="M4" s="18">
        <v>0.01</v>
      </c>
      <c r="N4" s="15">
        <v>3.3130699999999999E-2</v>
      </c>
      <c r="O4" s="15">
        <v>5.0578610000000003E-2</v>
      </c>
      <c r="P4" s="15">
        <v>-1.7447919999999999E-2</v>
      </c>
      <c r="Q4" s="15">
        <v>-1.0065920000000001E-2</v>
      </c>
      <c r="R4" s="15">
        <v>2.1180830000000001E-2</v>
      </c>
      <c r="S4" s="15">
        <v>-3.124675E-2</v>
      </c>
      <c r="T4" s="14"/>
      <c r="U4" s="15">
        <f t="shared" ref="U4:U34" si="5">(F4-E4)/2</f>
        <v>2.150000000000013E-3</v>
      </c>
      <c r="V4" s="15">
        <f t="shared" ref="V4:V34" si="6">(H4-I4)/2</f>
        <v>-1.033329999999999E-3</v>
      </c>
      <c r="W4" s="15"/>
      <c r="X4" s="15"/>
      <c r="Y4" s="16">
        <f t="shared" si="0"/>
        <v>3.3130699999999999E-2</v>
      </c>
      <c r="Z4" s="16">
        <f t="shared" si="1"/>
        <v>-1.0065920000000001E-2</v>
      </c>
      <c r="AA4" s="16">
        <f t="shared" si="2"/>
        <v>5.0578610000000003E-2</v>
      </c>
      <c r="AB4" s="16">
        <f t="shared" si="3"/>
        <v>2.1180830000000001E-2</v>
      </c>
      <c r="AC4" s="17">
        <f t="shared" ref="AC4:AC19" si="7">IF(Y4="","",DEGREES(ASIN(SQRT(Y4^2+Z4^2))))</f>
        <v>1.984325409140667</v>
      </c>
      <c r="AD4" s="17">
        <f t="shared" ref="AD4:AD19" si="8">IF(AA4="","",DEGREES(ASIN(SQRT(AA4^2+AB4^2))))</f>
        <v>3.1433625226754063</v>
      </c>
      <c r="AE4" s="17">
        <f t="shared" ref="AE4:AE19" si="9">IF(Y4="","",MOD(DEGREES(ATAN2(Y4,Z4)),360))</f>
        <v>343.09993078955068</v>
      </c>
      <c r="AF4" s="17">
        <f t="shared" si="4"/>
        <v>342.67894746955068</v>
      </c>
    </row>
    <row r="5" spans="1:32" x14ac:dyDescent="0.25">
      <c r="A5" s="14">
        <v>3</v>
      </c>
      <c r="B5" s="14" t="s">
        <v>63</v>
      </c>
      <c r="C5" s="14">
        <v>45</v>
      </c>
      <c r="D5" s="14">
        <v>4</v>
      </c>
      <c r="E5" s="15">
        <v>-0.42936239999999998</v>
      </c>
      <c r="F5" s="15">
        <v>-0.42973748000000001</v>
      </c>
      <c r="G5" s="15">
        <v>3.7505999999999998E-4</v>
      </c>
      <c r="H5" s="15">
        <v>0.66131260000000003</v>
      </c>
      <c r="I5" s="15">
        <v>0.65458740000000004</v>
      </c>
      <c r="J5" s="15">
        <v>6.7251899999999998E-3</v>
      </c>
      <c r="K5" s="18">
        <v>23.7</v>
      </c>
      <c r="L5" s="18">
        <v>23.67</v>
      </c>
      <c r="M5" s="18">
        <v>0.03</v>
      </c>
      <c r="N5" s="15">
        <v>2.739929E-2</v>
      </c>
      <c r="O5" s="15">
        <v>5.49585E-2</v>
      </c>
      <c r="P5" s="15">
        <v>-2.7559210000000001E-2</v>
      </c>
      <c r="Q5" s="15">
        <v>-5.64819E-3</v>
      </c>
      <c r="R5" s="15">
        <v>1.666931E-2</v>
      </c>
      <c r="S5" s="15">
        <v>-2.2317500000000001E-2</v>
      </c>
      <c r="T5" s="14"/>
      <c r="U5" s="15">
        <f t="shared" si="5"/>
        <v>-1.8754000000001381E-4</v>
      </c>
      <c r="V5" s="15">
        <f t="shared" si="6"/>
        <v>3.3625999999999934E-3</v>
      </c>
      <c r="W5" s="15"/>
      <c r="X5" s="15"/>
      <c r="Y5" s="16">
        <f t="shared" si="0"/>
        <v>2.739929E-2</v>
      </c>
      <c r="Z5" s="16">
        <f t="shared" si="1"/>
        <v>-5.64819E-3</v>
      </c>
      <c r="AA5" s="16">
        <f t="shared" si="2"/>
        <v>5.49585E-2</v>
      </c>
      <c r="AB5" s="16">
        <f t="shared" si="3"/>
        <v>1.666931E-2</v>
      </c>
      <c r="AC5" s="17">
        <f t="shared" si="7"/>
        <v>1.6030816389692402</v>
      </c>
      <c r="AD5" s="17">
        <f t="shared" si="8"/>
        <v>3.2923569210845747</v>
      </c>
      <c r="AE5" s="17">
        <f t="shared" si="9"/>
        <v>348.35200360596662</v>
      </c>
      <c r="AF5" s="17">
        <f t="shared" si="4"/>
        <v>347.92226612596664</v>
      </c>
    </row>
    <row r="6" spans="1:32" x14ac:dyDescent="0.25">
      <c r="A6" s="14">
        <v>4</v>
      </c>
      <c r="B6" s="14" t="s">
        <v>63</v>
      </c>
      <c r="C6" s="14">
        <v>67.5</v>
      </c>
      <c r="D6" s="14">
        <v>6</v>
      </c>
      <c r="E6" s="15">
        <v>-0.42870829999999999</v>
      </c>
      <c r="F6" s="15">
        <v>-0.42201660000000002</v>
      </c>
      <c r="G6" s="15">
        <v>-6.6916900000000001E-3</v>
      </c>
      <c r="H6" s="15">
        <v>0.66478324</v>
      </c>
      <c r="I6" s="15">
        <v>0.65968340000000003</v>
      </c>
      <c r="J6" s="15">
        <v>5.0998299999999996E-3</v>
      </c>
      <c r="K6" s="18">
        <v>23.63</v>
      </c>
      <c r="L6" s="18">
        <v>23.59</v>
      </c>
      <c r="M6" s="18">
        <v>0.03</v>
      </c>
      <c r="N6" s="15">
        <v>2.4696450000000002E-2</v>
      </c>
      <c r="O6" s="15">
        <v>5.7923580000000002E-2</v>
      </c>
      <c r="P6" s="15">
        <v>-3.3227130000000001E-2</v>
      </c>
      <c r="Q6" s="15">
        <v>4.9397999999999998E-4</v>
      </c>
      <c r="R6" s="15">
        <v>1.150635E-2</v>
      </c>
      <c r="S6" s="15">
        <v>-1.101237E-2</v>
      </c>
      <c r="T6" s="14"/>
      <c r="U6" s="15">
        <f t="shared" si="5"/>
        <v>3.3458499999999836E-3</v>
      </c>
      <c r="V6" s="15">
        <f t="shared" si="6"/>
        <v>2.5499199999999833E-3</v>
      </c>
      <c r="W6" s="15"/>
      <c r="X6" s="15"/>
      <c r="Y6" s="16">
        <f t="shared" si="0"/>
        <v>2.4696450000000002E-2</v>
      </c>
      <c r="Z6" s="16">
        <f t="shared" si="1"/>
        <v>4.9397999999999998E-4</v>
      </c>
      <c r="AA6" s="16">
        <f t="shared" si="2"/>
        <v>5.7923580000000002E-2</v>
      </c>
      <c r="AB6" s="16">
        <f t="shared" si="3"/>
        <v>1.150635E-2</v>
      </c>
      <c r="AC6" s="17">
        <f t="shared" si="7"/>
        <v>1.4154293488692955</v>
      </c>
      <c r="AD6" s="17">
        <f t="shared" si="8"/>
        <v>3.3855935389002156</v>
      </c>
      <c r="AE6" s="17">
        <f t="shared" si="9"/>
        <v>1.1458811108931668</v>
      </c>
      <c r="AF6" s="17">
        <f t="shared" si="4"/>
        <v>0.72386451089316672</v>
      </c>
    </row>
    <row r="7" spans="1:32" x14ac:dyDescent="0.25">
      <c r="A7" s="14">
        <v>5</v>
      </c>
      <c r="B7" s="14" t="s">
        <v>63</v>
      </c>
      <c r="C7" s="14">
        <v>90</v>
      </c>
      <c r="D7" s="14">
        <v>3</v>
      </c>
      <c r="E7" s="15">
        <v>-0.42191669999999998</v>
      </c>
      <c r="F7" s="15">
        <v>-0.42211663999999999</v>
      </c>
      <c r="G7" s="15">
        <v>1.9994000000000001E-4</v>
      </c>
      <c r="H7" s="15">
        <v>0.65514992000000005</v>
      </c>
      <c r="I7" s="15">
        <v>0.64873323999999999</v>
      </c>
      <c r="J7" s="15">
        <v>6.4166800000000001E-3</v>
      </c>
      <c r="K7" s="18">
        <v>23.68</v>
      </c>
      <c r="L7" s="18">
        <v>23.72</v>
      </c>
      <c r="M7" s="18">
        <v>-0.03</v>
      </c>
      <c r="N7" s="15">
        <v>2.4135739999999999E-2</v>
      </c>
      <c r="O7" s="15">
        <v>5.8972980000000001E-2</v>
      </c>
      <c r="P7" s="15">
        <v>-3.483725E-2</v>
      </c>
      <c r="Q7" s="15">
        <v>7.7677400000000004E-3</v>
      </c>
      <c r="R7" s="15">
        <v>3.1876600000000001E-3</v>
      </c>
      <c r="S7" s="15">
        <v>4.5800800000000003E-3</v>
      </c>
      <c r="T7" s="14"/>
      <c r="U7" s="15">
        <f t="shared" si="5"/>
        <v>-9.9970000000004777E-5</v>
      </c>
      <c r="V7" s="15">
        <f t="shared" si="6"/>
        <v>3.2083400000000317E-3</v>
      </c>
      <c r="W7" s="15"/>
      <c r="X7" s="15"/>
      <c r="Y7" s="16">
        <f t="shared" si="0"/>
        <v>2.4135739999999999E-2</v>
      </c>
      <c r="Z7" s="16">
        <f t="shared" si="1"/>
        <v>7.7677400000000004E-3</v>
      </c>
      <c r="AA7" s="16">
        <f t="shared" si="2"/>
        <v>5.8972980000000001E-2</v>
      </c>
      <c r="AB7" s="16">
        <f t="shared" si="3"/>
        <v>3.1876600000000001E-3</v>
      </c>
      <c r="AC7" s="17">
        <f t="shared" si="7"/>
        <v>1.4528853349930424</v>
      </c>
      <c r="AD7" s="17">
        <f t="shared" si="8"/>
        <v>3.3858055699051568</v>
      </c>
      <c r="AE7" s="17">
        <f t="shared" si="9"/>
        <v>17.840022824980267</v>
      </c>
      <c r="AF7" s="17">
        <f t="shared" si="4"/>
        <v>17.417906184980268</v>
      </c>
    </row>
    <row r="8" spans="1:32" x14ac:dyDescent="0.25">
      <c r="A8" s="14">
        <v>6</v>
      </c>
      <c r="B8" s="14" t="s">
        <v>63</v>
      </c>
      <c r="C8" s="14">
        <v>112.5</v>
      </c>
      <c r="D8" s="14">
        <v>8</v>
      </c>
      <c r="E8" s="15">
        <v>-0.42468748000000001</v>
      </c>
      <c r="F8" s="15">
        <v>-0.42169995999999998</v>
      </c>
      <c r="G8" s="15">
        <v>-2.9875000000000001E-3</v>
      </c>
      <c r="H8" s="15">
        <v>0.66774992</v>
      </c>
      <c r="I8" s="15">
        <v>0.66118748000000005</v>
      </c>
      <c r="J8" s="15">
        <v>6.5624699999999999E-3</v>
      </c>
      <c r="K8" s="18">
        <v>23.57</v>
      </c>
      <c r="L8" s="18">
        <v>23.57</v>
      </c>
      <c r="M8" s="18">
        <v>0.01</v>
      </c>
      <c r="N8" s="15">
        <v>2.5814210000000001E-2</v>
      </c>
      <c r="O8" s="15">
        <v>5.7227479999999997E-2</v>
      </c>
      <c r="P8" s="15">
        <v>-3.141327E-2</v>
      </c>
      <c r="Q8" s="15">
        <v>1.4088750000000001E-2</v>
      </c>
      <c r="R8" s="15">
        <v>-2.6336699999999998E-3</v>
      </c>
      <c r="S8" s="15">
        <v>1.672241E-2</v>
      </c>
      <c r="T8" s="14"/>
      <c r="U8" s="15">
        <f t="shared" si="5"/>
        <v>1.4937600000000106E-3</v>
      </c>
      <c r="V8" s="15">
        <f t="shared" si="6"/>
        <v>3.2812199999999736E-3</v>
      </c>
      <c r="W8" s="15"/>
      <c r="X8" s="15"/>
      <c r="Y8" s="16">
        <f t="shared" si="0"/>
        <v>2.5814210000000001E-2</v>
      </c>
      <c r="Z8" s="16">
        <f t="shared" si="1"/>
        <v>1.4088750000000001E-2</v>
      </c>
      <c r="AA8" s="16">
        <f t="shared" si="2"/>
        <v>5.7227479999999997E-2</v>
      </c>
      <c r="AB8" s="16">
        <f t="shared" si="3"/>
        <v>-2.6336699999999998E-3</v>
      </c>
      <c r="AC8" s="17">
        <f t="shared" si="7"/>
        <v>1.6852321837259308</v>
      </c>
      <c r="AD8" s="17">
        <f t="shared" si="8"/>
        <v>3.2841615537487563</v>
      </c>
      <c r="AE8" s="17">
        <f t="shared" si="9"/>
        <v>28.62460756606546</v>
      </c>
      <c r="AF8" s="17">
        <f t="shared" si="4"/>
        <v>28.202907606065459</v>
      </c>
    </row>
    <row r="9" spans="1:32" x14ac:dyDescent="0.25">
      <c r="A9" s="14">
        <v>7</v>
      </c>
      <c r="B9" s="14" t="s">
        <v>63</v>
      </c>
      <c r="C9" s="14">
        <v>135</v>
      </c>
      <c r="D9" s="14">
        <v>5</v>
      </c>
      <c r="E9" s="15">
        <v>-0.41647003999999999</v>
      </c>
      <c r="F9" s="15">
        <v>-0.42276996</v>
      </c>
      <c r="G9" s="15">
        <v>6.2999099999999997E-3</v>
      </c>
      <c r="H9" s="15">
        <v>0.66541004000000004</v>
      </c>
      <c r="I9" s="15">
        <v>0.65490996000000001</v>
      </c>
      <c r="J9" s="15">
        <v>1.050007E-2</v>
      </c>
      <c r="K9" s="18">
        <v>23.64</v>
      </c>
      <c r="L9" s="18">
        <v>23.64</v>
      </c>
      <c r="M9" s="18">
        <v>0</v>
      </c>
      <c r="N9" s="15">
        <v>2.9745600000000001E-2</v>
      </c>
      <c r="O9" s="15">
        <v>5.2829099999999997E-2</v>
      </c>
      <c r="P9" s="15">
        <v>-2.3083490000000002E-2</v>
      </c>
      <c r="Q9" s="15">
        <v>1.9335450000000001E-2</v>
      </c>
      <c r="R9" s="15">
        <v>-8.0478500000000005E-3</v>
      </c>
      <c r="S9" s="15">
        <v>2.7383299999999999E-2</v>
      </c>
      <c r="T9" s="14"/>
      <c r="U9" s="15">
        <f t="shared" si="5"/>
        <v>-3.1499600000000072E-3</v>
      </c>
      <c r="V9" s="15">
        <f t="shared" si="6"/>
        <v>5.2500400000000114E-3</v>
      </c>
      <c r="W9" s="15"/>
      <c r="X9" s="15"/>
      <c r="Y9" s="16">
        <f t="shared" si="0"/>
        <v>2.9745600000000001E-2</v>
      </c>
      <c r="Z9" s="16">
        <f t="shared" si="1"/>
        <v>1.9335450000000001E-2</v>
      </c>
      <c r="AA9" s="16">
        <f t="shared" si="2"/>
        <v>5.2829099999999997E-2</v>
      </c>
      <c r="AB9" s="16">
        <f t="shared" si="3"/>
        <v>-8.0478500000000005E-3</v>
      </c>
      <c r="AC9" s="17">
        <f t="shared" si="7"/>
        <v>2.0331436029301653</v>
      </c>
      <c r="AD9" s="17">
        <f t="shared" si="8"/>
        <v>3.0632641568805932</v>
      </c>
      <c r="AE9" s="17">
        <f t="shared" si="9"/>
        <v>33.024964355283956</v>
      </c>
      <c r="AF9" s="17">
        <f t="shared" si="4"/>
        <v>32.602194395283959</v>
      </c>
    </row>
    <row r="10" spans="1:32" x14ac:dyDescent="0.25">
      <c r="A10" s="14">
        <v>8</v>
      </c>
      <c r="B10" s="14" t="s">
        <v>63</v>
      </c>
      <c r="C10" s="14">
        <v>157.5</v>
      </c>
      <c r="D10" s="14">
        <v>7</v>
      </c>
      <c r="E10" s="15">
        <v>-0.41955712000000001</v>
      </c>
      <c r="F10" s="15">
        <v>-0.42028571999999997</v>
      </c>
      <c r="G10" s="15">
        <v>7.2860999999999998E-4</v>
      </c>
      <c r="H10" s="15">
        <v>0.66661420000000005</v>
      </c>
      <c r="I10" s="15">
        <v>0.66600716000000004</v>
      </c>
      <c r="J10" s="15">
        <v>6.0700999999999995E-4</v>
      </c>
      <c r="K10" s="18">
        <v>23.54</v>
      </c>
      <c r="L10" s="18">
        <v>23.54</v>
      </c>
      <c r="M10" s="18">
        <v>0</v>
      </c>
      <c r="N10" s="15">
        <v>3.6680039999999997E-2</v>
      </c>
      <c r="O10" s="15">
        <v>4.6845350000000001E-2</v>
      </c>
      <c r="P10" s="15">
        <v>-1.016532E-2</v>
      </c>
      <c r="Q10" s="15">
        <v>2.2897600000000001E-2</v>
      </c>
      <c r="R10" s="15">
        <v>-1.156424E-2</v>
      </c>
      <c r="S10" s="15">
        <v>3.4461840000000001E-2</v>
      </c>
      <c r="T10" s="14"/>
      <c r="U10" s="15">
        <f t="shared" si="5"/>
        <v>-3.6429999999998408E-4</v>
      </c>
      <c r="V10" s="15">
        <f t="shared" si="6"/>
        <v>3.0352000000000157E-4</v>
      </c>
      <c r="W10" s="15"/>
      <c r="X10" s="15"/>
      <c r="Y10" s="16">
        <f t="shared" si="0"/>
        <v>3.6680039999999997E-2</v>
      </c>
      <c r="Z10" s="16">
        <f t="shared" si="1"/>
        <v>2.2897600000000001E-2</v>
      </c>
      <c r="AA10" s="16">
        <f t="shared" si="2"/>
        <v>4.6845350000000001E-2</v>
      </c>
      <c r="AB10" s="16">
        <f t="shared" si="3"/>
        <v>-1.156424E-2</v>
      </c>
      <c r="AC10" s="17">
        <f t="shared" si="7"/>
        <v>2.4782606251552002</v>
      </c>
      <c r="AD10" s="17">
        <f t="shared" si="8"/>
        <v>2.7656878578321664</v>
      </c>
      <c r="AE10" s="17">
        <f t="shared" si="9"/>
        <v>31.974567272545961</v>
      </c>
      <c r="AF10" s="17">
        <f t="shared" si="4"/>
        <v>31.554281552545962</v>
      </c>
    </row>
    <row r="11" spans="1:32" x14ac:dyDescent="0.25">
      <c r="A11" s="14">
        <v>9</v>
      </c>
      <c r="B11" s="14" t="s">
        <v>63</v>
      </c>
      <c r="C11" s="14">
        <v>180</v>
      </c>
      <c r="D11" s="14">
        <v>4</v>
      </c>
      <c r="E11" s="15">
        <v>-0.4271375</v>
      </c>
      <c r="F11" s="15">
        <v>-0.42399996000000001</v>
      </c>
      <c r="G11" s="15">
        <v>-3.1375299999999999E-3</v>
      </c>
      <c r="H11" s="15">
        <v>0.67140010000000006</v>
      </c>
      <c r="I11" s="15">
        <v>0.67649999999999999</v>
      </c>
      <c r="J11" s="15">
        <v>-5.0998900000000002E-3</v>
      </c>
      <c r="K11" s="18">
        <v>23.47</v>
      </c>
      <c r="L11" s="18">
        <v>23.48</v>
      </c>
      <c r="M11" s="18">
        <v>-0.01</v>
      </c>
      <c r="N11" s="15">
        <v>4.201477E-2</v>
      </c>
      <c r="O11" s="15">
        <v>4.0812380000000002E-2</v>
      </c>
      <c r="P11" s="15">
        <v>1.20239E-3</v>
      </c>
      <c r="Q11" s="15">
        <v>2.3569949999999999E-2</v>
      </c>
      <c r="R11" s="15">
        <v>-1.2335209999999999E-2</v>
      </c>
      <c r="S11" s="15">
        <v>3.5905149999999997E-2</v>
      </c>
      <c r="T11" s="14"/>
      <c r="U11" s="15">
        <f t="shared" si="5"/>
        <v>1.5687699999999971E-3</v>
      </c>
      <c r="V11" s="15">
        <f t="shared" si="6"/>
        <v>-2.5499499999999675E-3</v>
      </c>
      <c r="W11" s="15"/>
      <c r="X11" s="15"/>
      <c r="Y11" s="16">
        <f t="shared" si="0"/>
        <v>4.201477E-2</v>
      </c>
      <c r="Z11" s="16">
        <f t="shared" si="1"/>
        <v>2.3569949999999999E-2</v>
      </c>
      <c r="AA11" s="16">
        <f t="shared" si="2"/>
        <v>4.0812380000000002E-2</v>
      </c>
      <c r="AB11" s="16">
        <f t="shared" si="3"/>
        <v>-1.2335209999999999E-2</v>
      </c>
      <c r="AC11" s="17">
        <f t="shared" si="7"/>
        <v>2.7612648721865218</v>
      </c>
      <c r="AD11" s="17">
        <f t="shared" si="8"/>
        <v>2.4435896381311411</v>
      </c>
      <c r="AE11" s="17">
        <f t="shared" si="9"/>
        <v>29.292076624338318</v>
      </c>
      <c r="AF11" s="17">
        <f t="shared" si="4"/>
        <v>28.868076664338318</v>
      </c>
    </row>
    <row r="12" spans="1:32" x14ac:dyDescent="0.25">
      <c r="A12" s="14">
        <v>10</v>
      </c>
      <c r="B12" s="14" t="s">
        <v>63</v>
      </c>
      <c r="C12" s="14">
        <v>202.5</v>
      </c>
      <c r="D12" s="14">
        <v>3</v>
      </c>
      <c r="E12" s="15">
        <v>-0.42256655999999998</v>
      </c>
      <c r="F12" s="15">
        <v>-0.42323327999999999</v>
      </c>
      <c r="G12" s="15">
        <v>6.6671000000000005E-4</v>
      </c>
      <c r="H12" s="15">
        <v>0.65015000000000001</v>
      </c>
      <c r="I12" s="15">
        <v>0.65051656000000002</v>
      </c>
      <c r="J12" s="15">
        <v>-3.6656999999999998E-4</v>
      </c>
      <c r="K12" s="18">
        <v>23.69</v>
      </c>
      <c r="L12" s="18">
        <v>23.72</v>
      </c>
      <c r="M12" s="18">
        <v>-0.03</v>
      </c>
      <c r="N12" s="15">
        <v>5.0030110000000003E-2</v>
      </c>
      <c r="O12" s="15">
        <v>3.3155110000000002E-2</v>
      </c>
      <c r="P12" s="15">
        <v>1.6875000000000001E-2</v>
      </c>
      <c r="Q12" s="15">
        <v>2.1132809999999998E-2</v>
      </c>
      <c r="R12" s="15">
        <v>-1.019694E-2</v>
      </c>
      <c r="S12" s="15">
        <v>3.1329750000000003E-2</v>
      </c>
      <c r="T12" s="14"/>
      <c r="U12" s="15">
        <f t="shared" si="5"/>
        <v>-3.3336000000000476E-4</v>
      </c>
      <c r="V12" s="15">
        <f t="shared" si="6"/>
        <v>-1.8328000000000788E-4</v>
      </c>
      <c r="W12" s="15"/>
      <c r="X12" s="15"/>
      <c r="Y12" s="16">
        <f t="shared" si="0"/>
        <v>5.0030110000000003E-2</v>
      </c>
      <c r="Z12" s="16">
        <f t="shared" si="1"/>
        <v>2.1132809999999998E-2</v>
      </c>
      <c r="AA12" s="16">
        <f t="shared" si="2"/>
        <v>3.3155110000000002E-2</v>
      </c>
      <c r="AB12" s="16">
        <f t="shared" si="3"/>
        <v>-1.019694E-2</v>
      </c>
      <c r="AC12" s="17">
        <f t="shared" si="7"/>
        <v>3.1132821572317502</v>
      </c>
      <c r="AD12" s="17">
        <f t="shared" si="8"/>
        <v>1.9878595519632514</v>
      </c>
      <c r="AE12" s="17">
        <f t="shared" si="9"/>
        <v>22.89928485779593</v>
      </c>
      <c r="AF12" s="17">
        <f t="shared" si="4"/>
        <v>22.476051577795928</v>
      </c>
    </row>
    <row r="13" spans="1:32" x14ac:dyDescent="0.25">
      <c r="A13" s="14">
        <v>11</v>
      </c>
      <c r="B13" s="14" t="s">
        <v>63</v>
      </c>
      <c r="C13" s="14">
        <v>225</v>
      </c>
      <c r="D13" s="14">
        <v>4</v>
      </c>
      <c r="E13" s="15">
        <v>-0.42518744000000003</v>
      </c>
      <c r="F13" s="15">
        <v>-0.42271249999999999</v>
      </c>
      <c r="G13" s="15">
        <v>-2.4749300000000002E-3</v>
      </c>
      <c r="H13" s="15">
        <v>0.65529990000000005</v>
      </c>
      <c r="I13" s="15">
        <v>0.66628750000000003</v>
      </c>
      <c r="J13" s="15">
        <v>-1.098758E-2</v>
      </c>
      <c r="K13" s="18">
        <v>23.59</v>
      </c>
      <c r="L13" s="18">
        <v>23.62</v>
      </c>
      <c r="M13" s="18">
        <v>-0.03</v>
      </c>
      <c r="N13" s="15">
        <v>5.451599E-2</v>
      </c>
      <c r="O13" s="15">
        <v>2.814026E-2</v>
      </c>
      <c r="P13" s="15">
        <v>2.637573E-2</v>
      </c>
      <c r="Q13" s="15">
        <v>1.7053220000000001E-2</v>
      </c>
      <c r="R13" s="15">
        <v>-5.8654800000000002E-3</v>
      </c>
      <c r="S13" s="15">
        <v>2.29187E-2</v>
      </c>
      <c r="T13" s="14"/>
      <c r="U13" s="15">
        <f t="shared" si="5"/>
        <v>1.2374700000000183E-3</v>
      </c>
      <c r="V13" s="15">
        <f t="shared" si="6"/>
        <v>-5.4937999999999931E-3</v>
      </c>
      <c r="W13" s="15"/>
      <c r="X13" s="15"/>
      <c r="Y13" s="16">
        <f t="shared" si="0"/>
        <v>5.451599E-2</v>
      </c>
      <c r="Z13" s="16">
        <f t="shared" si="1"/>
        <v>1.7053220000000001E-2</v>
      </c>
      <c r="AA13" s="16">
        <f t="shared" si="2"/>
        <v>2.814026E-2</v>
      </c>
      <c r="AB13" s="16">
        <f t="shared" si="3"/>
        <v>-5.8654800000000002E-3</v>
      </c>
      <c r="AC13" s="17">
        <f t="shared" si="7"/>
        <v>3.2745730000085786</v>
      </c>
      <c r="AD13" s="17">
        <f t="shared" si="8"/>
        <v>1.6471971288603748</v>
      </c>
      <c r="AE13" s="17">
        <f t="shared" si="9"/>
        <v>17.370274722839145</v>
      </c>
      <c r="AF13" s="17">
        <f t="shared" si="4"/>
        <v>16.947562222839146</v>
      </c>
    </row>
    <row r="14" spans="1:32" x14ac:dyDescent="0.25">
      <c r="A14" s="14">
        <v>12</v>
      </c>
      <c r="B14" s="14" t="s">
        <v>63</v>
      </c>
      <c r="C14" s="14">
        <v>247.5</v>
      </c>
      <c r="D14" s="14">
        <v>3</v>
      </c>
      <c r="E14" s="15">
        <v>-0.42136669999999998</v>
      </c>
      <c r="F14" s="15">
        <v>-0.42468329999999999</v>
      </c>
      <c r="G14" s="15">
        <v>3.3166099999999998E-3</v>
      </c>
      <c r="H14" s="15">
        <v>0.64913323999999994</v>
      </c>
      <c r="I14" s="15">
        <v>0.65459995999999998</v>
      </c>
      <c r="J14" s="15">
        <v>-5.4666999999999997E-3</v>
      </c>
      <c r="K14" s="18">
        <v>23.61</v>
      </c>
      <c r="L14" s="18">
        <v>23.6</v>
      </c>
      <c r="M14" s="18">
        <v>0</v>
      </c>
      <c r="N14" s="15">
        <v>5.800781E-2</v>
      </c>
      <c r="O14" s="15">
        <v>2.5546880000000001E-2</v>
      </c>
      <c r="P14" s="15">
        <v>3.2460940000000001E-2</v>
      </c>
      <c r="Q14" s="15">
        <v>1.0913900000000001E-2</v>
      </c>
      <c r="R14" s="15">
        <v>3.5156E-4</v>
      </c>
      <c r="S14" s="15">
        <v>1.056234E-2</v>
      </c>
      <c r="T14" s="14"/>
      <c r="U14" s="15">
        <f t="shared" si="5"/>
        <v>-1.6583000000000014E-3</v>
      </c>
      <c r="V14" s="15">
        <f t="shared" si="6"/>
        <v>-2.733360000000018E-3</v>
      </c>
      <c r="W14" s="15"/>
      <c r="X14" s="15"/>
      <c r="Y14" s="16">
        <f t="shared" si="0"/>
        <v>5.800781E-2</v>
      </c>
      <c r="Z14" s="16">
        <f t="shared" si="1"/>
        <v>1.0913900000000001E-2</v>
      </c>
      <c r="AA14" s="16">
        <f t="shared" si="2"/>
        <v>2.5546880000000001E-2</v>
      </c>
      <c r="AB14" s="16">
        <f t="shared" si="3"/>
        <v>3.5156E-4</v>
      </c>
      <c r="AC14" s="17">
        <f t="shared" si="7"/>
        <v>3.383883547553991</v>
      </c>
      <c r="AD14" s="17">
        <f t="shared" si="8"/>
        <v>1.4640263015162653</v>
      </c>
      <c r="AE14" s="17">
        <f t="shared" si="9"/>
        <v>10.655371416633734</v>
      </c>
      <c r="AF14" s="17">
        <f t="shared" si="4"/>
        <v>10.230688116633734</v>
      </c>
    </row>
    <row r="15" spans="1:32" x14ac:dyDescent="0.25">
      <c r="A15" s="14">
        <v>13</v>
      </c>
      <c r="B15" s="14" t="s">
        <v>63</v>
      </c>
      <c r="C15" s="14">
        <v>270</v>
      </c>
      <c r="D15" s="14">
        <v>5</v>
      </c>
      <c r="E15" s="15">
        <v>-0.42389996000000002</v>
      </c>
      <c r="F15" s="15">
        <v>-0.42520004</v>
      </c>
      <c r="G15" s="15">
        <v>1.3001E-3</v>
      </c>
      <c r="H15" s="15">
        <v>0.67642983999999995</v>
      </c>
      <c r="I15" s="15">
        <v>0.6754599</v>
      </c>
      <c r="J15" s="15">
        <v>9.6995000000000002E-4</v>
      </c>
      <c r="K15" s="18">
        <v>23.37</v>
      </c>
      <c r="L15" s="18">
        <v>23.35</v>
      </c>
      <c r="M15" s="18">
        <v>0.02</v>
      </c>
      <c r="N15" s="15">
        <v>5.9260739999999999E-2</v>
      </c>
      <c r="O15" s="15">
        <v>2.4321780000000001E-2</v>
      </c>
      <c r="P15" s="15">
        <v>3.493897E-2</v>
      </c>
      <c r="Q15" s="15">
        <v>4.5810499999999997E-3</v>
      </c>
      <c r="R15" s="15">
        <v>6.9653299999999996E-3</v>
      </c>
      <c r="S15" s="15">
        <v>-2.3842799999999999E-3</v>
      </c>
      <c r="T15" s="14"/>
      <c r="U15" s="15">
        <f t="shared" si="5"/>
        <v>-6.5003999999999063E-4</v>
      </c>
      <c r="V15" s="15">
        <f t="shared" si="6"/>
        <v>4.8496999999997348E-4</v>
      </c>
      <c r="W15" s="15"/>
      <c r="X15" s="15"/>
      <c r="Y15" s="16">
        <f t="shared" si="0"/>
        <v>5.9260739999999999E-2</v>
      </c>
      <c r="Z15" s="16">
        <f t="shared" si="1"/>
        <v>4.5810499999999997E-3</v>
      </c>
      <c r="AA15" s="16">
        <f t="shared" si="2"/>
        <v>2.4321780000000001E-2</v>
      </c>
      <c r="AB15" s="16">
        <f t="shared" si="3"/>
        <v>6.9653299999999996E-3</v>
      </c>
      <c r="AC15" s="17">
        <f t="shared" si="7"/>
        <v>3.4075286422323239</v>
      </c>
      <c r="AD15" s="17">
        <f t="shared" si="8"/>
        <v>1.4497093710794513</v>
      </c>
      <c r="AE15" s="17">
        <f t="shared" si="9"/>
        <v>4.4203610209809518</v>
      </c>
      <c r="AF15" s="17">
        <f t="shared" si="4"/>
        <v>3.9951609809809518</v>
      </c>
    </row>
    <row r="16" spans="1:32" x14ac:dyDescent="0.25">
      <c r="A16" s="14">
        <v>14</v>
      </c>
      <c r="B16" s="14" t="s">
        <v>63</v>
      </c>
      <c r="C16" s="14">
        <v>292.5</v>
      </c>
      <c r="D16" s="14">
        <v>3</v>
      </c>
      <c r="E16" s="15">
        <v>-0.42118336000000001</v>
      </c>
      <c r="F16" s="15">
        <v>-0.42325003999999999</v>
      </c>
      <c r="G16" s="15">
        <v>2.0666999999999999E-3</v>
      </c>
      <c r="H16" s="15">
        <v>0.66383329999999996</v>
      </c>
      <c r="I16" s="15">
        <v>0.67105009999999998</v>
      </c>
      <c r="J16" s="15">
        <v>-7.2167500000000001E-3</v>
      </c>
      <c r="K16" s="18">
        <v>23.53</v>
      </c>
      <c r="L16" s="18">
        <v>23.54</v>
      </c>
      <c r="M16" s="18">
        <v>-0.01</v>
      </c>
      <c r="N16" s="15">
        <v>5.703776E-2</v>
      </c>
      <c r="O16" s="15">
        <v>2.6594240000000002E-2</v>
      </c>
      <c r="P16" s="15">
        <v>3.0443520000000002E-2</v>
      </c>
      <c r="Q16" s="15">
        <v>-2.2786500000000001E-3</v>
      </c>
      <c r="R16" s="15">
        <v>1.376221E-2</v>
      </c>
      <c r="S16" s="15">
        <v>-1.6040849999999999E-2</v>
      </c>
      <c r="T16" s="14"/>
      <c r="U16" s="15">
        <f t="shared" si="5"/>
        <v>-1.0333399999999937E-3</v>
      </c>
      <c r="V16" s="15">
        <f t="shared" si="6"/>
        <v>-3.6084000000000116E-3</v>
      </c>
      <c r="W16" s="15"/>
      <c r="X16" s="15"/>
      <c r="Y16" s="16">
        <f t="shared" si="0"/>
        <v>5.703776E-2</v>
      </c>
      <c r="Z16" s="16">
        <f t="shared" si="1"/>
        <v>-2.2786500000000001E-3</v>
      </c>
      <c r="AA16" s="16">
        <f t="shared" si="2"/>
        <v>2.6594240000000002E-2</v>
      </c>
      <c r="AB16" s="16">
        <f t="shared" si="3"/>
        <v>1.376221E-2</v>
      </c>
      <c r="AC16" s="17">
        <f t="shared" si="7"/>
        <v>3.2724085812370749</v>
      </c>
      <c r="AD16" s="17">
        <f t="shared" si="8"/>
        <v>1.7159298233821969</v>
      </c>
      <c r="AE16" s="17">
        <f t="shared" si="9"/>
        <v>357.71225871258639</v>
      </c>
      <c r="AF16" s="17">
        <f t="shared" si="4"/>
        <v>357.28900867258636</v>
      </c>
    </row>
    <row r="17" spans="1:32" x14ac:dyDescent="0.25">
      <c r="A17" s="14">
        <v>15</v>
      </c>
      <c r="B17" s="14"/>
      <c r="C17" s="14">
        <v>315</v>
      </c>
      <c r="D17" s="14"/>
      <c r="E17" s="15"/>
      <c r="F17" s="15"/>
      <c r="G17" s="15"/>
      <c r="H17" s="15"/>
      <c r="I17" s="15"/>
      <c r="J17" s="15"/>
      <c r="K17" s="18"/>
      <c r="L17" s="18"/>
      <c r="M17" s="18"/>
      <c r="N17" s="15"/>
      <c r="O17" s="15"/>
      <c r="P17" s="15"/>
      <c r="Q17" s="15"/>
      <c r="R17" s="15"/>
      <c r="S17" s="15"/>
      <c r="T17" s="14"/>
      <c r="U17" s="15"/>
      <c r="V17" s="15"/>
      <c r="W17" s="15"/>
      <c r="X17" s="15"/>
      <c r="Y17" s="16">
        <f t="shared" si="0"/>
        <v>0</v>
      </c>
      <c r="Z17" s="16">
        <f t="shared" si="1"/>
        <v>0</v>
      </c>
      <c r="AA17" s="16">
        <f t="shared" si="2"/>
        <v>0</v>
      </c>
      <c r="AB17" s="16">
        <f t="shared" si="3"/>
        <v>0</v>
      </c>
      <c r="AC17" s="17">
        <f t="shared" si="7"/>
        <v>0</v>
      </c>
      <c r="AD17" s="17">
        <f t="shared" si="8"/>
        <v>0</v>
      </c>
      <c r="AE17" s="17" t="e">
        <f t="shared" si="9"/>
        <v>#DIV/0!</v>
      </c>
      <c r="AF17" s="17" t="e">
        <f t="shared" si="4"/>
        <v>#DIV/0!</v>
      </c>
    </row>
    <row r="18" spans="1:32" x14ac:dyDescent="0.25">
      <c r="A18" s="14">
        <v>16</v>
      </c>
      <c r="B18" s="14" t="s">
        <v>63</v>
      </c>
      <c r="C18" s="14">
        <v>337.5</v>
      </c>
      <c r="D18" s="14">
        <v>4</v>
      </c>
      <c r="E18" s="15">
        <v>-0.42951244</v>
      </c>
      <c r="F18" s="15">
        <v>-0.42892503999999998</v>
      </c>
      <c r="G18" s="15">
        <v>-5.8739999999999997E-4</v>
      </c>
      <c r="H18" s="15">
        <v>0.66128739999999997</v>
      </c>
      <c r="I18" s="15">
        <v>0.66378751999999996</v>
      </c>
      <c r="J18" s="15">
        <v>-2.5001200000000002E-3</v>
      </c>
      <c r="K18" s="18">
        <v>23.58</v>
      </c>
      <c r="L18" s="18">
        <v>23.61</v>
      </c>
      <c r="M18" s="18">
        <v>-0.03</v>
      </c>
      <c r="N18" s="15">
        <v>4.6632079999999999E-2</v>
      </c>
      <c r="O18" s="15">
        <v>3.6434939999999999E-2</v>
      </c>
      <c r="P18" s="15">
        <v>1.019714E-2</v>
      </c>
      <c r="Q18" s="15">
        <v>-1.1292109999999999E-2</v>
      </c>
      <c r="R18" s="15">
        <v>2.2797850000000001E-2</v>
      </c>
      <c r="S18" s="15">
        <v>-3.4089960000000002E-2</v>
      </c>
      <c r="T18" s="14"/>
      <c r="U18" s="15">
        <f t="shared" si="5"/>
        <v>2.9370000000000784E-4</v>
      </c>
      <c r="V18" s="15">
        <f t="shared" si="6"/>
        <v>-1.2500599999999973E-3</v>
      </c>
      <c r="W18" s="15"/>
      <c r="X18" s="15"/>
      <c r="Y18" s="16">
        <f t="shared" si="0"/>
        <v>4.6632079999999999E-2</v>
      </c>
      <c r="Z18" s="16">
        <f t="shared" si="1"/>
        <v>-1.1292109999999999E-2</v>
      </c>
      <c r="AA18" s="16">
        <f t="shared" si="2"/>
        <v>3.6434939999999999E-2</v>
      </c>
      <c r="AB18" s="16">
        <f t="shared" si="3"/>
        <v>2.2797850000000001E-2</v>
      </c>
      <c r="AC18" s="17">
        <f t="shared" si="7"/>
        <v>2.7500967311175883</v>
      </c>
      <c r="AD18" s="17">
        <f t="shared" si="8"/>
        <v>2.4633090065035321</v>
      </c>
      <c r="AE18" s="17">
        <f t="shared" si="9"/>
        <v>346.38767060671432</v>
      </c>
      <c r="AF18" s="17">
        <f t="shared" si="4"/>
        <v>345.9587455667143</v>
      </c>
    </row>
    <row r="19" spans="1:32" x14ac:dyDescent="0.25">
      <c r="A19" s="24">
        <v>17</v>
      </c>
      <c r="B19" s="24" t="s">
        <v>64</v>
      </c>
      <c r="C19" s="24">
        <v>0</v>
      </c>
      <c r="D19" s="24">
        <v>3</v>
      </c>
      <c r="E19" s="25">
        <v>-0.42991659999999998</v>
      </c>
      <c r="F19" s="25">
        <v>-0.42141659999999997</v>
      </c>
      <c r="G19" s="25">
        <v>-8.5000100000000006E-3</v>
      </c>
      <c r="H19" s="25">
        <v>0.66603343999999998</v>
      </c>
      <c r="I19" s="25">
        <v>0.66463348</v>
      </c>
      <c r="J19" s="25">
        <v>1.39999E-3</v>
      </c>
      <c r="K19" s="26">
        <v>23.53</v>
      </c>
      <c r="L19" s="26">
        <v>23.53</v>
      </c>
      <c r="M19" s="26">
        <v>0</v>
      </c>
      <c r="N19" s="25">
        <v>4.0509440000000001E-2</v>
      </c>
      <c r="O19" s="25">
        <v>4.3170569999999998E-2</v>
      </c>
      <c r="P19" s="25">
        <v>-2.6611299999999998E-3</v>
      </c>
      <c r="Q19" s="25">
        <v>-1.194336E-2</v>
      </c>
      <c r="R19" s="25">
        <v>2.3146969999999999E-2</v>
      </c>
      <c r="S19" s="25">
        <v>-3.5090330000000003E-2</v>
      </c>
      <c r="T19" s="24"/>
      <c r="U19" s="25">
        <f t="shared" si="5"/>
        <v>4.2500000000000038E-3</v>
      </c>
      <c r="V19" s="25">
        <f t="shared" si="6"/>
        <v>6.9997999999998894E-4</v>
      </c>
      <c r="W19" s="25"/>
      <c r="X19" s="25"/>
      <c r="Y19" s="27">
        <f t="shared" si="0"/>
        <v>4.0509440000000001E-2</v>
      </c>
      <c r="Z19" s="27">
        <f t="shared" si="1"/>
        <v>-1.194336E-2</v>
      </c>
      <c r="AA19" s="27">
        <f t="shared" si="2"/>
        <v>4.3170569999999998E-2</v>
      </c>
      <c r="AB19" s="27">
        <f t="shared" si="3"/>
        <v>2.3146969999999999E-2</v>
      </c>
      <c r="AC19" s="28">
        <f t="shared" si="7"/>
        <v>2.4205144839997632</v>
      </c>
      <c r="AD19" s="28">
        <f t="shared" si="8"/>
        <v>2.8077281941418866</v>
      </c>
      <c r="AE19" s="28">
        <f t="shared" si="9"/>
        <v>343.57295138633236</v>
      </c>
      <c r="AF19" s="28">
        <f t="shared" si="4"/>
        <v>343.15153478633238</v>
      </c>
    </row>
    <row r="20" spans="1:32" x14ac:dyDescent="0.25">
      <c r="A20" s="14">
        <v>18</v>
      </c>
      <c r="B20" s="14" t="s">
        <v>64</v>
      </c>
      <c r="C20" s="14">
        <v>22.5</v>
      </c>
      <c r="D20" s="14">
        <v>5</v>
      </c>
      <c r="E20" s="15">
        <v>-0.43041000000000001</v>
      </c>
      <c r="F20" s="15">
        <v>-0.41848999999999997</v>
      </c>
      <c r="G20" s="15">
        <v>-1.192E-2</v>
      </c>
      <c r="H20" s="15">
        <v>0.65778992000000003</v>
      </c>
      <c r="I20" s="15">
        <v>0.66111991999999997</v>
      </c>
      <c r="J20" s="15">
        <v>-3.3299900000000001E-3</v>
      </c>
      <c r="K20" s="18">
        <v>23.7</v>
      </c>
      <c r="L20" s="18">
        <v>23.71</v>
      </c>
      <c r="M20" s="18">
        <v>-0.01</v>
      </c>
      <c r="N20" s="15">
        <v>3.3289550000000001E-2</v>
      </c>
      <c r="O20" s="15">
        <v>5.0424320000000002E-2</v>
      </c>
      <c r="P20" s="15">
        <v>-1.7134770000000001E-2</v>
      </c>
      <c r="Q20" s="15">
        <v>-1.0340820000000001E-2</v>
      </c>
      <c r="R20" s="15">
        <v>2.109863E-2</v>
      </c>
      <c r="S20" s="15">
        <v>-3.1439450000000001E-2</v>
      </c>
      <c r="T20" s="14"/>
      <c r="U20" s="15">
        <f t="shared" si="5"/>
        <v>5.9600000000000208E-3</v>
      </c>
      <c r="V20" s="15">
        <f t="shared" si="6"/>
        <v>-1.6649999999999721E-3</v>
      </c>
      <c r="W20" s="15"/>
      <c r="X20" s="15"/>
      <c r="Y20" s="16">
        <f t="shared" si="0"/>
        <v>3.3289550000000001E-2</v>
      </c>
      <c r="Z20" s="16">
        <f t="shared" si="1"/>
        <v>-1.0340820000000001E-2</v>
      </c>
      <c r="AA20" s="16">
        <f t="shared" si="2"/>
        <v>5.0424320000000002E-2</v>
      </c>
      <c r="AB20" s="16">
        <f t="shared" si="3"/>
        <v>2.109863E-2</v>
      </c>
      <c r="AC20" s="17">
        <f t="shared" ref="AC20:AC34" si="10">IF(Y20="","",DEGREES(ASIN(SQRT(Y20^2+Z20^2))))</f>
        <v>1.9976592327788005</v>
      </c>
      <c r="AD20" s="17">
        <f t="shared" ref="AD20:AD34" si="11">IF(AA20="","",DEGREES(ASIN(SQRT(AA20^2+AB20^2))))</f>
        <v>3.1333744185951837</v>
      </c>
      <c r="AE20" s="17">
        <f t="shared" ref="AE20:AE34" si="12">IF(Y20="","",MOD(DEGREES(ATAN2(Y20,Z20)),360))</f>
        <v>342.74350137337387</v>
      </c>
      <c r="AF20" s="17">
        <f t="shared" si="4"/>
        <v>342.32501137337385</v>
      </c>
    </row>
    <row r="21" spans="1:32" x14ac:dyDescent="0.25">
      <c r="A21" s="14">
        <v>19</v>
      </c>
      <c r="B21" s="14" t="s">
        <v>64</v>
      </c>
      <c r="C21" s="14">
        <v>45</v>
      </c>
      <c r="D21" s="14">
        <v>5</v>
      </c>
      <c r="E21" s="15">
        <v>-0.42570996</v>
      </c>
      <c r="F21" s="15">
        <v>-0.42028991999999998</v>
      </c>
      <c r="G21" s="15">
        <v>-5.4200300000000002E-3</v>
      </c>
      <c r="H21" s="15">
        <v>0.65805000000000002</v>
      </c>
      <c r="I21" s="15">
        <v>0.65615000000000001</v>
      </c>
      <c r="J21" s="15">
        <v>1.9000200000000001E-3</v>
      </c>
      <c r="K21" s="18">
        <v>23.66</v>
      </c>
      <c r="L21" s="18">
        <v>23.67</v>
      </c>
      <c r="M21" s="18">
        <v>-0.01</v>
      </c>
      <c r="N21" s="15">
        <v>2.6809570000000001E-2</v>
      </c>
      <c r="O21" s="15">
        <v>5.5004879999999999E-2</v>
      </c>
      <c r="P21" s="15">
        <v>-2.8195310000000001E-2</v>
      </c>
      <c r="Q21" s="15">
        <v>-5.4814499999999997E-3</v>
      </c>
      <c r="R21" s="15">
        <v>1.681152E-2</v>
      </c>
      <c r="S21" s="15">
        <v>-2.2292969999999999E-2</v>
      </c>
      <c r="T21" s="14"/>
      <c r="U21" s="15">
        <f t="shared" si="5"/>
        <v>2.7100200000000074E-3</v>
      </c>
      <c r="V21" s="15">
        <f t="shared" si="6"/>
        <v>9.5000000000000639E-4</v>
      </c>
      <c r="W21" s="15"/>
      <c r="X21" s="15"/>
      <c r="Y21" s="16">
        <f t="shared" si="0"/>
        <v>2.6809570000000001E-2</v>
      </c>
      <c r="Z21" s="16">
        <f t="shared" si="1"/>
        <v>-5.4814499999999997E-3</v>
      </c>
      <c r="AA21" s="16">
        <f t="shared" si="2"/>
        <v>5.5004879999999999E-2</v>
      </c>
      <c r="AB21" s="16">
        <f t="shared" si="3"/>
        <v>1.681152E-2</v>
      </c>
      <c r="AC21" s="17">
        <f t="shared" si="10"/>
        <v>1.568048794773264</v>
      </c>
      <c r="AD21" s="17">
        <f t="shared" si="11"/>
        <v>3.2972804970187819</v>
      </c>
      <c r="AE21" s="17">
        <f t="shared" si="12"/>
        <v>348.44463999173826</v>
      </c>
      <c r="AF21" s="17">
        <f t="shared" si="4"/>
        <v>348.02435007173824</v>
      </c>
    </row>
    <row r="22" spans="1:32" x14ac:dyDescent="0.25">
      <c r="A22" s="14">
        <v>20</v>
      </c>
      <c r="B22" s="14" t="s">
        <v>64</v>
      </c>
      <c r="C22" s="14">
        <v>67.5</v>
      </c>
      <c r="D22" s="14">
        <v>8</v>
      </c>
      <c r="E22" s="15">
        <v>-0.42573749999999999</v>
      </c>
      <c r="F22" s="15">
        <v>-0.42301875999999999</v>
      </c>
      <c r="G22" s="15">
        <v>-2.7187499999999998E-3</v>
      </c>
      <c r="H22" s="15">
        <v>0.66742504000000002</v>
      </c>
      <c r="I22" s="15">
        <v>0.66716251999999998</v>
      </c>
      <c r="J22" s="15">
        <v>2.6249999999999998E-4</v>
      </c>
      <c r="K22" s="18">
        <v>23.48</v>
      </c>
      <c r="L22" s="18">
        <v>23.48</v>
      </c>
      <c r="M22" s="18">
        <v>0</v>
      </c>
      <c r="N22" s="15">
        <v>2.4859619999999999E-2</v>
      </c>
      <c r="O22" s="15">
        <v>5.8214719999999998E-2</v>
      </c>
      <c r="P22" s="15">
        <v>-3.335511E-2</v>
      </c>
      <c r="Q22" s="15">
        <v>4.4952000000000002E-4</v>
      </c>
      <c r="R22" s="15">
        <v>1.084686E-2</v>
      </c>
      <c r="S22" s="15">
        <v>-1.039734E-2</v>
      </c>
      <c r="T22" s="14"/>
      <c r="U22" s="15">
        <f t="shared" si="5"/>
        <v>1.3593699999999986E-3</v>
      </c>
      <c r="V22" s="15">
        <f t="shared" si="6"/>
        <v>1.3126000000002191E-4</v>
      </c>
      <c r="W22" s="15"/>
      <c r="X22" s="15"/>
      <c r="Y22" s="16">
        <f t="shared" si="0"/>
        <v>2.4859619999999999E-2</v>
      </c>
      <c r="Z22" s="16">
        <f t="shared" si="1"/>
        <v>4.4952000000000002E-4</v>
      </c>
      <c r="AA22" s="16">
        <f t="shared" si="2"/>
        <v>5.8214719999999998E-2</v>
      </c>
      <c r="AB22" s="16">
        <f t="shared" si="3"/>
        <v>1.084686E-2</v>
      </c>
      <c r="AC22" s="17">
        <f t="shared" si="10"/>
        <v>1.424730969122568</v>
      </c>
      <c r="AD22" s="17">
        <f t="shared" si="11"/>
        <v>3.3948484025103025</v>
      </c>
      <c r="AE22" s="17">
        <f t="shared" si="12"/>
        <v>1.0359286363625502</v>
      </c>
      <c r="AF22" s="17">
        <f t="shared" si="4"/>
        <v>0.61290987636255023</v>
      </c>
    </row>
    <row r="23" spans="1:32" x14ac:dyDescent="0.25">
      <c r="A23" s="14">
        <v>21</v>
      </c>
      <c r="B23" s="14" t="s">
        <v>64</v>
      </c>
      <c r="C23" s="14">
        <v>90</v>
      </c>
      <c r="D23" s="14">
        <v>4</v>
      </c>
      <c r="E23" s="15">
        <v>-0.42488752000000002</v>
      </c>
      <c r="F23" s="15">
        <v>-0.42541247999999998</v>
      </c>
      <c r="G23" s="15">
        <v>5.2494E-4</v>
      </c>
      <c r="H23" s="15">
        <v>0.65702490000000002</v>
      </c>
      <c r="I23" s="15">
        <v>0.66177490000000005</v>
      </c>
      <c r="J23" s="15">
        <v>-4.7499500000000002E-3</v>
      </c>
      <c r="K23" s="18">
        <v>23.67</v>
      </c>
      <c r="L23" s="18">
        <v>23.7</v>
      </c>
      <c r="M23" s="18">
        <v>-0.03</v>
      </c>
      <c r="N23" s="15">
        <v>2.3817749999999999E-2</v>
      </c>
      <c r="O23" s="15">
        <v>5.9273069999999997E-2</v>
      </c>
      <c r="P23" s="15">
        <v>-3.5455319999999999E-2</v>
      </c>
      <c r="Q23" s="15">
        <v>7.5836200000000001E-3</v>
      </c>
      <c r="R23" s="15">
        <v>3.7072799999999999E-3</v>
      </c>
      <c r="S23" s="15">
        <v>3.8763399999999998E-3</v>
      </c>
      <c r="T23" s="14"/>
      <c r="U23" s="15">
        <f t="shared" si="5"/>
        <v>-2.6247999999998162E-4</v>
      </c>
      <c r="V23" s="15">
        <f t="shared" si="6"/>
        <v>-2.375000000000016E-3</v>
      </c>
      <c r="W23" s="15"/>
      <c r="X23" s="15"/>
      <c r="Y23" s="16">
        <f t="shared" si="0"/>
        <v>2.3817749999999999E-2</v>
      </c>
      <c r="Z23" s="16">
        <f t="shared" si="1"/>
        <v>7.5836200000000001E-3</v>
      </c>
      <c r="AA23" s="16">
        <f t="shared" si="2"/>
        <v>5.9273069999999997E-2</v>
      </c>
      <c r="AB23" s="16">
        <f t="shared" si="3"/>
        <v>3.7072799999999999E-3</v>
      </c>
      <c r="AC23" s="17">
        <f t="shared" si="10"/>
        <v>1.4323104603033741</v>
      </c>
      <c r="AD23" s="17">
        <f t="shared" si="11"/>
        <v>3.4047364310285415</v>
      </c>
      <c r="AE23" s="17">
        <f t="shared" si="12"/>
        <v>17.661580876840073</v>
      </c>
      <c r="AF23" s="17">
        <f t="shared" si="4"/>
        <v>17.236168396840075</v>
      </c>
    </row>
    <row r="24" spans="1:32" x14ac:dyDescent="0.25">
      <c r="A24" s="14">
        <v>22</v>
      </c>
      <c r="B24" s="14" t="s">
        <v>64</v>
      </c>
      <c r="C24" s="14">
        <v>112.5</v>
      </c>
      <c r="D24" s="14">
        <v>1</v>
      </c>
      <c r="E24" s="15">
        <v>-0.42279992</v>
      </c>
      <c r="F24" s="15">
        <v>-0.41939984000000002</v>
      </c>
      <c r="G24" s="15">
        <v>-3.4000900000000001E-3</v>
      </c>
      <c r="H24" s="15">
        <v>0.65299991999999996</v>
      </c>
      <c r="I24" s="15">
        <v>0.65664999999999996</v>
      </c>
      <c r="J24" s="15">
        <v>-3.6500700000000001E-3</v>
      </c>
      <c r="K24" s="18">
        <v>23.66</v>
      </c>
      <c r="L24" s="18">
        <v>23.64</v>
      </c>
      <c r="M24" s="18">
        <v>0.02</v>
      </c>
      <c r="N24" s="15">
        <v>2.627442E-2</v>
      </c>
      <c r="O24" s="15">
        <v>5.7033689999999998E-2</v>
      </c>
      <c r="P24" s="15">
        <v>-3.075928E-2</v>
      </c>
      <c r="Q24" s="15">
        <v>1.452881E-2</v>
      </c>
      <c r="R24" s="15">
        <v>-3.0664099999999999E-3</v>
      </c>
      <c r="S24" s="15">
        <v>1.7595220000000002E-2</v>
      </c>
      <c r="T24" s="14"/>
      <c r="U24" s="15">
        <f t="shared" si="5"/>
        <v>1.700039999999986E-3</v>
      </c>
      <c r="V24" s="15">
        <f t="shared" si="6"/>
        <v>-1.82504E-3</v>
      </c>
      <c r="W24" s="15"/>
      <c r="X24" s="15"/>
      <c r="Y24" s="16">
        <f t="shared" si="0"/>
        <v>2.627442E-2</v>
      </c>
      <c r="Z24" s="16">
        <f t="shared" si="1"/>
        <v>1.452881E-2</v>
      </c>
      <c r="AA24" s="16">
        <f t="shared" si="2"/>
        <v>5.7033689999999998E-2</v>
      </c>
      <c r="AB24" s="16">
        <f t="shared" si="3"/>
        <v>-3.0664099999999999E-3</v>
      </c>
      <c r="AC24" s="17">
        <f t="shared" si="10"/>
        <v>1.720498343233184</v>
      </c>
      <c r="AD24" s="17">
        <f t="shared" si="11"/>
        <v>3.2742912634606056</v>
      </c>
      <c r="AE24" s="17">
        <f t="shared" si="12"/>
        <v>28.941016878973816</v>
      </c>
      <c r="AF24" s="17">
        <f t="shared" si="4"/>
        <v>28.521617038973815</v>
      </c>
    </row>
    <row r="25" spans="1:32" x14ac:dyDescent="0.25">
      <c r="A25" s="14">
        <v>23</v>
      </c>
      <c r="B25" s="14" t="s">
        <v>64</v>
      </c>
      <c r="C25" s="14">
        <v>135</v>
      </c>
      <c r="D25" s="14">
        <v>5</v>
      </c>
      <c r="E25" s="15">
        <v>-0.42765004000000001</v>
      </c>
      <c r="F25" s="15">
        <v>-0.43012995999999998</v>
      </c>
      <c r="G25" s="15">
        <v>2.4799100000000001E-3</v>
      </c>
      <c r="H25" s="15">
        <v>0.67061009999999999</v>
      </c>
      <c r="I25" s="15">
        <v>0.67153010000000002</v>
      </c>
      <c r="J25" s="15">
        <v>-9.2006E-4</v>
      </c>
      <c r="K25" s="18">
        <v>23.36</v>
      </c>
      <c r="L25" s="18">
        <v>23.37</v>
      </c>
      <c r="M25" s="18">
        <v>-0.01</v>
      </c>
      <c r="N25" s="15">
        <v>2.9987300000000001E-2</v>
      </c>
      <c r="O25" s="15">
        <v>5.3371090000000003E-2</v>
      </c>
      <c r="P25" s="15">
        <v>-2.3383790000000002E-2</v>
      </c>
      <c r="Q25" s="15">
        <v>1.9279790000000002E-2</v>
      </c>
      <c r="R25" s="15">
        <v>-7.5351599999999999E-3</v>
      </c>
      <c r="S25" s="15">
        <v>2.6814939999999999E-2</v>
      </c>
      <c r="T25" s="14"/>
      <c r="U25" s="15">
        <f t="shared" si="5"/>
        <v>-1.2399599999999844E-3</v>
      </c>
      <c r="V25" s="15">
        <f t="shared" si="6"/>
        <v>-4.6000000000001595E-4</v>
      </c>
      <c r="W25" s="15"/>
      <c r="X25" s="15"/>
      <c r="Y25" s="16">
        <f t="shared" si="0"/>
        <v>2.9987300000000001E-2</v>
      </c>
      <c r="Z25" s="16">
        <f t="shared" si="1"/>
        <v>1.9279790000000002E-2</v>
      </c>
      <c r="AA25" s="16">
        <f t="shared" si="2"/>
        <v>5.3371090000000003E-2</v>
      </c>
      <c r="AB25" s="16">
        <f t="shared" si="3"/>
        <v>-7.5351599999999999E-3</v>
      </c>
      <c r="AC25" s="17">
        <f t="shared" si="10"/>
        <v>2.0430483277951712</v>
      </c>
      <c r="AD25" s="17">
        <f t="shared" si="11"/>
        <v>3.0897620999416304</v>
      </c>
      <c r="AE25" s="17">
        <f t="shared" si="12"/>
        <v>32.73825454376481</v>
      </c>
      <c r="AF25" s="17">
        <f t="shared" si="4"/>
        <v>32.308124583764808</v>
      </c>
    </row>
    <row r="26" spans="1:32" x14ac:dyDescent="0.25">
      <c r="A26" s="14">
        <v>24</v>
      </c>
      <c r="B26" s="14" t="s">
        <v>64</v>
      </c>
      <c r="C26" s="14">
        <v>157.5</v>
      </c>
      <c r="D26" s="14">
        <v>7</v>
      </c>
      <c r="E26" s="15">
        <v>-0.42118571999999999</v>
      </c>
      <c r="F26" s="15">
        <v>-0.42563563999999998</v>
      </c>
      <c r="G26" s="15">
        <v>4.4498999999999997E-3</v>
      </c>
      <c r="H26" s="15">
        <v>0.6575143</v>
      </c>
      <c r="I26" s="15">
        <v>0.65981424</v>
      </c>
      <c r="J26" s="15">
        <v>-2.2999600000000002E-3</v>
      </c>
      <c r="K26" s="18">
        <v>23.59</v>
      </c>
      <c r="L26" s="18">
        <v>23.58</v>
      </c>
      <c r="M26" s="18">
        <v>0.02</v>
      </c>
      <c r="N26" s="15">
        <v>3.6746300000000003E-2</v>
      </c>
      <c r="O26" s="15">
        <v>4.74435E-2</v>
      </c>
      <c r="P26" s="15">
        <v>-1.06972E-2</v>
      </c>
      <c r="Q26" s="15">
        <v>2.2541499999999999E-2</v>
      </c>
      <c r="R26" s="15">
        <v>-1.151228E-2</v>
      </c>
      <c r="S26" s="15">
        <v>3.4053779999999999E-2</v>
      </c>
      <c r="T26" s="14"/>
      <c r="U26" s="15">
        <f t="shared" si="5"/>
        <v>-2.2249599999999981E-3</v>
      </c>
      <c r="V26" s="15">
        <f t="shared" si="6"/>
        <v>-1.1499700000000002E-3</v>
      </c>
      <c r="W26" s="15"/>
      <c r="X26" s="15"/>
      <c r="Y26" s="16">
        <f t="shared" si="0"/>
        <v>3.6746300000000003E-2</v>
      </c>
      <c r="Z26" s="16">
        <f t="shared" si="1"/>
        <v>2.2541499999999999E-2</v>
      </c>
      <c r="AA26" s="16">
        <f t="shared" si="2"/>
        <v>4.74435E-2</v>
      </c>
      <c r="AB26" s="16">
        <f t="shared" si="3"/>
        <v>-1.151228E-2</v>
      </c>
      <c r="AC26" s="17">
        <f t="shared" si="10"/>
        <v>2.4707453244535165</v>
      </c>
      <c r="AD26" s="17">
        <f t="shared" si="11"/>
        <v>2.7983074852430576</v>
      </c>
      <c r="AE26" s="17">
        <f t="shared" si="12"/>
        <v>31.526447751080617</v>
      </c>
      <c r="AF26" s="17">
        <f t="shared" si="4"/>
        <v>31.100812111080618</v>
      </c>
    </row>
    <row r="27" spans="1:32" x14ac:dyDescent="0.25">
      <c r="A27" s="14">
        <v>25</v>
      </c>
      <c r="B27" s="14" t="s">
        <v>64</v>
      </c>
      <c r="C27" s="14">
        <v>180</v>
      </c>
      <c r="D27" s="14">
        <v>3</v>
      </c>
      <c r="E27" s="15">
        <v>-0.42564995999999999</v>
      </c>
      <c r="F27" s="15">
        <v>-0.41964995999999999</v>
      </c>
      <c r="G27" s="15">
        <v>-6.0000100000000001E-3</v>
      </c>
      <c r="H27" s="15">
        <v>0.65549990000000002</v>
      </c>
      <c r="I27" s="15">
        <v>0.66044999999999998</v>
      </c>
      <c r="J27" s="15">
        <v>-4.9501099999999998E-3</v>
      </c>
      <c r="K27" s="18">
        <v>23.73</v>
      </c>
      <c r="L27" s="18">
        <v>23.72</v>
      </c>
      <c r="M27" s="18">
        <v>0.01</v>
      </c>
      <c r="N27" s="15">
        <v>4.3447270000000003E-2</v>
      </c>
      <c r="O27" s="15">
        <v>4.0562340000000002E-2</v>
      </c>
      <c r="P27" s="15">
        <v>2.88493E-3</v>
      </c>
      <c r="Q27" s="15">
        <v>2.3050129999999999E-2</v>
      </c>
      <c r="R27" s="15">
        <v>-1.228272E-2</v>
      </c>
      <c r="S27" s="15">
        <v>3.5332839999999997E-2</v>
      </c>
      <c r="T27" s="14"/>
      <c r="U27" s="15">
        <f t="shared" si="5"/>
        <v>3.0000000000000027E-3</v>
      </c>
      <c r="V27" s="15">
        <f t="shared" si="6"/>
        <v>-2.4750499999999787E-3</v>
      </c>
      <c r="W27" s="15"/>
      <c r="X27" s="15"/>
      <c r="Y27" s="16">
        <f t="shared" si="0"/>
        <v>4.3447270000000003E-2</v>
      </c>
      <c r="Z27" s="16">
        <f t="shared" si="1"/>
        <v>2.3050129999999999E-2</v>
      </c>
      <c r="AA27" s="16">
        <f t="shared" si="2"/>
        <v>4.0562340000000002E-2</v>
      </c>
      <c r="AB27" s="16">
        <f t="shared" si="3"/>
        <v>-1.228272E-2</v>
      </c>
      <c r="AC27" s="17">
        <f t="shared" si="10"/>
        <v>2.8191193210690879</v>
      </c>
      <c r="AD27" s="17">
        <f t="shared" si="11"/>
        <v>2.4289931137059617</v>
      </c>
      <c r="AE27" s="17">
        <f t="shared" si="12"/>
        <v>27.947343177433176</v>
      </c>
      <c r="AF27" s="17">
        <f t="shared" si="4"/>
        <v>27.527693217433175</v>
      </c>
    </row>
    <row r="28" spans="1:32" x14ac:dyDescent="0.25">
      <c r="A28" s="14">
        <v>26</v>
      </c>
      <c r="B28" s="14" t="s">
        <v>64</v>
      </c>
      <c r="C28" s="14">
        <v>202.5</v>
      </c>
      <c r="D28" s="14">
        <v>9</v>
      </c>
      <c r="E28" s="15">
        <v>-0.42579995999999998</v>
      </c>
      <c r="F28" s="15">
        <v>-0.42530000000000001</v>
      </c>
      <c r="G28" s="15">
        <v>-4.9996000000000003E-4</v>
      </c>
      <c r="H28" s="15">
        <v>0.65903889999999998</v>
      </c>
      <c r="I28" s="15">
        <v>0.66020000000000001</v>
      </c>
      <c r="J28" s="15">
        <v>-1.1611E-3</v>
      </c>
      <c r="K28" s="18">
        <v>23.68</v>
      </c>
      <c r="L28" s="18">
        <v>23.67</v>
      </c>
      <c r="M28" s="18">
        <v>0</v>
      </c>
      <c r="N28" s="15">
        <v>5.028755E-2</v>
      </c>
      <c r="O28" s="15">
        <v>3.3903540000000003E-2</v>
      </c>
      <c r="P28" s="15">
        <v>1.6384010000000001E-2</v>
      </c>
      <c r="Q28" s="15">
        <v>2.1107580000000001E-2</v>
      </c>
      <c r="R28" s="15">
        <v>-1.041097E-2</v>
      </c>
      <c r="S28" s="15">
        <v>3.1518549999999999E-2</v>
      </c>
      <c r="T28" s="14"/>
      <c r="U28" s="15">
        <f t="shared" si="5"/>
        <v>2.4997999999998299E-4</v>
      </c>
      <c r="V28" s="15">
        <f t="shared" si="6"/>
        <v>-5.80550000000013E-4</v>
      </c>
      <c r="W28" s="15"/>
      <c r="X28" s="15"/>
      <c r="Y28" s="16">
        <f t="shared" si="0"/>
        <v>5.028755E-2</v>
      </c>
      <c r="Z28" s="16">
        <f t="shared" si="1"/>
        <v>2.1107580000000001E-2</v>
      </c>
      <c r="AA28" s="16">
        <f t="shared" si="2"/>
        <v>3.3903540000000003E-2</v>
      </c>
      <c r="AB28" s="16">
        <f t="shared" si="3"/>
        <v>-1.041097E-2</v>
      </c>
      <c r="AC28" s="17">
        <f t="shared" si="10"/>
        <v>3.1263347769070151</v>
      </c>
      <c r="AD28" s="17">
        <f t="shared" si="11"/>
        <v>2.0324792974859887</v>
      </c>
      <c r="AE28" s="17">
        <f t="shared" si="12"/>
        <v>22.769628829584097</v>
      </c>
      <c r="AF28" s="17">
        <f t="shared" si="4"/>
        <v>22.344328829584096</v>
      </c>
    </row>
    <row r="29" spans="1:32" x14ac:dyDescent="0.25">
      <c r="A29" s="14">
        <v>27</v>
      </c>
      <c r="B29" s="14" t="s">
        <v>64</v>
      </c>
      <c r="C29" s="14">
        <v>225</v>
      </c>
      <c r="D29" s="14">
        <v>9</v>
      </c>
      <c r="E29" s="15">
        <v>-0.42090549999999999</v>
      </c>
      <c r="F29" s="15">
        <v>-0.42808889999999999</v>
      </c>
      <c r="G29" s="15">
        <v>7.1834000000000004E-3</v>
      </c>
      <c r="H29" s="15">
        <v>0.66182224000000001</v>
      </c>
      <c r="I29" s="15">
        <v>0.66430555999999996</v>
      </c>
      <c r="J29" s="15">
        <v>-2.4833099999999999E-3</v>
      </c>
      <c r="K29" s="18">
        <v>23.6</v>
      </c>
      <c r="L29" s="18">
        <v>23.62</v>
      </c>
      <c r="M29" s="18">
        <v>-0.02</v>
      </c>
      <c r="N29" s="15">
        <v>5.4774299999999998E-2</v>
      </c>
      <c r="O29" s="15">
        <v>2.8304309999999999E-2</v>
      </c>
      <c r="P29" s="15">
        <v>2.6469989999999999E-2</v>
      </c>
      <c r="Q29" s="15">
        <v>1.7037489999999999E-2</v>
      </c>
      <c r="R29" s="15">
        <v>-5.9608300000000003E-3</v>
      </c>
      <c r="S29" s="15">
        <v>2.2998319999999999E-2</v>
      </c>
      <c r="T29" s="14"/>
      <c r="U29" s="15">
        <f t="shared" si="5"/>
        <v>-3.5917000000000032E-3</v>
      </c>
      <c r="V29" s="15">
        <f t="shared" si="6"/>
        <v>-1.2416599999999778E-3</v>
      </c>
      <c r="W29" s="15"/>
      <c r="X29" s="15"/>
      <c r="Y29" s="16">
        <f t="shared" si="0"/>
        <v>5.4774299999999998E-2</v>
      </c>
      <c r="Z29" s="16">
        <f t="shared" si="1"/>
        <v>1.7037489999999999E-2</v>
      </c>
      <c r="AA29" s="16">
        <f t="shared" si="2"/>
        <v>2.8304309999999999E-2</v>
      </c>
      <c r="AB29" s="16">
        <f t="shared" si="3"/>
        <v>-5.9608300000000003E-3</v>
      </c>
      <c r="AC29" s="17">
        <f t="shared" si="10"/>
        <v>3.2884560550880124</v>
      </c>
      <c r="AD29" s="17">
        <f t="shared" si="11"/>
        <v>1.6575213486654234</v>
      </c>
      <c r="AE29" s="17">
        <f t="shared" si="12"/>
        <v>17.278252477267873</v>
      </c>
      <c r="AF29" s="17">
        <f t="shared" si="4"/>
        <v>16.850163577267875</v>
      </c>
    </row>
    <row r="30" spans="1:32" x14ac:dyDescent="0.25">
      <c r="A30" s="14">
        <v>28</v>
      </c>
      <c r="B30" s="14" t="s">
        <v>64</v>
      </c>
      <c r="C30" s="14">
        <v>247.5</v>
      </c>
      <c r="D30" s="14">
        <v>4</v>
      </c>
      <c r="E30" s="15">
        <v>-0.41635008000000001</v>
      </c>
      <c r="F30" s="15">
        <v>-0.42465004000000001</v>
      </c>
      <c r="G30" s="15">
        <v>8.2999800000000002E-3</v>
      </c>
      <c r="H30" s="15">
        <v>0.65561248000000005</v>
      </c>
      <c r="I30" s="15">
        <v>0.65307490000000001</v>
      </c>
      <c r="J30" s="15">
        <v>2.53755E-3</v>
      </c>
      <c r="K30" s="18">
        <v>23.77</v>
      </c>
      <c r="L30" s="18">
        <v>23.74</v>
      </c>
      <c r="M30" s="18">
        <v>0.03</v>
      </c>
      <c r="N30" s="15">
        <v>5.8222049999999997E-2</v>
      </c>
      <c r="O30" s="15">
        <v>2.5941769999999999E-2</v>
      </c>
      <c r="P30" s="15">
        <v>3.228027E-2</v>
      </c>
      <c r="Q30" s="15">
        <v>1.052002E-2</v>
      </c>
      <c r="R30" s="15">
        <v>2.7039000000000002E-4</v>
      </c>
      <c r="S30" s="15">
        <v>1.0249629999999999E-2</v>
      </c>
      <c r="T30" s="14"/>
      <c r="U30" s="15">
        <f t="shared" si="5"/>
        <v>-4.1499799999999976E-3</v>
      </c>
      <c r="V30" s="15">
        <f t="shared" si="6"/>
        <v>1.2687900000000196E-3</v>
      </c>
      <c r="W30" s="15"/>
      <c r="X30" s="15"/>
      <c r="Y30" s="16">
        <f t="shared" si="0"/>
        <v>5.8222049999999997E-2</v>
      </c>
      <c r="Z30" s="16">
        <f t="shared" si="1"/>
        <v>1.052002E-2</v>
      </c>
      <c r="AA30" s="16">
        <f t="shared" si="2"/>
        <v>2.5941769999999999E-2</v>
      </c>
      <c r="AB30" s="16">
        <f t="shared" si="3"/>
        <v>2.7039000000000002E-4</v>
      </c>
      <c r="AC30" s="17">
        <f t="shared" si="10"/>
        <v>3.3918762815813177</v>
      </c>
      <c r="AD30" s="17">
        <f t="shared" si="11"/>
        <v>1.4866014601868744</v>
      </c>
      <c r="AE30" s="17">
        <f t="shared" si="12"/>
        <v>10.242146024423871</v>
      </c>
      <c r="AF30" s="17">
        <f t="shared" si="4"/>
        <v>9.8174959844238714</v>
      </c>
    </row>
    <row r="31" spans="1:32" x14ac:dyDescent="0.25">
      <c r="A31" s="14">
        <v>29</v>
      </c>
      <c r="B31" s="14" t="s">
        <v>64</v>
      </c>
      <c r="C31" s="14">
        <v>270</v>
      </c>
      <c r="D31" s="14">
        <v>7</v>
      </c>
      <c r="E31" s="15">
        <v>-0.42179991999999999</v>
      </c>
      <c r="F31" s="15">
        <v>-0.42605710000000002</v>
      </c>
      <c r="G31" s="15">
        <v>4.2571700000000002E-3</v>
      </c>
      <c r="H31" s="15">
        <v>0.65835699999999997</v>
      </c>
      <c r="I31" s="15">
        <v>0.66090000000000004</v>
      </c>
      <c r="J31" s="15">
        <v>-2.5429699999999999E-3</v>
      </c>
      <c r="K31" s="18">
        <v>23.63</v>
      </c>
      <c r="L31" s="18">
        <v>23.62</v>
      </c>
      <c r="M31" s="18">
        <v>0.01</v>
      </c>
      <c r="N31" s="15">
        <v>5.8852540000000002E-2</v>
      </c>
      <c r="O31" s="15">
        <v>2.3902409999999999E-2</v>
      </c>
      <c r="P31" s="15">
        <v>3.4950120000000001E-2</v>
      </c>
      <c r="Q31" s="15">
        <v>3.9766999999999997E-3</v>
      </c>
      <c r="R31" s="15">
        <v>7.2073800000000002E-3</v>
      </c>
      <c r="S31" s="15">
        <v>-3.2306800000000001E-3</v>
      </c>
      <c r="T31" s="14"/>
      <c r="U31" s="15">
        <f t="shared" si="5"/>
        <v>-2.1285900000000135E-3</v>
      </c>
      <c r="V31" s="15">
        <f t="shared" si="6"/>
        <v>-1.2715000000000365E-3</v>
      </c>
      <c r="W31" s="15"/>
      <c r="X31" s="15"/>
      <c r="Y31" s="16">
        <f t="shared" si="0"/>
        <v>5.8852540000000002E-2</v>
      </c>
      <c r="Z31" s="16">
        <f t="shared" si="1"/>
        <v>3.9766999999999997E-3</v>
      </c>
      <c r="AA31" s="16">
        <f t="shared" si="2"/>
        <v>2.3902409999999999E-2</v>
      </c>
      <c r="AB31" s="16">
        <f t="shared" si="3"/>
        <v>7.2073800000000002E-3</v>
      </c>
      <c r="AC31" s="17">
        <f t="shared" si="10"/>
        <v>3.3816542815190163</v>
      </c>
      <c r="AD31" s="17">
        <f t="shared" si="11"/>
        <v>1.4305610670189672</v>
      </c>
      <c r="AE31" s="17">
        <f t="shared" si="12"/>
        <v>3.8656327309049963</v>
      </c>
      <c r="AF31" s="17">
        <f t="shared" si="4"/>
        <v>3.4395756309049963</v>
      </c>
    </row>
    <row r="32" spans="1:32" x14ac:dyDescent="0.25">
      <c r="A32" s="14">
        <v>30</v>
      </c>
      <c r="B32" s="14" t="s">
        <v>64</v>
      </c>
      <c r="C32" s="14">
        <v>292.5</v>
      </c>
      <c r="D32" s="14">
        <v>4</v>
      </c>
      <c r="E32" s="15">
        <v>-0.4214</v>
      </c>
      <c r="F32" s="15">
        <v>-0.42370004</v>
      </c>
      <c r="G32" s="15">
        <v>2.3000199999999998E-3</v>
      </c>
      <c r="H32" s="15">
        <v>0.66723748000000005</v>
      </c>
      <c r="I32" s="15">
        <v>0.66709996000000005</v>
      </c>
      <c r="J32" s="15">
        <v>1.3751E-4</v>
      </c>
      <c r="K32" s="18">
        <v>23.47</v>
      </c>
      <c r="L32" s="18">
        <v>23.47</v>
      </c>
      <c r="M32" s="18">
        <v>0.01</v>
      </c>
      <c r="N32" s="15">
        <v>5.7442020000000003E-2</v>
      </c>
      <c r="O32" s="15">
        <v>2.665344E-2</v>
      </c>
      <c r="P32" s="15">
        <v>3.0788579999999999E-2</v>
      </c>
      <c r="Q32" s="15">
        <v>-2.59888E-3</v>
      </c>
      <c r="R32" s="15">
        <v>1.353027E-2</v>
      </c>
      <c r="S32" s="15">
        <v>-1.6129149999999998E-2</v>
      </c>
      <c r="T32" s="14"/>
      <c r="U32" s="15">
        <f t="shared" si="5"/>
        <v>-1.1500200000000016E-3</v>
      </c>
      <c r="V32" s="15">
        <f t="shared" si="6"/>
        <v>6.8760000000001043E-5</v>
      </c>
      <c r="W32" s="15"/>
      <c r="X32" s="15"/>
      <c r="Y32" s="16">
        <f t="shared" si="0"/>
        <v>5.7442020000000003E-2</v>
      </c>
      <c r="Z32" s="16">
        <f t="shared" si="1"/>
        <v>-2.59888E-3</v>
      </c>
      <c r="AA32" s="16">
        <f t="shared" si="2"/>
        <v>2.665344E-2</v>
      </c>
      <c r="AB32" s="16">
        <f t="shared" si="3"/>
        <v>1.353027E-2</v>
      </c>
      <c r="AC32" s="17">
        <f t="shared" si="10"/>
        <v>3.2963702729291326</v>
      </c>
      <c r="AD32" s="17">
        <f t="shared" si="11"/>
        <v>1.7128853778691557</v>
      </c>
      <c r="AE32" s="17">
        <f t="shared" si="12"/>
        <v>357.40950303557787</v>
      </c>
      <c r="AF32" s="17">
        <f t="shared" si="4"/>
        <v>356.98580299557784</v>
      </c>
    </row>
    <row r="33" spans="1:32" x14ac:dyDescent="0.25">
      <c r="A33" s="14">
        <v>31</v>
      </c>
      <c r="B33" s="14" t="s">
        <v>64</v>
      </c>
      <c r="C33" s="14">
        <v>315</v>
      </c>
      <c r="D33" s="14">
        <v>2</v>
      </c>
      <c r="E33" s="15">
        <v>-0.42862489999999998</v>
      </c>
      <c r="F33" s="15">
        <v>-0.42075000000000001</v>
      </c>
      <c r="G33" s="15">
        <v>-7.8749100000000006E-3</v>
      </c>
      <c r="H33" s="15">
        <v>0.66427504000000004</v>
      </c>
      <c r="I33" s="15">
        <v>0.66605024000000002</v>
      </c>
      <c r="J33" s="15">
        <v>-1.7752099999999999E-3</v>
      </c>
      <c r="K33" s="18">
        <v>23.64</v>
      </c>
      <c r="L33" s="18">
        <v>23.64</v>
      </c>
      <c r="M33" s="18">
        <v>-0.01</v>
      </c>
      <c r="N33" s="15">
        <v>5.2473140000000001E-2</v>
      </c>
      <c r="O33" s="15">
        <v>3.0297850000000001E-2</v>
      </c>
      <c r="P33" s="15">
        <v>2.217529E-2</v>
      </c>
      <c r="Q33" s="15">
        <v>-8.6291500000000004E-3</v>
      </c>
      <c r="R33" s="15">
        <v>1.9273680000000001E-2</v>
      </c>
      <c r="S33" s="15">
        <v>-2.790283E-2</v>
      </c>
      <c r="T33" s="14"/>
      <c r="U33" s="15">
        <f t="shared" si="5"/>
        <v>3.9374499999999812E-3</v>
      </c>
      <c r="V33" s="15">
        <f t="shared" si="6"/>
        <v>-8.875999999999884E-4</v>
      </c>
      <c r="W33" s="15"/>
      <c r="X33" s="15"/>
      <c r="Y33" s="16">
        <f t="shared" si="0"/>
        <v>5.2473140000000001E-2</v>
      </c>
      <c r="Z33" s="16">
        <f t="shared" si="1"/>
        <v>-8.6291500000000004E-3</v>
      </c>
      <c r="AA33" s="16">
        <f t="shared" si="2"/>
        <v>3.0297850000000001E-2</v>
      </c>
      <c r="AB33" s="16">
        <f t="shared" si="3"/>
        <v>1.9273680000000001E-2</v>
      </c>
      <c r="AC33" s="17">
        <f t="shared" si="10"/>
        <v>3.0483090421938068</v>
      </c>
      <c r="AD33" s="17">
        <f t="shared" si="11"/>
        <v>2.0578591415826333</v>
      </c>
      <c r="AE33" s="17">
        <f t="shared" si="12"/>
        <v>350.66135662322444</v>
      </c>
      <c r="AF33" s="17">
        <f t="shared" si="4"/>
        <v>350.24060662322444</v>
      </c>
    </row>
    <row r="34" spans="1:32" x14ac:dyDescent="0.25">
      <c r="A34" s="14">
        <v>32</v>
      </c>
      <c r="B34" s="14" t="s">
        <v>64</v>
      </c>
      <c r="C34" s="14">
        <v>337.5</v>
      </c>
      <c r="D34" s="14">
        <v>6</v>
      </c>
      <c r="E34" s="15">
        <v>-0.42194164000000001</v>
      </c>
      <c r="F34" s="15">
        <v>-0.42422495999999998</v>
      </c>
      <c r="G34" s="15">
        <v>2.2833300000000001E-3</v>
      </c>
      <c r="H34" s="15">
        <v>0.65944164000000005</v>
      </c>
      <c r="I34" s="15">
        <v>0.66250823999999997</v>
      </c>
      <c r="J34" s="15">
        <v>-3.0666000000000001E-3</v>
      </c>
      <c r="K34" s="18">
        <v>23.61</v>
      </c>
      <c r="L34" s="18">
        <v>23.62</v>
      </c>
      <c r="M34" s="18">
        <v>0</v>
      </c>
      <c r="N34" s="15">
        <v>4.7065429999999998E-2</v>
      </c>
      <c r="O34" s="15">
        <v>3.662435E-2</v>
      </c>
      <c r="P34" s="15">
        <v>1.044108E-2</v>
      </c>
      <c r="Q34" s="15">
        <v>-1.1634520000000001E-2</v>
      </c>
      <c r="R34" s="15">
        <v>2.23877E-2</v>
      </c>
      <c r="S34" s="15">
        <v>-3.4022219999999999E-2</v>
      </c>
      <c r="T34" s="14"/>
      <c r="U34" s="15">
        <f t="shared" si="5"/>
        <v>-1.1416599999999888E-3</v>
      </c>
      <c r="V34" s="15">
        <f t="shared" si="6"/>
        <v>-1.5332999999999597E-3</v>
      </c>
      <c r="W34" s="15"/>
      <c r="X34" s="15"/>
      <c r="Y34" s="16">
        <f t="shared" si="0"/>
        <v>4.7065429999999998E-2</v>
      </c>
      <c r="Z34" s="16">
        <f t="shared" si="1"/>
        <v>-1.1634520000000001E-2</v>
      </c>
      <c r="AA34" s="16">
        <f t="shared" si="2"/>
        <v>3.662435E-2</v>
      </c>
      <c r="AB34" s="16">
        <f t="shared" si="3"/>
        <v>2.23877E-2</v>
      </c>
      <c r="AC34" s="17">
        <f t="shared" si="10"/>
        <v>2.7789107007245759</v>
      </c>
      <c r="AD34" s="17">
        <f t="shared" si="11"/>
        <v>2.4601748940603421</v>
      </c>
      <c r="AE34" s="17">
        <f t="shared" si="12"/>
        <v>346.11490924625764</v>
      </c>
      <c r="AF34" s="17">
        <f t="shared" si="4"/>
        <v>345.69068428625764</v>
      </c>
    </row>
    <row r="35" spans="1:32" x14ac:dyDescent="0.25">
      <c r="A35" s="14"/>
      <c r="B35" s="14"/>
      <c r="C35" s="14"/>
      <c r="D35" s="14"/>
      <c r="E35" s="15"/>
      <c r="F35" s="15"/>
      <c r="G35" s="15"/>
      <c r="H35" s="15"/>
      <c r="I35" s="15"/>
      <c r="J35" s="15"/>
      <c r="K35" s="18"/>
      <c r="L35" s="18"/>
      <c r="M35" s="18"/>
      <c r="N35" s="15"/>
      <c r="O35" s="15"/>
      <c r="P35" s="15"/>
      <c r="Q35" s="15"/>
      <c r="R35" s="15"/>
      <c r="S35" s="15"/>
      <c r="T35" s="14"/>
      <c r="U35" s="15"/>
      <c r="V35" s="15"/>
      <c r="W35" s="15"/>
      <c r="X35" s="15"/>
      <c r="Y35" s="16"/>
      <c r="Z35" s="16"/>
      <c r="AA35" s="16"/>
      <c r="AB35" s="16"/>
      <c r="AC35" s="17"/>
      <c r="AD35" s="17"/>
      <c r="AE35" s="17"/>
      <c r="AF35" s="17"/>
    </row>
    <row r="38" spans="1:32" x14ac:dyDescent="0.25">
      <c r="A38">
        <v>1</v>
      </c>
      <c r="C38">
        <v>0</v>
      </c>
      <c r="K38">
        <f>(K3+K19)/2</f>
        <v>23.47</v>
      </c>
      <c r="L38">
        <f>(L3+L19)/2</f>
        <v>23.454999999999998</v>
      </c>
      <c r="M38">
        <f>K38-L38</f>
        <v>1.5000000000000568E-2</v>
      </c>
      <c r="U38">
        <f>(U3+U19)/2</f>
        <v>2.3312400000000122E-3</v>
      </c>
      <c r="V38">
        <f>(V3+V19)/2</f>
        <v>-6.3748500000002095E-4</v>
      </c>
      <c r="AC38">
        <f>(AC3+AC19)/2</f>
        <v>2.3855724140420707</v>
      </c>
      <c r="AD38">
        <f>(AD3+AD19)/2</f>
        <v>2.8092779725505466</v>
      </c>
    </row>
    <row r="39" spans="1:32" x14ac:dyDescent="0.25">
      <c r="A39">
        <v>2</v>
      </c>
      <c r="C39">
        <v>22.5</v>
      </c>
      <c r="K39">
        <f t="shared" ref="K39:L39" si="13">(K4+K20)/2</f>
        <v>23.54</v>
      </c>
      <c r="L39">
        <f t="shared" si="13"/>
        <v>23.54</v>
      </c>
      <c r="M39">
        <f t="shared" ref="M39:M53" si="14">K39-L39</f>
        <v>0</v>
      </c>
      <c r="U39">
        <f t="shared" ref="U39:V39" si="15">(U4+U20)/2</f>
        <v>4.0550000000000169E-3</v>
      </c>
      <c r="V39">
        <f t="shared" si="15"/>
        <v>-1.3491649999999855E-3</v>
      </c>
      <c r="AC39">
        <f t="shared" ref="AC39:AD39" si="16">(AC4+AC20)/2</f>
        <v>1.9909923209597338</v>
      </c>
      <c r="AD39">
        <f t="shared" si="16"/>
        <v>3.138368470635295</v>
      </c>
    </row>
    <row r="40" spans="1:32" x14ac:dyDescent="0.25">
      <c r="A40">
        <v>3</v>
      </c>
      <c r="C40">
        <v>45</v>
      </c>
      <c r="K40">
        <f t="shared" ref="K40:L40" si="17">(K5+K21)/2</f>
        <v>23.68</v>
      </c>
      <c r="L40">
        <f t="shared" si="17"/>
        <v>23.67</v>
      </c>
      <c r="M40">
        <f t="shared" si="14"/>
        <v>9.9999999999980105E-3</v>
      </c>
      <c r="U40">
        <f t="shared" ref="U40:V40" si="18">(U5+U21)/2</f>
        <v>1.2612399999999968E-3</v>
      </c>
      <c r="V40">
        <f t="shared" si="18"/>
        <v>2.1562999999999999E-3</v>
      </c>
      <c r="AC40">
        <f t="shared" ref="AC40:AD40" si="19">(AC5+AC21)/2</f>
        <v>1.585565216871252</v>
      </c>
      <c r="AD40">
        <f t="shared" si="19"/>
        <v>3.2948187090516781</v>
      </c>
    </row>
    <row r="41" spans="1:32" x14ac:dyDescent="0.25">
      <c r="A41">
        <v>4</v>
      </c>
      <c r="C41">
        <v>67.5</v>
      </c>
      <c r="K41">
        <f t="shared" ref="K41:L41" si="20">(K6+K22)/2</f>
        <v>23.555</v>
      </c>
      <c r="L41">
        <f t="shared" si="20"/>
        <v>23.535</v>
      </c>
      <c r="M41">
        <f t="shared" si="14"/>
        <v>1.9999999999999574E-2</v>
      </c>
      <c r="U41">
        <f t="shared" ref="U41:V41" si="21">(U6+U22)/2</f>
        <v>2.3526099999999911E-3</v>
      </c>
      <c r="V41">
        <f t="shared" si="21"/>
        <v>1.3405900000000026E-3</v>
      </c>
      <c r="AC41">
        <f t="shared" ref="AC41:AD41" si="22">(AC6+AC22)/2</f>
        <v>1.4200801589959318</v>
      </c>
      <c r="AD41">
        <f t="shared" si="22"/>
        <v>3.3902209707052591</v>
      </c>
    </row>
    <row r="42" spans="1:32" x14ac:dyDescent="0.25">
      <c r="A42">
        <v>5</v>
      </c>
      <c r="C42">
        <v>90</v>
      </c>
      <c r="K42">
        <f t="shared" ref="K42:L42" si="23">(K7+K23)/2</f>
        <v>23.675000000000001</v>
      </c>
      <c r="L42">
        <f t="shared" si="23"/>
        <v>23.71</v>
      </c>
      <c r="M42">
        <f t="shared" si="14"/>
        <v>-3.5000000000000142E-2</v>
      </c>
      <c r="U42">
        <f t="shared" ref="U42:V42" si="24">(U7+U23)/2</f>
        <v>-1.812249999999932E-4</v>
      </c>
      <c r="V42">
        <f t="shared" si="24"/>
        <v>4.1667000000000787E-4</v>
      </c>
      <c r="AC42">
        <f t="shared" ref="AC42:AD42" si="25">(AC7+AC23)/2</f>
        <v>1.4425978976482083</v>
      </c>
      <c r="AD42">
        <f t="shared" si="25"/>
        <v>3.3952710004668489</v>
      </c>
    </row>
    <row r="43" spans="1:32" x14ac:dyDescent="0.25">
      <c r="A43">
        <v>6</v>
      </c>
      <c r="C43">
        <v>112.5</v>
      </c>
      <c r="K43">
        <f t="shared" ref="K43:L43" si="26">(K8+K24)/2</f>
        <v>23.615000000000002</v>
      </c>
      <c r="L43">
        <f t="shared" si="26"/>
        <v>23.605</v>
      </c>
      <c r="M43">
        <f t="shared" si="14"/>
        <v>1.0000000000001563E-2</v>
      </c>
      <c r="U43">
        <f t="shared" ref="U43:V43" si="27">(U8+U24)/2</f>
        <v>1.5968999999999983E-3</v>
      </c>
      <c r="V43">
        <f t="shared" si="27"/>
        <v>7.280899999999868E-4</v>
      </c>
      <c r="AC43">
        <f t="shared" ref="AC43:AD43" si="28">(AC8+AC24)/2</f>
        <v>1.7028652634795574</v>
      </c>
      <c r="AD43">
        <f t="shared" si="28"/>
        <v>3.2792264086046812</v>
      </c>
    </row>
    <row r="44" spans="1:32" x14ac:dyDescent="0.25">
      <c r="A44">
        <v>7</v>
      </c>
      <c r="C44">
        <v>135</v>
      </c>
      <c r="K44">
        <f>(K9+K25)/2</f>
        <v>23.5</v>
      </c>
      <c r="L44">
        <f t="shared" ref="L44" si="29">(L9+L25)/2</f>
        <v>23.505000000000003</v>
      </c>
      <c r="M44">
        <f t="shared" si="14"/>
        <v>-5.000000000002558E-3</v>
      </c>
      <c r="U44">
        <f t="shared" ref="U44:V44" si="30">(U9+U25)/2</f>
        <v>-2.1949599999999958E-3</v>
      </c>
      <c r="V44">
        <f t="shared" si="30"/>
        <v>2.3950199999999977E-3</v>
      </c>
      <c r="AC44">
        <f t="shared" ref="AC44:AD44" si="31">(AC9+AC25)/2</f>
        <v>2.0380959653626682</v>
      </c>
      <c r="AD44">
        <f t="shared" si="31"/>
        <v>3.0765131284111118</v>
      </c>
    </row>
    <row r="45" spans="1:32" x14ac:dyDescent="0.25">
      <c r="A45">
        <v>8</v>
      </c>
      <c r="C45">
        <v>157.5</v>
      </c>
      <c r="K45">
        <f t="shared" ref="K45:L45" si="32">(K10+K26)/2</f>
        <v>23.564999999999998</v>
      </c>
      <c r="L45">
        <f t="shared" si="32"/>
        <v>23.56</v>
      </c>
      <c r="M45">
        <f t="shared" si="14"/>
        <v>4.9999999999990052E-3</v>
      </c>
      <c r="U45">
        <f t="shared" ref="U45:V45" si="33">(U10+U26)/2</f>
        <v>-1.2946299999999911E-3</v>
      </c>
      <c r="V45">
        <f t="shared" si="33"/>
        <v>-4.232249999999993E-4</v>
      </c>
      <c r="AC45">
        <f t="shared" ref="AC45:AD45" si="34">(AC10+AC26)/2</f>
        <v>2.4745029748043583</v>
      </c>
      <c r="AD45">
        <f t="shared" si="34"/>
        <v>2.7819976715376118</v>
      </c>
    </row>
    <row r="46" spans="1:32" x14ac:dyDescent="0.25">
      <c r="A46">
        <v>9</v>
      </c>
      <c r="C46">
        <v>180</v>
      </c>
      <c r="K46">
        <f t="shared" ref="K46:L46" si="35">(K11+K27)/2</f>
        <v>23.6</v>
      </c>
      <c r="L46">
        <f t="shared" si="35"/>
        <v>23.6</v>
      </c>
      <c r="M46">
        <f t="shared" si="14"/>
        <v>0</v>
      </c>
      <c r="U46">
        <f>(U11+U27)/2</f>
        <v>2.2843849999999999E-3</v>
      </c>
      <c r="V46">
        <f t="shared" ref="V46" si="36">(V11+V27)/2</f>
        <v>-2.5124999999999731E-3</v>
      </c>
      <c r="AC46">
        <f t="shared" ref="AC46:AD46" si="37">(AC11+AC27)/2</f>
        <v>2.7901920966278047</v>
      </c>
      <c r="AD46">
        <f t="shared" si="37"/>
        <v>2.4362913759185512</v>
      </c>
    </row>
    <row r="47" spans="1:32" x14ac:dyDescent="0.25">
      <c r="A47">
        <v>10</v>
      </c>
      <c r="C47">
        <v>202.5</v>
      </c>
      <c r="K47">
        <f t="shared" ref="K47:L47" si="38">(K12+K28)/2</f>
        <v>23.685000000000002</v>
      </c>
      <c r="L47">
        <f t="shared" si="38"/>
        <v>23.695</v>
      </c>
      <c r="M47">
        <f t="shared" si="14"/>
        <v>-9.9999999999980105E-3</v>
      </c>
      <c r="U47">
        <f>(U12+U28)/2</f>
        <v>-4.1690000000010885E-5</v>
      </c>
      <c r="V47">
        <f t="shared" ref="V47" si="39">(V12+V28)/2</f>
        <v>-3.8191500000001044E-4</v>
      </c>
      <c r="AC47">
        <f t="shared" ref="AC47:AD47" si="40">(AC12+AC28)/2</f>
        <v>3.1198084670693826</v>
      </c>
      <c r="AD47">
        <f t="shared" si="40"/>
        <v>2.0101694247246202</v>
      </c>
    </row>
    <row r="48" spans="1:32" x14ac:dyDescent="0.25">
      <c r="A48">
        <v>11</v>
      </c>
      <c r="C48">
        <v>225</v>
      </c>
      <c r="K48">
        <f t="shared" ref="K48:L48" si="41">(K13+K29)/2</f>
        <v>23.594999999999999</v>
      </c>
      <c r="L48">
        <f t="shared" si="41"/>
        <v>23.62</v>
      </c>
      <c r="M48">
        <f t="shared" si="14"/>
        <v>-2.5000000000002132E-2</v>
      </c>
      <c r="U48">
        <f t="shared" ref="U48:V48" si="42">(U13+U29)/2</f>
        <v>-1.1771149999999925E-3</v>
      </c>
      <c r="V48">
        <f t="shared" si="42"/>
        <v>-3.3677299999999855E-3</v>
      </c>
      <c r="AC48">
        <f t="shared" ref="AC48:AD48" si="43">(AC13+AC29)/2</f>
        <v>3.2815145275482953</v>
      </c>
      <c r="AD48">
        <f t="shared" si="43"/>
        <v>1.6523592387628991</v>
      </c>
    </row>
    <row r="49" spans="1:30" x14ac:dyDescent="0.25">
      <c r="A49">
        <v>12</v>
      </c>
      <c r="C49">
        <v>247.5</v>
      </c>
      <c r="K49">
        <f t="shared" ref="K49:L49" si="44">(K14+K30)/2</f>
        <v>23.689999999999998</v>
      </c>
      <c r="L49">
        <f t="shared" si="44"/>
        <v>23.67</v>
      </c>
      <c r="M49">
        <f t="shared" si="14"/>
        <v>1.9999999999996021E-2</v>
      </c>
      <c r="U49">
        <f t="shared" ref="U49:V49" si="45">(U14+U30)/2</f>
        <v>-2.9041399999999995E-3</v>
      </c>
      <c r="V49">
        <f t="shared" si="45"/>
        <v>-7.3228499999999919E-4</v>
      </c>
      <c r="AC49">
        <f t="shared" ref="AC49:AD49" si="46">(AC14+AC30)/2</f>
        <v>3.3878799145676544</v>
      </c>
      <c r="AD49">
        <f t="shared" si="46"/>
        <v>1.4753138808515698</v>
      </c>
    </row>
    <row r="50" spans="1:30" x14ac:dyDescent="0.25">
      <c r="A50">
        <v>13</v>
      </c>
      <c r="C50">
        <v>270</v>
      </c>
      <c r="K50">
        <f t="shared" ref="K50:L50" si="47">(K15+K31)/2</f>
        <v>23.5</v>
      </c>
      <c r="L50">
        <f t="shared" si="47"/>
        <v>23.484999999999999</v>
      </c>
      <c r="M50">
        <f t="shared" si="14"/>
        <v>1.5000000000000568E-2</v>
      </c>
      <c r="U50">
        <f>(U15+U31)/2</f>
        <v>-1.3893150000000021E-3</v>
      </c>
      <c r="V50">
        <f t="shared" ref="V50" si="48">(V15+V31)/2</f>
        <v>-3.9326500000003151E-4</v>
      </c>
      <c r="AC50">
        <f t="shared" ref="AC50:AD50" si="49">(AC15+AC31)/2</f>
        <v>3.3945914618756703</v>
      </c>
      <c r="AD50">
        <f t="shared" si="49"/>
        <v>1.4401352190492092</v>
      </c>
    </row>
    <row r="51" spans="1:30" x14ac:dyDescent="0.25">
      <c r="A51">
        <v>14</v>
      </c>
      <c r="C51">
        <v>292.5</v>
      </c>
      <c r="K51">
        <f t="shared" ref="K51:L51" si="50">(K16+K32)/2</f>
        <v>23.5</v>
      </c>
      <c r="L51">
        <f t="shared" si="50"/>
        <v>23.504999999999999</v>
      </c>
      <c r="M51">
        <f t="shared" si="14"/>
        <v>-4.9999999999990052E-3</v>
      </c>
      <c r="U51">
        <f>(U16+U32)/2</f>
        <v>-1.0916799999999977E-3</v>
      </c>
      <c r="V51">
        <f t="shared" ref="V51" si="51">(V16+V32)/2</f>
        <v>-1.7698200000000053E-3</v>
      </c>
      <c r="AC51">
        <f t="shared" ref="AC51:AD51" si="52">(AC16+AC32)/2</f>
        <v>3.284389427083104</v>
      </c>
      <c r="AD51">
        <f t="shared" si="52"/>
        <v>1.7144076006256763</v>
      </c>
    </row>
    <row r="52" spans="1:30" x14ac:dyDescent="0.25">
      <c r="A52">
        <v>15</v>
      </c>
      <c r="C52">
        <v>315</v>
      </c>
      <c r="K52" s="29">
        <f>(K17+K33)</f>
        <v>23.64</v>
      </c>
      <c r="L52" s="29">
        <f>(L17+L33)</f>
        <v>23.64</v>
      </c>
      <c r="M52">
        <f t="shared" si="14"/>
        <v>0</v>
      </c>
      <c r="U52" s="30">
        <f>(U17+U33)</f>
        <v>3.9374499999999812E-3</v>
      </c>
      <c r="V52" s="30">
        <f>(V17+V33)</f>
        <v>-8.875999999999884E-4</v>
      </c>
      <c r="AC52" s="29">
        <f>(AC17+AC33)</f>
        <v>3.0483090421938068</v>
      </c>
      <c r="AD52" s="29">
        <f>(AD17+AD33)</f>
        <v>2.0578591415826333</v>
      </c>
    </row>
    <row r="53" spans="1:30" x14ac:dyDescent="0.25">
      <c r="A53">
        <v>16</v>
      </c>
      <c r="C53">
        <v>337.5</v>
      </c>
      <c r="K53">
        <f t="shared" ref="K53:L53" si="53">(K18+K34)/2</f>
        <v>23.594999999999999</v>
      </c>
      <c r="L53">
        <f t="shared" si="53"/>
        <v>23.615000000000002</v>
      </c>
      <c r="M53">
        <f t="shared" si="14"/>
        <v>-2.0000000000003126E-2</v>
      </c>
      <c r="U53">
        <f>(U18+U34)/2</f>
        <v>-4.2397999999999048E-4</v>
      </c>
      <c r="V53">
        <f t="shared" ref="V53" si="54">(V18+V34)/2</f>
        <v>-1.3916799999999785E-3</v>
      </c>
      <c r="AC53">
        <f t="shared" ref="AC53:AD53" si="55">(AC18+AC34)/2</f>
        <v>2.7645037159210819</v>
      </c>
      <c r="AD53">
        <f t="shared" si="55"/>
        <v>2.4617419502819371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T17-4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2026-08-02T16:49:30Z</dcterms:modified>
</cp:coreProperties>
</file>