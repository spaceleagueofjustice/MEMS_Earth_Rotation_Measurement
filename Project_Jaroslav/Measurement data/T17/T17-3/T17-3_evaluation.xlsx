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7\T17-3\"/>
    </mc:Choice>
  </mc:AlternateContent>
  <xr:revisionPtr revIDLastSave="0" documentId="13_ncr:1_{9A43F227-1B63-4394-AC22-9E70807B6566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7-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D52" i="1"/>
  <c r="AC52" i="1"/>
  <c r="V52" i="1"/>
  <c r="U52" i="1"/>
  <c r="M52" i="1"/>
  <c r="L52" i="1"/>
  <c r="K52" i="1"/>
  <c r="AD51" i="1"/>
  <c r="AC51" i="1"/>
  <c r="V51" i="1"/>
  <c r="U51" i="1"/>
  <c r="L51" i="1"/>
  <c r="K51" i="1"/>
  <c r="M51" i="1" s="1"/>
  <c r="AD50" i="1"/>
  <c r="AC50" i="1"/>
  <c r="V50" i="1"/>
  <c r="U50" i="1"/>
  <c r="M50" i="1"/>
  <c r="L50" i="1"/>
  <c r="K50" i="1"/>
  <c r="AD49" i="1"/>
  <c r="AC49" i="1"/>
  <c r="V49" i="1"/>
  <c r="U49" i="1"/>
  <c r="L49" i="1"/>
  <c r="K49" i="1"/>
  <c r="M49" i="1" s="1"/>
  <c r="AD48" i="1"/>
  <c r="AC48" i="1"/>
  <c r="V48" i="1"/>
  <c r="U48" i="1"/>
  <c r="M48" i="1"/>
  <c r="L48" i="1"/>
  <c r="K48" i="1"/>
  <c r="AD47" i="1"/>
  <c r="AC47" i="1"/>
  <c r="V47" i="1"/>
  <c r="U47" i="1"/>
  <c r="L47" i="1"/>
  <c r="K47" i="1"/>
  <c r="M47" i="1" s="1"/>
  <c r="AD46" i="1"/>
  <c r="AC46" i="1"/>
  <c r="V46" i="1"/>
  <c r="U46" i="1"/>
  <c r="L46" i="1"/>
  <c r="K46" i="1"/>
  <c r="M46" i="1" s="1"/>
  <c r="AD45" i="1"/>
  <c r="AC45" i="1"/>
  <c r="V45" i="1"/>
  <c r="U45" i="1"/>
  <c r="M45" i="1"/>
  <c r="L45" i="1"/>
  <c r="K45" i="1"/>
  <c r="AD44" i="1"/>
  <c r="AC44" i="1"/>
  <c r="V44" i="1"/>
  <c r="U44" i="1"/>
  <c r="L44" i="1"/>
  <c r="K44" i="1"/>
  <c r="M44" i="1" s="1"/>
  <c r="AD43" i="1"/>
  <c r="AC43" i="1"/>
  <c r="V43" i="1"/>
  <c r="U43" i="1"/>
  <c r="M43" i="1"/>
  <c r="L43" i="1"/>
  <c r="K43" i="1"/>
  <c r="AD42" i="1"/>
  <c r="AC42" i="1"/>
  <c r="V42" i="1"/>
  <c r="U42" i="1"/>
  <c r="L42" i="1"/>
  <c r="K42" i="1"/>
  <c r="M42" i="1" s="1"/>
  <c r="AD41" i="1"/>
  <c r="AC41" i="1"/>
  <c r="V41" i="1"/>
  <c r="U41" i="1"/>
  <c r="L41" i="1"/>
  <c r="M41" i="1" s="1"/>
  <c r="K41" i="1"/>
  <c r="AD40" i="1"/>
  <c r="AC40" i="1"/>
  <c r="V40" i="1"/>
  <c r="U40" i="1"/>
  <c r="L40" i="1"/>
  <c r="M40" i="1" s="1"/>
  <c r="K40" i="1"/>
  <c r="AD39" i="1"/>
  <c r="AC39" i="1"/>
  <c r="V39" i="1"/>
  <c r="U39" i="1"/>
  <c r="L39" i="1"/>
  <c r="K39" i="1"/>
  <c r="M39" i="1" s="1"/>
  <c r="AD38" i="1"/>
  <c r="AC38" i="1"/>
  <c r="V38" i="1"/>
  <c r="U38" i="1"/>
  <c r="M38" i="1"/>
  <c r="L38" i="1"/>
  <c r="K38" i="1"/>
  <c r="AD37" i="1"/>
  <c r="AC37" i="1"/>
  <c r="V37" i="1"/>
  <c r="U37" i="1"/>
  <c r="L37" i="1"/>
  <c r="K37" i="1"/>
  <c r="M37" i="1" s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E28" i="1" l="1"/>
  <c r="AF28" i="1" s="1"/>
  <c r="AD8" i="1"/>
  <c r="AD34" i="1"/>
  <c r="AD27" i="1"/>
  <c r="AD33" i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<sst xmlns="http://schemas.openxmlformats.org/spreadsheetml/2006/main" count="113" uniqueCount="67">
  <si>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</si>
  <si>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</si>
  <si>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</si>
  <si>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</si>
  <si>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</si>
  <si>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</si>
  <si>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</si>
  <si>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</si>
  <si>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</si>
  <si>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</si>
  <si>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</si>
  <si>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</si>
  <si>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</si>
  <si>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</si>
  <si>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</si>
  <si>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</si>
  <si>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</si>
  <si>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</si>
  <si>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</si>
  <si>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</si>
  <si>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</si>
  <si>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</si>
  <si>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</si>
  <si>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</si>
  <si>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</si>
  <si>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</si>
  <si>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</si>
  <si>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</si>
  <si>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</si>
  <si>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</si>
  <si>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</si>
  <si>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</si>
  <si>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</si>
  <si>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</si>
  <si>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</si>
  <si>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</si>
  <si>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</si>
  <si>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</si>
  <si>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</si>
  <si>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</si>
  <si>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</si>
  <si>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</si>
  <si>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</si>
  <si>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</si>
  <si>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</si>
  <si>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</si>
  <si>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</si>
  <si>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</si>
  <si>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</si>
  <si>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</si>
  <si>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</si>
  <si>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</si>
  <si>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</si>
  <si>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</si>
  <si>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</si>
  <si>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</si>
  <si>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</si>
  <si>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</si>
  <si>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</si>
  <si>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</si>
  <si>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living room</t>
  </si>
  <si>
    <t xml:space="preserve">Extended azimuth/tilt-Dependence Test (Randomized 360° Step Scan) </t>
  </si>
  <si>
    <t>T17-3</t>
  </si>
  <si>
    <t>CCW</t>
  </si>
  <si>
    <t>CW</t>
  </si>
  <si>
    <t>- Rotace ramene CW/CCW
- Náhodné azimuty pro celých 360°
- 4x různý azimut sestavy (0°-90°-180°-270°)
- Azimut ramene při startu vžy 0° (sever)
- Kalibrace nulového náklonu do 0,5° (přibližně)
- Vyměněné měřicí rameno
- TEST MÁ VYVRÁTIT/POTVRDIT MOŽNOST, ŽE FÁZE SIGNÁLU JE GENEROVANÁ I MINIMÁLNÍM NÁKLONEM SESTAVY
- Oprava xA-xC na správný směr xC-xA</t>
  </si>
  <si>
    <t>(xC-xA)/2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</si>
</sst>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vertical="center" textRotation="45"/>
    </xf>
    <xf numFmtId="0" fontId="6" fillId="0" borderId="0" xfId="0" applyFont="1" applyAlignment="1">
      <alignment textRotation="90"/>
    </xf>
    <xf numFmtId="0" fontId="6" fillId="0" borderId="0" xfId="0" applyFont="1" applyAlignment="1">
      <alignment vertical="center" textRotation="135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textRotation="45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top" textRotation="90"/>
    </xf>
    <xf numFmtId="0" fontId="6" fillId="0" borderId="0" xfId="0" applyFont="1" applyAlignment="1">
      <alignment horizontal="left" vertical="center" textRotation="45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'T17-3'!$U$2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'T17-3'!$C$3:$C$18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'T17-3'!$U$3:$U$18</c:f>
              <c:numCache>
                <c:formatCode>0.000000</c:formatCode>
                <c:ptCount val="16"/>
                <c:pt idx="0">
                  <c:v>-1.9750000000000045E-3</c:v>
                </c:pt>
                <c:pt idx="1">
                  <c:v>1.6606799999999977E-3</c:v>
                </c:pt>
                <c:pt idx="2">
                  <c:v>1.0749800000000032E-3</c:v>
                </c:pt>
                <c:pt idx="3">
                  <c:v>3.1416300000000064E-3</c:v>
                </c:pt>
                <c:pt idx="4">
                  <c:v>8.8123000000001062E-4</c:v>
                </c:pt>
                <c:pt idx="5">
                  <c:v>-1.8900000000000028E-3</c:v>
                </c:pt>
                <c:pt idx="6">
                  <c:v>-5.7920000000000194E-4</c:v>
                </c:pt>
                <c:pt idx="7">
                  <c:v>-9.999899999999784E-4</c:v>
                </c:pt>
                <c:pt idx="8">
                  <c:v>-8.5750399999999782E-3</c:v>
                </c:pt>
                <c:pt idx="9">
                  <c:v>-1.5416600000000003E-3</c:v>
                </c:pt>
                <c:pt idx="10">
                  <c:v>-3.5625400000000029E-3</c:v>
                </c:pt>
                <c:pt idx="11">
                  <c:v>-2.7333400000000008E-3</c:v>
                </c:pt>
                <c:pt idx="12">
                  <c:v>-1.4646000000001491E-4</c:v>
                </c:pt>
                <c:pt idx="13">
                  <c:v>1.7562399999999923E-3</c:v>
                </c:pt>
                <c:pt idx="14">
                  <c:v>6.7498999999998643E-4</c:v>
                </c:pt>
                <c:pt idx="15">
                  <c:v>1.745019999999986E-3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'T17-3'!$V$2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'T17-3'!$C$3:$C$18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'T17-3'!$V$3:$V$18</c:f>
              <c:numCache>
                <c:formatCode>0.000000</c:formatCode>
                <c:ptCount val="16"/>
                <c:pt idx="0">
                  <c:v>-9.9377999999999966E-4</c:v>
                </c:pt>
                <c:pt idx="1">
                  <c:v>-4.9321999999999977E-3</c:v>
                </c:pt>
                <c:pt idx="2">
                  <c:v>-2.375000000000016E-4</c:v>
                </c:pt>
                <c:pt idx="3">
                  <c:v>3.0833200000000005E-3</c:v>
                </c:pt>
                <c:pt idx="4">
                  <c:v>2.3813299999999593E-3</c:v>
                </c:pt>
                <c:pt idx="5">
                  <c:v>3.9002999999998567E-4</c:v>
                </c:pt>
                <c:pt idx="6">
                  <c:v>3.6667200000000122E-3</c:v>
                </c:pt>
                <c:pt idx="7">
                  <c:v>3.3437400000000395E-3</c:v>
                </c:pt>
                <c:pt idx="8">
                  <c:v>2.4999999999997247E-5</c:v>
                </c:pt>
                <c:pt idx="9">
                  <c:v>8.9164999999996608E-4</c:v>
                </c:pt>
                <c:pt idx="10">
                  <c:v>-1.2459999999991922E-5</c:v>
                </c:pt>
                <c:pt idx="11">
                  <c:v>-2.6250400000000229E-3</c:v>
                </c:pt>
                <c:pt idx="12">
                  <c:v>-5.5286499999999683E-3</c:v>
                </c:pt>
                <c:pt idx="13">
                  <c:v>-5.3187800000000229E-3</c:v>
                </c:pt>
                <c:pt idx="14">
                  <c:v>-4.7417400000000498E-3</c:v>
                </c:pt>
                <c:pt idx="15">
                  <c:v>-1.4449500000000004E-3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'T17-3'!$U$2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'T17-3'!$U$19:$U$34</c:f>
              <c:numCache>
                <c:formatCode>0.000000</c:formatCode>
                <c:ptCount val="16"/>
                <c:pt idx="0">
                  <c:v>2.5780999999999998E-3</c:v>
                </c:pt>
                <c:pt idx="1">
                  <c:v>2.810740000000006E-3</c:v>
                </c:pt>
                <c:pt idx="2">
                  <c:v>1.4687899999999976E-3</c:v>
                </c:pt>
                <c:pt idx="3">
                  <c:v>1.2503999999999293E-4</c:v>
                </c:pt>
                <c:pt idx="4">
                  <c:v>-1.6998999999998099E-4</c:v>
                </c:pt>
                <c:pt idx="5">
                  <c:v>-5.7200000000000029E-3</c:v>
                </c:pt>
                <c:pt idx="6">
                  <c:v>1.3583700000000254E-3</c:v>
                </c:pt>
                <c:pt idx="7">
                  <c:v>-3.6550300000000036E-3</c:v>
                </c:pt>
                <c:pt idx="8">
                  <c:v>9.9990000000022006E-5</c:v>
                </c:pt>
                <c:pt idx="9">
                  <c:v>-3.7500000000001421E-4</c:v>
                </c:pt>
                <c:pt idx="10">
                  <c:v>-3.5250000000000004E-3</c:v>
                </c:pt>
                <c:pt idx="11">
                  <c:v>-1.4999999999987246E-5</c:v>
                </c:pt>
                <c:pt idx="12">
                  <c:v>-5.3000000000000269E-4</c:v>
                </c:pt>
                <c:pt idx="13">
                  <c:v>1.8875200000000036E-3</c:v>
                </c:pt>
                <c:pt idx="14">
                  <c:v>9.7500000000000364E-4</c:v>
                </c:pt>
                <c:pt idx="15">
                  <c:v>-8.2502000000000963E-4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2-432C-B340-A0A49C89DECF}"/>
            </c:ext>
          </c:extLst>
        </c:ser>
        <c:ser>
          <c:idx val="3"/>
          <c:order val="3"/>
          <c:tx>
            <c:strRef>
              <c:f>'T17-3'!$V$2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'T17-3'!$V$19:$V$34</c:f>
              <c:numCache>
                <c:formatCode>0.000000</c:formatCode>
                <c:ptCount val="16"/>
                <c:pt idx="0">
                  <c:v>5.4999999999999494E-4</c:v>
                </c:pt>
                <c:pt idx="1">
                  <c:v>1.1392399999999858E-3</c:v>
                </c:pt>
                <c:pt idx="2">
                  <c:v>2.0749700000000093E-3</c:v>
                </c:pt>
                <c:pt idx="3">
                  <c:v>3.2084000000000001E-3</c:v>
                </c:pt>
                <c:pt idx="4">
                  <c:v>1.1200000000000099E-3</c:v>
                </c:pt>
                <c:pt idx="5">
                  <c:v>1.1649599999999927E-3</c:v>
                </c:pt>
                <c:pt idx="6">
                  <c:v>1.4417000000000457E-3</c:v>
                </c:pt>
                <c:pt idx="7">
                  <c:v>3.7449999999999983E-3</c:v>
                </c:pt>
                <c:pt idx="8">
                  <c:v>7.1999999999999842E-4</c:v>
                </c:pt>
                <c:pt idx="9">
                  <c:v>1.6459000000000334E-3</c:v>
                </c:pt>
                <c:pt idx="10">
                  <c:v>-3.2900800000000285E-3</c:v>
                </c:pt>
                <c:pt idx="11">
                  <c:v>1.1700399999999833E-3</c:v>
                </c:pt>
                <c:pt idx="12">
                  <c:v>-2.8500799999999771E-3</c:v>
                </c:pt>
                <c:pt idx="13">
                  <c:v>-7.2625899999999577E-3</c:v>
                </c:pt>
                <c:pt idx="14">
                  <c:v>-3.9249800000000223E-3</c:v>
                </c:pt>
                <c:pt idx="15">
                  <c:v>2.1249100000000354E-3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2-432C-B340-A0A49C89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'T17-3'!$AC$2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'T17-3'!$AC$37:$AC$52</c:f>
              <c:numCache>
                <c:formatCode>General</c:formatCode>
                <c:ptCount val="16"/>
                <c:pt idx="0">
                  <c:v>2.0813806882059529</c:v>
                </c:pt>
                <c:pt idx="1">
                  <c:v>2.1507038436185484</c:v>
                </c:pt>
                <c:pt idx="2">
                  <c:v>2.2797292723558029</c:v>
                </c:pt>
                <c:pt idx="3">
                  <c:v>2.3915824813710937</c:v>
                </c:pt>
                <c:pt idx="4">
                  <c:v>2.5360518766454039</c:v>
                </c:pt>
                <c:pt idx="5">
                  <c:v>2.5938390445680923</c:v>
                </c:pt>
                <c:pt idx="6">
                  <c:v>2.7383837567762295</c:v>
                </c:pt>
                <c:pt idx="7">
                  <c:v>2.7368016616169104</c:v>
                </c:pt>
                <c:pt idx="8">
                  <c:v>2.7500489460629227</c:v>
                </c:pt>
                <c:pt idx="9">
                  <c:v>2.677448828573552</c:v>
                </c:pt>
                <c:pt idx="10">
                  <c:v>2.5937100082784621</c:v>
                </c:pt>
                <c:pt idx="11">
                  <c:v>2.4497129576200813</c:v>
                </c:pt>
                <c:pt idx="12">
                  <c:v>2.3452907646893926</c:v>
                </c:pt>
                <c:pt idx="13">
                  <c:v>2.1804877889442378</c:v>
                </c:pt>
                <c:pt idx="14">
                  <c:v>2.0965403313379389</c:v>
                </c:pt>
                <c:pt idx="15">
                  <c:v>2.0426170603800786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'T17-3'!$AD$2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'T17-3'!$AD$37:$AD$52</c:f>
              <c:numCache>
                <c:formatCode>General</c:formatCode>
                <c:ptCount val="16"/>
                <c:pt idx="0">
                  <c:v>2.7198823584534955</c:v>
                </c:pt>
                <c:pt idx="1">
                  <c:v>2.6804665001103416</c:v>
                </c:pt>
                <c:pt idx="2">
                  <c:v>2.6122567711744153</c:v>
                </c:pt>
                <c:pt idx="3">
                  <c:v>2.5117732176346976</c:v>
                </c:pt>
                <c:pt idx="4">
                  <c:v>2.3886991626499974</c:v>
                </c:pt>
                <c:pt idx="5">
                  <c:v>2.2261577473749408</c:v>
                </c:pt>
                <c:pt idx="6">
                  <c:v>2.1682975840395837</c:v>
                </c:pt>
                <c:pt idx="7">
                  <c:v>2.1038064678310091</c:v>
                </c:pt>
                <c:pt idx="8">
                  <c:v>2.0921665617876331</c:v>
                </c:pt>
                <c:pt idx="9">
                  <c:v>2.1575437304375145</c:v>
                </c:pt>
                <c:pt idx="10">
                  <c:v>2.3397067537424365</c:v>
                </c:pt>
                <c:pt idx="11">
                  <c:v>2.4371930726984581</c:v>
                </c:pt>
                <c:pt idx="12">
                  <c:v>2.5713955876630834</c:v>
                </c:pt>
                <c:pt idx="13">
                  <c:v>2.6549917757811103</c:v>
                </c:pt>
                <c:pt idx="14">
                  <c:v>2.739951770684701</c:v>
                </c:pt>
                <c:pt idx="15">
                  <c:v>2.7057647226826731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'T17-3'!$K$2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'T17-3'!$K$37:$K$52</c:f>
              <c:numCache>
                <c:formatCode>General</c:formatCode>
                <c:ptCount val="16"/>
                <c:pt idx="0">
                  <c:v>23.62</c:v>
                </c:pt>
                <c:pt idx="1">
                  <c:v>23.59</c:v>
                </c:pt>
                <c:pt idx="2">
                  <c:v>23.634999999999998</c:v>
                </c:pt>
                <c:pt idx="3">
                  <c:v>23.54</c:v>
                </c:pt>
                <c:pt idx="4">
                  <c:v>23.605</c:v>
                </c:pt>
                <c:pt idx="5">
                  <c:v>23.65</c:v>
                </c:pt>
                <c:pt idx="6">
                  <c:v>23.5</c:v>
                </c:pt>
                <c:pt idx="7">
                  <c:v>23.535</c:v>
                </c:pt>
                <c:pt idx="8">
                  <c:v>23.65</c:v>
                </c:pt>
                <c:pt idx="9">
                  <c:v>23.565000000000001</c:v>
                </c:pt>
                <c:pt idx="10">
                  <c:v>23.555</c:v>
                </c:pt>
                <c:pt idx="11">
                  <c:v>23.625</c:v>
                </c:pt>
                <c:pt idx="12">
                  <c:v>23.56</c:v>
                </c:pt>
                <c:pt idx="13">
                  <c:v>23.625</c:v>
                </c:pt>
                <c:pt idx="14">
                  <c:v>23.655000000000001</c:v>
                </c:pt>
                <c:pt idx="15">
                  <c:v>23.64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'T17-3'!$L$2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'T17-3'!$L$37:$L$52</c:f>
              <c:numCache>
                <c:formatCode>General</c:formatCode>
                <c:ptCount val="16"/>
                <c:pt idx="0">
                  <c:v>23.61</c:v>
                </c:pt>
                <c:pt idx="1">
                  <c:v>23.6</c:v>
                </c:pt>
                <c:pt idx="2">
                  <c:v>23.645</c:v>
                </c:pt>
                <c:pt idx="3">
                  <c:v>23.53</c:v>
                </c:pt>
                <c:pt idx="4">
                  <c:v>23.59</c:v>
                </c:pt>
                <c:pt idx="5">
                  <c:v>23.67</c:v>
                </c:pt>
                <c:pt idx="6">
                  <c:v>23.5</c:v>
                </c:pt>
                <c:pt idx="7">
                  <c:v>23.555</c:v>
                </c:pt>
                <c:pt idx="8">
                  <c:v>23.61</c:v>
                </c:pt>
                <c:pt idx="9">
                  <c:v>23.564999999999998</c:v>
                </c:pt>
                <c:pt idx="10">
                  <c:v>23.55</c:v>
                </c:pt>
                <c:pt idx="11">
                  <c:v>23.61</c:v>
                </c:pt>
                <c:pt idx="12">
                  <c:v>23.560000000000002</c:v>
                </c:pt>
                <c:pt idx="13">
                  <c:v>23.630000000000003</c:v>
                </c:pt>
                <c:pt idx="14">
                  <c:v>23.655000000000001</c:v>
                </c:pt>
                <c:pt idx="15">
                  <c:v>23.63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'T17-3'!$D$2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'T17-3'!$C$3:$C$18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'T17-3'!$D$3:$D$18</c:f>
              <c:numCache>
                <c:formatCode>General</c:formatCode>
                <c:ptCount val="16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7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'T17-3'!$D$2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'T17-3'!$C$3:$C$18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'T17-3'!$D$19:$D$34</c:f>
              <c:numCache>
                <c:formatCode>General</c:formatCode>
                <c:ptCount val="16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7-425E-9911-1B20E9A9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'T17-3'!$M$2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'T17-3'!$M$37:$M$52</c:f>
              <c:numCache>
                <c:formatCode>General</c:formatCode>
                <c:ptCount val="16"/>
                <c:pt idx="0">
                  <c:v>1.0000000000001563E-2</c:v>
                </c:pt>
                <c:pt idx="1">
                  <c:v>-1.0000000000001563E-2</c:v>
                </c:pt>
                <c:pt idx="2">
                  <c:v>-1.0000000000001563E-2</c:v>
                </c:pt>
                <c:pt idx="3">
                  <c:v>9.9999999999980105E-3</c:v>
                </c:pt>
                <c:pt idx="4">
                  <c:v>1.5000000000000568E-2</c:v>
                </c:pt>
                <c:pt idx="5">
                  <c:v>-2.0000000000003126E-2</c:v>
                </c:pt>
                <c:pt idx="6">
                  <c:v>0</c:v>
                </c:pt>
                <c:pt idx="7">
                  <c:v>-1.9999999999999574E-2</c:v>
                </c:pt>
                <c:pt idx="8">
                  <c:v>3.9999999999999147E-2</c:v>
                </c:pt>
                <c:pt idx="9">
                  <c:v>0</c:v>
                </c:pt>
                <c:pt idx="10">
                  <c:v>4.9999999999990052E-3</c:v>
                </c:pt>
                <c:pt idx="11">
                  <c:v>1.5000000000000568E-2</c:v>
                </c:pt>
                <c:pt idx="12">
                  <c:v>0</c:v>
                </c:pt>
                <c:pt idx="13">
                  <c:v>-5.000000000002558E-3</c:v>
                </c:pt>
                <c:pt idx="14">
                  <c:v>0</c:v>
                </c:pt>
                <c:pt idx="15">
                  <c:v>1.0000000000001563E-2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'T17-3'!$U$2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'T17-3'!$U$37:$U$52</c:f>
              <c:numCache>
                <c:formatCode>General</c:formatCode>
                <c:ptCount val="16"/>
                <c:pt idx="0">
                  <c:v>3.0154999999999765E-4</c:v>
                </c:pt>
                <c:pt idx="1">
                  <c:v>2.2357100000000019E-3</c:v>
                </c:pt>
                <c:pt idx="2">
                  <c:v>1.2718850000000004E-3</c:v>
                </c:pt>
                <c:pt idx="3">
                  <c:v>1.6333349999999996E-3</c:v>
                </c:pt>
                <c:pt idx="4">
                  <c:v>3.5562000000001481E-4</c:v>
                </c:pt>
                <c:pt idx="5">
                  <c:v>-3.8050000000000028E-3</c:v>
                </c:pt>
                <c:pt idx="6">
                  <c:v>3.8958500000001173E-4</c:v>
                </c:pt>
                <c:pt idx="7">
                  <c:v>-2.327509999999991E-3</c:v>
                </c:pt>
                <c:pt idx="8">
                  <c:v>-4.2375249999999781E-3</c:v>
                </c:pt>
                <c:pt idx="9">
                  <c:v>-9.5833000000000723E-4</c:v>
                </c:pt>
                <c:pt idx="10">
                  <c:v>-3.5437700000000016E-3</c:v>
                </c:pt>
                <c:pt idx="11">
                  <c:v>-1.374169999999994E-3</c:v>
                </c:pt>
                <c:pt idx="12">
                  <c:v>-3.382300000000088E-4</c:v>
                </c:pt>
                <c:pt idx="13">
                  <c:v>1.8218799999999979E-3</c:v>
                </c:pt>
                <c:pt idx="14">
                  <c:v>8.2499499999999504E-4</c:v>
                </c:pt>
                <c:pt idx="15">
                  <c:v>4.599999999999882E-4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D32-462A-8379-0134D2D6411E}"/>
            </c:ext>
          </c:extLst>
        </c:ser>
        <c:ser>
          <c:idx val="1"/>
          <c:order val="1"/>
          <c:tx>
            <c:strRef>
              <c:f>'T17-3'!$V$2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'T17-3'!$V$37:$V$52</c:f>
              <c:numCache>
                <c:formatCode>General</c:formatCode>
                <c:ptCount val="16"/>
                <c:pt idx="0">
                  <c:v>-2.2189000000000236E-4</c:v>
                </c:pt>
                <c:pt idx="1">
                  <c:v>-1.8964800000000059E-3</c:v>
                </c:pt>
                <c:pt idx="2">
                  <c:v>9.1873500000000385E-4</c:v>
                </c:pt>
                <c:pt idx="3">
                  <c:v>3.1458600000000003E-3</c:v>
                </c:pt>
                <c:pt idx="4">
                  <c:v>1.7506649999999846E-3</c:v>
                </c:pt>
                <c:pt idx="5">
                  <c:v>7.7749499999998917E-4</c:v>
                </c:pt>
                <c:pt idx="6">
                  <c:v>2.554210000000029E-3</c:v>
                </c:pt>
                <c:pt idx="7">
                  <c:v>3.5443700000000189E-3</c:v>
                </c:pt>
                <c:pt idx="8">
                  <c:v>3.7249999999999783E-4</c:v>
                </c:pt>
                <c:pt idx="9">
                  <c:v>1.2687749999999998E-3</c:v>
                </c:pt>
                <c:pt idx="10">
                  <c:v>-1.6512700000000102E-3</c:v>
                </c:pt>
                <c:pt idx="11">
                  <c:v>-7.275000000000198E-4</c:v>
                </c:pt>
                <c:pt idx="12">
                  <c:v>-4.1893649999999727E-3</c:v>
                </c:pt>
                <c:pt idx="13">
                  <c:v>-6.2906849999999903E-3</c:v>
                </c:pt>
                <c:pt idx="14">
                  <c:v>-4.3333600000000361E-3</c:v>
                </c:pt>
                <c:pt idx="15">
                  <c:v>3.3998000000001749E-4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D32-462A-8379-0134D2D6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1</xdr:rowOff>
    </xdr:from>
    <xdr:to>
      <xdr:col>25</xdr:col>
      <xdr:colOff>0</xdr:colOff>
      <xdr:row>84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</xdr:colOff>
      <xdr:row>24</xdr:row>
      <xdr:rowOff>1</xdr:rowOff>
    </xdr:from>
    <xdr:to>
      <xdr:col>25</xdr:col>
      <xdr:colOff>1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2DCB03-E7FB-4C4C-B8AD-ABA82EBB6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R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44" ht="15.75" customHeight="1" x14ac:dyDescent="0.25">
      <c r="A1" s="48" t="s">
        <v>29</v>
      </c>
      <c r="B1" s="48"/>
      <c r="C1" s="48" t="s">
        <v>62</v>
      </c>
      <c r="D1" s="48"/>
      <c r="E1" s="48" t="s">
        <v>61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AC1" s="66" t="s">
        <v>53</v>
      </c>
      <c r="AD1" s="67"/>
      <c r="AE1" s="67"/>
      <c r="AF1" s="67"/>
      <c r="AG1" s="68"/>
    </row>
    <row r="2" spans="1:44" ht="15.75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AC2" s="69"/>
      <c r="AD2" s="70"/>
      <c r="AE2" s="70"/>
      <c r="AF2" s="70"/>
      <c r="AG2" s="71"/>
    </row>
    <row r="4" spans="1:44" x14ac:dyDescent="0.25">
      <c r="A4" s="40" t="s">
        <v>30</v>
      </c>
      <c r="B4" s="40"/>
      <c r="C4" s="40"/>
      <c r="D4" s="40"/>
      <c r="E4" s="40"/>
      <c r="F4" s="40"/>
      <c r="G4" s="43">
        <v>180</v>
      </c>
      <c r="H4" s="44"/>
      <c r="I4" s="2" t="s">
        <v>18</v>
      </c>
      <c r="K4" s="49" t="s">
        <v>45</v>
      </c>
      <c r="L4" s="49"/>
      <c r="M4" s="49"/>
      <c r="N4" s="49"/>
      <c r="O4" s="49"/>
      <c r="P4" s="49"/>
      <c r="R4" s="49" t="s">
        <v>46</v>
      </c>
      <c r="S4" s="49"/>
      <c r="T4" s="49"/>
      <c r="U4" s="49"/>
      <c r="V4" s="49"/>
      <c r="W4" s="49"/>
      <c r="X4" s="49"/>
      <c r="Y4" s="49"/>
      <c r="AC4" s="55"/>
      <c r="AD4" s="58"/>
      <c r="AE4" s="59" t="s">
        <v>59</v>
      </c>
      <c r="AF4" s="58"/>
      <c r="AG4" s="55"/>
    </row>
    <row r="5" spans="1:44" ht="15.75" customHeight="1" x14ac:dyDescent="0.25">
      <c r="A5" s="35" t="s">
        <v>31</v>
      </c>
      <c r="B5" s="36"/>
      <c r="C5" s="36"/>
      <c r="D5" s="36"/>
      <c r="E5" s="36"/>
      <c r="F5" s="37"/>
      <c r="G5" s="43">
        <v>0</v>
      </c>
      <c r="H5" s="44"/>
      <c r="I5" s="2" t="s">
        <v>18</v>
      </c>
      <c r="K5" s="78" t="s">
        <v>65</v>
      </c>
      <c r="L5" s="79"/>
      <c r="M5" s="79"/>
      <c r="N5" s="79"/>
      <c r="O5" s="79"/>
      <c r="P5" s="80"/>
      <c r="R5" s="45" t="s">
        <v>48</v>
      </c>
      <c r="S5" s="45"/>
      <c r="T5" s="45"/>
      <c r="U5" s="45"/>
      <c r="V5" s="45"/>
      <c r="W5" s="45"/>
      <c r="X5" s="45"/>
      <c r="Y5" s="45"/>
      <c r="AC5" s="55"/>
      <c r="AD5" s="58"/>
      <c r="AE5" s="59"/>
      <c r="AF5" s="58"/>
      <c r="AG5" s="55"/>
    </row>
    <row r="6" spans="1:44" x14ac:dyDescent="0.25">
      <c r="A6" s="40" t="s">
        <v>32</v>
      </c>
      <c r="B6" s="40"/>
      <c r="C6" s="40"/>
      <c r="D6" s="40"/>
      <c r="E6" s="40"/>
      <c r="F6" s="40"/>
      <c r="G6" s="47">
        <v>0</v>
      </c>
      <c r="H6" s="47"/>
      <c r="I6" s="2" t="s">
        <v>24</v>
      </c>
      <c r="K6" s="81"/>
      <c r="L6" s="82"/>
      <c r="M6" s="82"/>
      <c r="N6" s="82"/>
      <c r="O6" s="82"/>
      <c r="P6" s="83"/>
      <c r="R6" s="45"/>
      <c r="S6" s="45"/>
      <c r="T6" s="45"/>
      <c r="U6" s="45"/>
      <c r="V6" s="45"/>
      <c r="W6" s="45"/>
      <c r="X6" s="45"/>
      <c r="Y6" s="45"/>
      <c r="AC6" s="55"/>
      <c r="AD6" s="58"/>
      <c r="AE6" s="59"/>
      <c r="AF6" s="58"/>
      <c r="AG6" s="55"/>
    </row>
    <row r="7" spans="1:44" ht="15.75" customHeight="1" x14ac:dyDescent="0.25">
      <c r="A7" s="35" t="s">
        <v>52</v>
      </c>
      <c r="B7" s="36"/>
      <c r="C7" s="36"/>
      <c r="D7" s="36"/>
      <c r="E7" s="36"/>
      <c r="F7" s="37"/>
      <c r="G7" s="43" t="s">
        <v>60</v>
      </c>
      <c r="H7" s="44"/>
      <c r="I7" s="2"/>
      <c r="K7" s="81"/>
      <c r="L7" s="82"/>
      <c r="M7" s="82"/>
      <c r="N7" s="82"/>
      <c r="O7" s="82"/>
      <c r="P7" s="83"/>
      <c r="R7" s="45"/>
      <c r="S7" s="45"/>
      <c r="T7" s="45"/>
      <c r="U7" s="45"/>
      <c r="V7" s="45"/>
      <c r="W7" s="45"/>
      <c r="X7" s="45"/>
      <c r="Y7" s="45"/>
      <c r="AC7" s="29" t="s">
        <v>49</v>
      </c>
      <c r="AD7" s="30" t="s">
        <v>49</v>
      </c>
      <c r="AE7" s="30" t="s">
        <v>49</v>
      </c>
      <c r="AF7" s="30" t="s">
        <v>49</v>
      </c>
      <c r="AG7" s="31" t="s">
        <v>49</v>
      </c>
    </row>
    <row r="8" spans="1:44" x14ac:dyDescent="0.25">
      <c r="A8" s="40" t="s">
        <v>15</v>
      </c>
      <c r="B8" s="40"/>
      <c r="C8" s="40"/>
      <c r="D8" s="40"/>
      <c r="E8" s="40"/>
      <c r="F8" s="40"/>
      <c r="G8" s="46">
        <f>360/((23*60*60)+(56*60)+4.09)</f>
        <v>4.1780746480349299E-3</v>
      </c>
      <c r="H8" s="46"/>
      <c r="I8" s="2" t="s">
        <v>16</v>
      </c>
      <c r="K8" s="81"/>
      <c r="L8" s="82"/>
      <c r="M8" s="82"/>
      <c r="N8" s="82"/>
      <c r="O8" s="82"/>
      <c r="P8" s="83"/>
      <c r="R8" s="45"/>
      <c r="S8" s="45"/>
      <c r="T8" s="45"/>
      <c r="U8" s="45"/>
      <c r="V8" s="45"/>
      <c r="W8" s="45"/>
      <c r="X8" s="45"/>
      <c r="Y8" s="45"/>
      <c r="AC8" s="29"/>
      <c r="AD8" s="30"/>
      <c r="AE8" s="30"/>
      <c r="AF8" s="30"/>
      <c r="AG8" s="31"/>
    </row>
    <row r="9" spans="1:44" x14ac:dyDescent="0.25">
      <c r="A9" s="40" t="s">
        <v>17</v>
      </c>
      <c r="B9" s="40"/>
      <c r="C9" s="40"/>
      <c r="D9" s="40"/>
      <c r="E9" s="40"/>
      <c r="F9" s="40"/>
      <c r="G9" s="47">
        <v>49</v>
      </c>
      <c r="H9" s="47"/>
      <c r="I9" s="2" t="s">
        <v>18</v>
      </c>
      <c r="K9" s="81"/>
      <c r="L9" s="82"/>
      <c r="M9" s="82"/>
      <c r="N9" s="82"/>
      <c r="O9" s="82"/>
      <c r="P9" s="83"/>
      <c r="R9" s="45"/>
      <c r="S9" s="45"/>
      <c r="T9" s="45"/>
      <c r="U9" s="45"/>
      <c r="V9" s="45"/>
      <c r="W9" s="45"/>
      <c r="X9" s="45"/>
      <c r="Y9" s="45"/>
      <c r="AC9" s="29"/>
      <c r="AD9" s="30"/>
      <c r="AE9" s="30"/>
      <c r="AF9" s="30"/>
      <c r="AG9" s="31"/>
    </row>
    <row r="10" spans="1:44" ht="15.75" customHeight="1" x14ac:dyDescent="0.25">
      <c r="A10" s="50" t="s">
        <v>19</v>
      </c>
      <c r="B10" s="51"/>
      <c r="C10" s="51"/>
      <c r="D10" s="51"/>
      <c r="E10" s="51"/>
      <c r="F10" s="52"/>
      <c r="G10" s="53">
        <f>(COS(RADIANS(G9))*G8)</f>
        <v>2.7410635966396515E-3</v>
      </c>
      <c r="H10" s="54"/>
      <c r="I10" s="3" t="s">
        <v>16</v>
      </c>
      <c r="K10" s="81"/>
      <c r="L10" s="82"/>
      <c r="M10" s="82"/>
      <c r="N10" s="82"/>
      <c r="O10" s="82"/>
      <c r="P10" s="83"/>
      <c r="R10" s="13"/>
      <c r="S10" s="13"/>
      <c r="T10" s="13"/>
      <c r="U10" s="13"/>
      <c r="V10" s="13"/>
      <c r="W10" s="13"/>
      <c r="X10" s="13"/>
      <c r="Y10" s="13"/>
      <c r="AC10" s="60" t="s">
        <v>49</v>
      </c>
      <c r="AD10" s="61"/>
      <c r="AE10" s="62" t="s">
        <v>51</v>
      </c>
      <c r="AF10" s="61"/>
      <c r="AG10" s="72" t="s">
        <v>49</v>
      </c>
      <c r="AN10" s="22"/>
      <c r="AO10" s="22"/>
      <c r="AP10" s="23"/>
      <c r="AQ10" s="22"/>
      <c r="AR10" s="22"/>
    </row>
    <row r="11" spans="1:44" ht="15.75" customHeight="1" x14ac:dyDescent="0.25">
      <c r="A11" s="40" t="s">
        <v>33</v>
      </c>
      <c r="B11" s="40"/>
      <c r="C11" s="40"/>
      <c r="D11" s="40"/>
      <c r="E11" s="40"/>
      <c r="F11" s="40"/>
      <c r="G11" s="47">
        <v>22.5</v>
      </c>
      <c r="H11" s="47"/>
      <c r="I11" s="2" t="s">
        <v>18</v>
      </c>
      <c r="K11" s="81"/>
      <c r="L11" s="82"/>
      <c r="M11" s="82"/>
      <c r="N11" s="82"/>
      <c r="O11" s="82"/>
      <c r="P11" s="83"/>
      <c r="R11" s="13"/>
      <c r="S11" s="13"/>
      <c r="T11" s="13"/>
      <c r="U11" s="13"/>
      <c r="V11" s="13"/>
      <c r="W11" s="13"/>
      <c r="X11" s="13"/>
      <c r="Y11" s="13"/>
      <c r="AC11" s="60"/>
      <c r="AD11" s="61"/>
      <c r="AE11" s="62"/>
      <c r="AF11" s="61"/>
      <c r="AG11" s="72"/>
      <c r="AN11" s="22"/>
      <c r="AO11" s="22"/>
      <c r="AP11" s="23"/>
      <c r="AQ11" s="22"/>
      <c r="AR11" s="22"/>
    </row>
    <row r="12" spans="1:44" ht="15.75" customHeight="1" x14ac:dyDescent="0.25">
      <c r="A12" s="35" t="s">
        <v>34</v>
      </c>
      <c r="B12" s="36"/>
      <c r="C12" s="36"/>
      <c r="D12" s="36"/>
      <c r="E12" s="36"/>
      <c r="F12" s="37"/>
      <c r="G12" s="43">
        <f>360/G11</f>
        <v>16</v>
      </c>
      <c r="H12" s="44"/>
      <c r="I12" s="2"/>
      <c r="K12" s="81"/>
      <c r="L12" s="82"/>
      <c r="M12" s="82"/>
      <c r="N12" s="82"/>
      <c r="O12" s="82"/>
      <c r="P12" s="83"/>
      <c r="R12" s="8"/>
      <c r="S12" s="8"/>
      <c r="T12" s="8"/>
      <c r="U12" s="8"/>
      <c r="V12" s="8"/>
      <c r="W12" s="8"/>
      <c r="X12" s="8"/>
      <c r="Y12" s="8"/>
      <c r="AC12" s="60"/>
      <c r="AD12" s="61"/>
      <c r="AE12" s="62"/>
      <c r="AF12" s="61"/>
      <c r="AG12" s="72"/>
      <c r="AN12" s="22"/>
      <c r="AO12" s="22"/>
      <c r="AP12" s="23"/>
      <c r="AQ12" s="22"/>
      <c r="AR12" s="22"/>
    </row>
    <row r="13" spans="1:44" ht="15.75" customHeight="1" x14ac:dyDescent="0.25">
      <c r="A13" s="40" t="s">
        <v>20</v>
      </c>
      <c r="B13" s="40"/>
      <c r="C13" s="40"/>
      <c r="D13" s="40"/>
      <c r="E13" s="40"/>
      <c r="F13" s="40"/>
      <c r="G13" s="47" t="s">
        <v>47</v>
      </c>
      <c r="H13" s="47"/>
      <c r="I13" s="2"/>
      <c r="K13" s="81"/>
      <c r="L13" s="82"/>
      <c r="M13" s="82"/>
      <c r="N13" s="82"/>
      <c r="O13" s="82"/>
      <c r="P13" s="83"/>
      <c r="R13" s="39" t="s">
        <v>25</v>
      </c>
      <c r="S13" s="39"/>
      <c r="T13" s="39" t="s">
        <v>26</v>
      </c>
      <c r="U13" s="39"/>
      <c r="V13" s="39" t="s">
        <v>27</v>
      </c>
      <c r="W13" s="39"/>
      <c r="X13" s="39" t="s">
        <v>28</v>
      </c>
      <c r="Y13" s="39"/>
      <c r="AC13" s="77" t="s">
        <v>49</v>
      </c>
      <c r="AD13" s="63"/>
      <c r="AE13" s="63" t="s">
        <v>50</v>
      </c>
      <c r="AF13" s="63"/>
      <c r="AG13" s="73" t="s">
        <v>49</v>
      </c>
      <c r="AN13" s="22"/>
      <c r="AO13" s="22"/>
      <c r="AP13" s="22"/>
      <c r="AQ13" s="22"/>
      <c r="AR13" s="22"/>
    </row>
    <row r="14" spans="1:44" ht="15.75" customHeight="1" x14ac:dyDescent="0.25">
      <c r="A14" s="35" t="s">
        <v>21</v>
      </c>
      <c r="B14" s="36"/>
      <c r="C14" s="36"/>
      <c r="D14" s="36"/>
      <c r="E14" s="36"/>
      <c r="F14" s="37"/>
      <c r="G14" s="43">
        <v>150</v>
      </c>
      <c r="H14" s="44"/>
      <c r="I14" s="2"/>
      <c r="K14" s="81"/>
      <c r="L14" s="82"/>
      <c r="M14" s="82"/>
      <c r="N14" s="82"/>
      <c r="O14" s="82"/>
      <c r="P14" s="83"/>
      <c r="R14" s="39"/>
      <c r="S14" s="39"/>
      <c r="T14" s="39"/>
      <c r="U14" s="39"/>
      <c r="V14" s="39"/>
      <c r="W14" s="39"/>
      <c r="X14" s="39"/>
      <c r="Y14" s="39"/>
      <c r="AC14" s="77"/>
      <c r="AD14" s="64"/>
      <c r="AE14" s="64"/>
      <c r="AF14" s="64"/>
      <c r="AG14" s="73"/>
      <c r="AN14" s="22"/>
      <c r="AO14" s="22"/>
      <c r="AP14" s="22"/>
      <c r="AQ14" s="22"/>
      <c r="AR14" s="22"/>
    </row>
    <row r="15" spans="1:44" ht="15.75" customHeight="1" x14ac:dyDescent="0.25">
      <c r="A15" s="35" t="s">
        <v>22</v>
      </c>
      <c r="B15" s="36"/>
      <c r="C15" s="36"/>
      <c r="D15" s="36"/>
      <c r="E15" s="36"/>
      <c r="F15" s="37"/>
      <c r="G15" s="43">
        <v>200</v>
      </c>
      <c r="H15" s="44"/>
      <c r="I15" s="2"/>
      <c r="K15" s="81"/>
      <c r="L15" s="82"/>
      <c r="M15" s="82"/>
      <c r="N15" s="82"/>
      <c r="O15" s="82"/>
      <c r="P15" s="83"/>
      <c r="R15" s="39"/>
      <c r="S15" s="39"/>
      <c r="T15" s="39"/>
      <c r="U15" s="39"/>
      <c r="V15" s="39"/>
      <c r="W15" s="39"/>
      <c r="X15" s="39"/>
      <c r="Y15" s="39"/>
      <c r="AC15" s="77"/>
      <c r="AD15" s="65"/>
      <c r="AE15" s="65"/>
      <c r="AF15" s="65"/>
      <c r="AG15" s="73"/>
      <c r="AN15" s="22"/>
      <c r="AO15" s="22"/>
      <c r="AP15" s="22"/>
      <c r="AQ15" s="22"/>
      <c r="AR15" s="22"/>
    </row>
    <row r="16" spans="1:44" ht="15.75" customHeight="1" x14ac:dyDescent="0.25">
      <c r="A16" s="35" t="s">
        <v>23</v>
      </c>
      <c r="B16" s="36"/>
      <c r="C16" s="36"/>
      <c r="D16" s="36"/>
      <c r="E16" s="36"/>
      <c r="F16" s="37"/>
      <c r="G16" s="43">
        <v>50</v>
      </c>
      <c r="H16" s="44"/>
      <c r="I16" s="2"/>
      <c r="K16" s="81"/>
      <c r="L16" s="82"/>
      <c r="M16" s="82"/>
      <c r="N16" s="82"/>
      <c r="O16" s="82"/>
      <c r="P16" s="83"/>
      <c r="R16" s="39"/>
      <c r="S16" s="39"/>
      <c r="T16" s="39"/>
      <c r="U16" s="39"/>
      <c r="V16" s="39"/>
      <c r="W16" s="39"/>
      <c r="X16" s="39"/>
      <c r="Y16" s="39"/>
      <c r="AC16" s="77" t="s">
        <v>49</v>
      </c>
      <c r="AD16" s="74"/>
      <c r="AE16" s="63" t="s">
        <v>49</v>
      </c>
      <c r="AF16" s="63"/>
      <c r="AG16" s="73" t="s">
        <v>49</v>
      </c>
      <c r="AN16" s="22"/>
      <c r="AO16" s="19"/>
      <c r="AP16" s="22"/>
      <c r="AQ16" s="22"/>
      <c r="AR16" s="22"/>
    </row>
    <row r="17" spans="1:44" ht="15.75" customHeight="1" x14ac:dyDescent="0.25">
      <c r="A17" s="32" t="s">
        <v>36</v>
      </c>
      <c r="B17" s="33"/>
      <c r="C17" s="33"/>
      <c r="D17" s="33"/>
      <c r="E17" s="33"/>
      <c r="F17" s="34"/>
      <c r="G17" s="41">
        <v>400</v>
      </c>
      <c r="H17" s="42"/>
      <c r="I17" s="4" t="s">
        <v>18</v>
      </c>
      <c r="K17" s="81"/>
      <c r="L17" s="82"/>
      <c r="M17" s="82"/>
      <c r="N17" s="82"/>
      <c r="O17" s="82"/>
      <c r="P17" s="83"/>
      <c r="R17" s="38">
        <f>MIN('T17-3'!U3:U18)</f>
        <v>-8.5750399999999782E-3</v>
      </c>
      <c r="S17" s="38"/>
      <c r="T17" s="38">
        <f>MIN('T17-3'!V3:V18)</f>
        <v>-5.5286499999999683E-3</v>
      </c>
      <c r="U17" s="38"/>
      <c r="V17" s="38">
        <f>MAX('T17-3'!U3:U18)</f>
        <v>3.1416300000000064E-3</v>
      </c>
      <c r="W17" s="38"/>
      <c r="X17" s="38">
        <f>MAX('T17-3'!V3:V18)</f>
        <v>3.6667200000000122E-3</v>
      </c>
      <c r="Y17" s="38"/>
      <c r="AC17" s="77"/>
      <c r="AD17" s="75"/>
      <c r="AE17" s="64"/>
      <c r="AF17" s="64"/>
      <c r="AG17" s="73"/>
      <c r="AN17" s="22"/>
      <c r="AO17" s="19"/>
      <c r="AP17" s="22"/>
      <c r="AQ17" s="22"/>
      <c r="AR17" s="22"/>
    </row>
    <row r="18" spans="1:44" ht="15.75" customHeight="1" x14ac:dyDescent="0.25">
      <c r="A18" s="32" t="s">
        <v>35</v>
      </c>
      <c r="B18" s="33"/>
      <c r="C18" s="33"/>
      <c r="D18" s="33"/>
      <c r="E18" s="33"/>
      <c r="F18" s="34"/>
      <c r="G18" s="41">
        <f>G14*G15*2</f>
        <v>60000</v>
      </c>
      <c r="H18" s="42"/>
      <c r="I18" s="2"/>
      <c r="K18" s="84"/>
      <c r="L18" s="85"/>
      <c r="M18" s="85"/>
      <c r="N18" s="85"/>
      <c r="O18" s="85"/>
      <c r="P18" s="86"/>
      <c r="R18" s="38"/>
      <c r="S18" s="38"/>
      <c r="T18" s="38"/>
      <c r="U18" s="38"/>
      <c r="V18" s="38"/>
      <c r="W18" s="38"/>
      <c r="X18" s="38"/>
      <c r="Y18" s="38"/>
      <c r="AC18" s="77"/>
      <c r="AD18" s="76"/>
      <c r="AE18" s="65"/>
      <c r="AF18" s="65"/>
      <c r="AG18" s="73"/>
      <c r="AN18" s="22"/>
      <c r="AO18" s="19"/>
      <c r="AP18" s="22"/>
      <c r="AQ18" s="22"/>
      <c r="AR18" s="22"/>
    </row>
    <row r="19" spans="1:44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31"/>
      <c r="AD19" s="56"/>
      <c r="AE19" s="56"/>
      <c r="AF19" s="56"/>
      <c r="AG19" s="29"/>
      <c r="AN19" s="19"/>
      <c r="AO19" s="20"/>
      <c r="AP19" s="20"/>
      <c r="AQ19" s="20"/>
      <c r="AR19" s="21"/>
    </row>
    <row r="20" spans="1:44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31"/>
      <c r="AD20" s="57"/>
      <c r="AE20" s="57"/>
      <c r="AF20" s="57"/>
      <c r="AG20" s="29"/>
      <c r="AN20" s="19"/>
      <c r="AO20" s="20"/>
      <c r="AP20" s="20"/>
      <c r="AQ20" s="20"/>
      <c r="AR20" s="21"/>
    </row>
    <row r="21" spans="1:44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31"/>
      <c r="AD21" s="57"/>
      <c r="AE21" s="57"/>
      <c r="AF21" s="57"/>
      <c r="AG21" s="29"/>
      <c r="AN21" s="19"/>
      <c r="AO21" s="20"/>
      <c r="AP21" s="20"/>
      <c r="AQ21" s="20"/>
      <c r="AR21" s="21"/>
    </row>
    <row r="22" spans="1:44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10:F10"/>
    <mergeCell ref="G10:H10"/>
    <mergeCell ref="G9:H9"/>
    <mergeCell ref="G11:H11"/>
    <mergeCell ref="G13:H13"/>
    <mergeCell ref="A9:F9"/>
    <mergeCell ref="A11:F11"/>
    <mergeCell ref="G4:H4"/>
    <mergeCell ref="A1:B2"/>
    <mergeCell ref="C1:D2"/>
    <mergeCell ref="E1:Y2"/>
    <mergeCell ref="K4:P4"/>
    <mergeCell ref="A4:F4"/>
    <mergeCell ref="R4:Y4"/>
    <mergeCell ref="R5:Y9"/>
    <mergeCell ref="G8:H8"/>
    <mergeCell ref="A5:F5"/>
    <mergeCell ref="G5:H5"/>
    <mergeCell ref="A6:F6"/>
    <mergeCell ref="G6:H6"/>
    <mergeCell ref="A8:F8"/>
    <mergeCell ref="T13:U16"/>
    <mergeCell ref="V13:W16"/>
    <mergeCell ref="X13:Y16"/>
    <mergeCell ref="T17:U18"/>
    <mergeCell ref="V17:W18"/>
    <mergeCell ref="X17:Y18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AC7:AC9"/>
    <mergeCell ref="AD7:AD9"/>
    <mergeCell ref="AE7:AE9"/>
    <mergeCell ref="AF7:AF9"/>
    <mergeCell ref="AG7:A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workbookViewId="0">
      <selection activeCell="O35" sqref="O35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66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63</v>
      </c>
      <c r="C3" s="14">
        <v>0</v>
      </c>
      <c r="D3" s="14">
        <v>4</v>
      </c>
      <c r="E3" s="15">
        <v>-0.43081251999999998</v>
      </c>
      <c r="F3" s="15">
        <v>-0.43476251999999999</v>
      </c>
      <c r="G3" s="15">
        <v>3.9500000000000004E-3</v>
      </c>
      <c r="H3" s="15">
        <v>0.66126240000000003</v>
      </c>
      <c r="I3" s="15">
        <v>0.66324996000000003</v>
      </c>
      <c r="J3" s="15">
        <v>-1.9875800000000001E-3</v>
      </c>
      <c r="K3" s="18">
        <v>23.62</v>
      </c>
      <c r="L3" s="18">
        <v>23.6</v>
      </c>
      <c r="M3" s="18">
        <v>0.02</v>
      </c>
      <c r="N3" s="15">
        <v>3.567505E-2</v>
      </c>
      <c r="O3" s="15">
        <v>4.7077639999999997E-2</v>
      </c>
      <c r="P3" s="15">
        <v>-1.1402590000000001E-2</v>
      </c>
      <c r="Q3" s="15">
        <v>6.55823E-3</v>
      </c>
      <c r="R3" s="15">
        <v>5.1116900000000003E-3</v>
      </c>
      <c r="S3" s="15">
        <v>1.4465299999999999E-3</v>
      </c>
      <c r="T3" s="14"/>
      <c r="U3" s="15">
        <f>(F3-E3)/2</f>
        <v>-1.9750000000000045E-3</v>
      </c>
      <c r="V3" s="15">
        <f>(H3-I3)/2</f>
        <v>-9.9377999999999966E-4</v>
      </c>
      <c r="W3" s="15"/>
      <c r="X3" s="15"/>
      <c r="Y3" s="16">
        <f t="shared" ref="Y3:Y34" si="0">N3</f>
        <v>3.567505E-2</v>
      </c>
      <c r="Z3" s="16">
        <f t="shared" ref="Z3:Z34" si="1">Q3</f>
        <v>6.55823E-3</v>
      </c>
      <c r="AA3" s="16">
        <f t="shared" ref="AA3:AA34" si="2">O3</f>
        <v>4.7077639999999997E-2</v>
      </c>
      <c r="AB3" s="16">
        <f t="shared" ref="AB3:AB34" si="3">R3</f>
        <v>5.1116900000000003E-3</v>
      </c>
      <c r="AC3" s="17">
        <f>IF(Y3="","",DEGREES(ASIN(SQRT(Y3^2+Z3^2))))</f>
        <v>2.0787371667982746</v>
      </c>
      <c r="AD3" s="17">
        <f>IF(AA3="","",DEGREES(ASIN(SQRT(AA3^2+AB3^2))))</f>
        <v>2.7142189058460295</v>
      </c>
      <c r="AE3" s="17">
        <f>IF(Y3="","",MOD(DEGREES(ATAN2(Y3,Z3)),360))</f>
        <v>10.416519845471047</v>
      </c>
      <c r="AF3" s="17">
        <f t="shared" ref="AF3:AF34" si="4">IF(Y3="","",MOD(F3+AE3,360))</f>
        <v>9.9817573254710474</v>
      </c>
    </row>
    <row r="4" spans="1:32" x14ac:dyDescent="0.25">
      <c r="A4" s="14">
        <v>2</v>
      </c>
      <c r="B4" s="14" t="s">
        <v>63</v>
      </c>
      <c r="C4" s="14">
        <v>22.5</v>
      </c>
      <c r="D4" s="14">
        <v>7</v>
      </c>
      <c r="E4" s="15">
        <v>-0.43325712</v>
      </c>
      <c r="F4" s="15">
        <v>-0.42993576</v>
      </c>
      <c r="G4" s="15">
        <v>-3.3213800000000001E-3</v>
      </c>
      <c r="H4" s="15">
        <v>0.65917139999999996</v>
      </c>
      <c r="I4" s="15">
        <v>0.66903579999999996</v>
      </c>
      <c r="J4" s="15">
        <v>-9.8643900000000007E-3</v>
      </c>
      <c r="K4" s="18">
        <v>23.65</v>
      </c>
      <c r="L4" s="18">
        <v>23.65</v>
      </c>
      <c r="M4" s="18">
        <v>0</v>
      </c>
      <c r="N4" s="15">
        <v>3.5716730000000002E-2</v>
      </c>
      <c r="O4" s="15">
        <v>4.6450539999999998E-2</v>
      </c>
      <c r="P4" s="15">
        <v>-1.073381E-2</v>
      </c>
      <c r="Q4" s="15">
        <v>9.1939900000000008E-3</v>
      </c>
      <c r="R4" s="15">
        <v>2.7305400000000001E-3</v>
      </c>
      <c r="S4" s="15">
        <v>6.4634499999999999E-3</v>
      </c>
      <c r="T4" s="14"/>
      <c r="U4" s="15">
        <f t="shared" ref="U4:U34" si="5">(F4-E4)/2</f>
        <v>1.6606799999999977E-3</v>
      </c>
      <c r="V4" s="15">
        <f t="shared" ref="V4:V34" si="6">(H4-I4)/2</f>
        <v>-4.9321999999999977E-3</v>
      </c>
      <c r="W4" s="15"/>
      <c r="X4" s="15"/>
      <c r="Y4" s="16">
        <f t="shared" si="0"/>
        <v>3.5716730000000002E-2</v>
      </c>
      <c r="Z4" s="16">
        <f t="shared" si="1"/>
        <v>9.1939900000000008E-3</v>
      </c>
      <c r="AA4" s="16">
        <f t="shared" si="2"/>
        <v>4.6450539999999998E-2</v>
      </c>
      <c r="AB4" s="16">
        <f t="shared" si="3"/>
        <v>2.7305400000000001E-3</v>
      </c>
      <c r="AC4" s="17">
        <f t="shared" ref="AC4:AC18" si="7">IF(Y4="","",DEGREES(ASIN(SQRT(Y4^2+Z4^2))))</f>
        <v>2.1136097221992234</v>
      </c>
      <c r="AD4" s="17">
        <f t="shared" ref="AD4:AD18" si="8">IF(AA4="","",DEGREES(ASIN(SQRT(AA4^2+AB4^2))))</f>
        <v>2.6669772235915516</v>
      </c>
      <c r="AE4" s="17">
        <f t="shared" ref="AE4:AE18" si="9">IF(Y4="","",MOD(DEGREES(ATAN2(Y4,Z4)),360))</f>
        <v>14.43534950350541</v>
      </c>
      <c r="AF4" s="17">
        <f t="shared" si="4"/>
        <v>14.005413743505411</v>
      </c>
    </row>
    <row r="5" spans="1:32" x14ac:dyDescent="0.25">
      <c r="A5" s="14">
        <v>3</v>
      </c>
      <c r="B5" s="14" t="s">
        <v>63</v>
      </c>
      <c r="C5" s="14">
        <v>45</v>
      </c>
      <c r="D5" s="14">
        <v>4</v>
      </c>
      <c r="E5" s="15">
        <v>-0.43247491999999998</v>
      </c>
      <c r="F5" s="15">
        <v>-0.43032495999999998</v>
      </c>
      <c r="G5" s="15">
        <v>-2.1499700000000002E-3</v>
      </c>
      <c r="H5" s="15">
        <v>0.661775</v>
      </c>
      <c r="I5" s="15">
        <v>0.66225000000000001</v>
      </c>
      <c r="J5" s="15">
        <v>-4.7499E-4</v>
      </c>
      <c r="K5" s="18">
        <v>23.64</v>
      </c>
      <c r="L5" s="18">
        <v>23.65</v>
      </c>
      <c r="M5" s="18">
        <v>-0.01</v>
      </c>
      <c r="N5" s="15">
        <v>3.8479619999999999E-2</v>
      </c>
      <c r="O5" s="15">
        <v>4.5302120000000001E-2</v>
      </c>
      <c r="P5" s="15">
        <v>-6.8225100000000004E-3</v>
      </c>
      <c r="Q5" s="15">
        <v>1.0377809999999999E-2</v>
      </c>
      <c r="R5" s="15">
        <v>6.3477E-4</v>
      </c>
      <c r="S5" s="15">
        <v>9.7430399999999997E-3</v>
      </c>
      <c r="T5" s="14"/>
      <c r="U5" s="15">
        <f t="shared" si="5"/>
        <v>1.0749800000000032E-3</v>
      </c>
      <c r="V5" s="15">
        <f t="shared" si="6"/>
        <v>-2.375000000000016E-4</v>
      </c>
      <c r="W5" s="15"/>
      <c r="X5" s="15"/>
      <c r="Y5" s="16">
        <f t="shared" si="0"/>
        <v>3.8479619999999999E-2</v>
      </c>
      <c r="Z5" s="16">
        <f t="shared" si="1"/>
        <v>1.0377809999999999E-2</v>
      </c>
      <c r="AA5" s="16">
        <f t="shared" si="2"/>
        <v>4.5302120000000001E-2</v>
      </c>
      <c r="AB5" s="16">
        <f t="shared" si="3"/>
        <v>6.3477E-4</v>
      </c>
      <c r="AC5" s="17">
        <f t="shared" si="7"/>
        <v>2.2840988140977592</v>
      </c>
      <c r="AD5" s="17">
        <f t="shared" si="8"/>
        <v>2.5967639778509466</v>
      </c>
      <c r="AE5" s="17">
        <f t="shared" si="9"/>
        <v>15.093353895206809</v>
      </c>
      <c r="AF5" s="17">
        <f t="shared" si="4"/>
        <v>14.663028935206809</v>
      </c>
    </row>
    <row r="6" spans="1:32" x14ac:dyDescent="0.25">
      <c r="A6" s="14">
        <v>4</v>
      </c>
      <c r="B6" s="14" t="s">
        <v>63</v>
      </c>
      <c r="C6" s="14">
        <v>67.5</v>
      </c>
      <c r="D6" s="14">
        <v>3</v>
      </c>
      <c r="E6" s="15">
        <v>-0.43309996000000001</v>
      </c>
      <c r="F6" s="15">
        <v>-0.42681669999999999</v>
      </c>
      <c r="G6" s="15">
        <v>-6.2832499999999998E-3</v>
      </c>
      <c r="H6" s="15">
        <v>0.67186663999999996</v>
      </c>
      <c r="I6" s="15">
        <v>0.66569999999999996</v>
      </c>
      <c r="J6" s="15">
        <v>6.1666400000000001E-3</v>
      </c>
      <c r="K6" s="18">
        <v>23.54</v>
      </c>
      <c r="L6" s="18">
        <v>23.52</v>
      </c>
      <c r="M6" s="18">
        <v>0.02</v>
      </c>
      <c r="N6" s="15">
        <v>3.9797369999999999E-2</v>
      </c>
      <c r="O6" s="15">
        <v>4.3769530000000001E-2</v>
      </c>
      <c r="P6" s="15">
        <v>-3.9721599999999998E-3</v>
      </c>
      <c r="Q6" s="15">
        <v>1.1350910000000001E-2</v>
      </c>
      <c r="R6" s="15">
        <v>-4.0934000000000001E-4</v>
      </c>
      <c r="S6" s="15">
        <v>1.176025E-2</v>
      </c>
      <c r="T6" s="14"/>
      <c r="U6" s="15">
        <f t="shared" si="5"/>
        <v>3.1416300000000064E-3</v>
      </c>
      <c r="V6" s="15">
        <f t="shared" si="6"/>
        <v>3.0833200000000005E-3</v>
      </c>
      <c r="W6" s="15"/>
      <c r="X6" s="15"/>
      <c r="Y6" s="16">
        <f t="shared" si="0"/>
        <v>3.9797369999999999E-2</v>
      </c>
      <c r="Z6" s="16">
        <f t="shared" si="1"/>
        <v>1.1350910000000001E-2</v>
      </c>
      <c r="AA6" s="16">
        <f t="shared" si="2"/>
        <v>4.3769530000000001E-2</v>
      </c>
      <c r="AB6" s="16">
        <f t="shared" si="3"/>
        <v>-4.0934000000000001E-4</v>
      </c>
      <c r="AC6" s="17">
        <f t="shared" si="7"/>
        <v>2.3718324523218692</v>
      </c>
      <c r="AD6" s="17">
        <f t="shared" si="8"/>
        <v>2.5087205362161309</v>
      </c>
      <c r="AE6" s="17">
        <f t="shared" si="9"/>
        <v>15.919081752215456</v>
      </c>
      <c r="AF6" s="17">
        <f t="shared" si="4"/>
        <v>15.492265052215457</v>
      </c>
    </row>
    <row r="7" spans="1:32" x14ac:dyDescent="0.25">
      <c r="A7" s="14">
        <v>5</v>
      </c>
      <c r="B7" s="14" t="s">
        <v>63</v>
      </c>
      <c r="C7" s="14">
        <v>90</v>
      </c>
      <c r="D7" s="14">
        <v>4</v>
      </c>
      <c r="E7" s="15">
        <v>-0.43509996000000001</v>
      </c>
      <c r="F7" s="15">
        <v>-0.43333749999999999</v>
      </c>
      <c r="G7" s="15">
        <v>-1.76245E-3</v>
      </c>
      <c r="H7" s="15">
        <v>0.66795015999999996</v>
      </c>
      <c r="I7" s="15">
        <v>0.66318750000000004</v>
      </c>
      <c r="J7" s="15">
        <v>4.7626500000000002E-3</v>
      </c>
      <c r="K7" s="18">
        <v>23.6</v>
      </c>
      <c r="L7" s="18">
        <v>23.59</v>
      </c>
      <c r="M7" s="18">
        <v>0</v>
      </c>
      <c r="N7" s="15">
        <v>4.2393800000000002E-2</v>
      </c>
      <c r="O7" s="15">
        <v>4.0791630000000002E-2</v>
      </c>
      <c r="P7" s="15">
        <v>1.60217E-3</v>
      </c>
      <c r="Q7" s="15">
        <v>1.17865E-2</v>
      </c>
      <c r="R7" s="15">
        <v>-5.7370000000000001E-5</v>
      </c>
      <c r="S7" s="15">
        <v>1.1843869999999999E-2</v>
      </c>
      <c r="T7" s="14"/>
      <c r="U7" s="15">
        <f t="shared" si="5"/>
        <v>8.8123000000001062E-4</v>
      </c>
      <c r="V7" s="15">
        <f t="shared" si="6"/>
        <v>2.3813299999999593E-3</v>
      </c>
      <c r="W7" s="15"/>
      <c r="X7" s="15"/>
      <c r="Y7" s="16">
        <f t="shared" si="0"/>
        <v>4.2393800000000002E-2</v>
      </c>
      <c r="Z7" s="16">
        <f t="shared" si="1"/>
        <v>1.17865E-2</v>
      </c>
      <c r="AA7" s="16">
        <f t="shared" si="2"/>
        <v>4.0791630000000002E-2</v>
      </c>
      <c r="AB7" s="16">
        <f t="shared" si="3"/>
        <v>-5.7370000000000001E-5</v>
      </c>
      <c r="AC7" s="17">
        <f t="shared" si="7"/>
        <v>2.5219300307710588</v>
      </c>
      <c r="AD7" s="17">
        <f t="shared" si="8"/>
        <v>2.3378392011685496</v>
      </c>
      <c r="AE7" s="17">
        <f t="shared" si="9"/>
        <v>15.537214807570569</v>
      </c>
      <c r="AF7" s="17">
        <f t="shared" si="4"/>
        <v>15.103877307570569</v>
      </c>
    </row>
    <row r="8" spans="1:32" x14ac:dyDescent="0.25">
      <c r="A8" s="14">
        <v>6</v>
      </c>
      <c r="B8" s="14" t="s">
        <v>63</v>
      </c>
      <c r="C8" s="14">
        <v>112.5</v>
      </c>
      <c r="D8" s="14">
        <v>5</v>
      </c>
      <c r="E8" s="15">
        <v>-0.43087999999999999</v>
      </c>
      <c r="F8" s="15">
        <v>-0.43465999999999999</v>
      </c>
      <c r="G8" s="15">
        <v>3.7800400000000001E-3</v>
      </c>
      <c r="H8" s="15">
        <v>0.65911995999999995</v>
      </c>
      <c r="I8" s="15">
        <v>0.65833989999999998</v>
      </c>
      <c r="J8" s="15">
        <v>7.8005000000000001E-4</v>
      </c>
      <c r="K8" s="18">
        <v>23.68</v>
      </c>
      <c r="L8" s="18">
        <v>23.69</v>
      </c>
      <c r="M8" s="18">
        <v>0</v>
      </c>
      <c r="N8" s="15">
        <v>4.3565920000000001E-2</v>
      </c>
      <c r="O8" s="15">
        <v>3.8669920000000003E-2</v>
      </c>
      <c r="P8" s="15">
        <v>4.8960000000000002E-3</v>
      </c>
      <c r="Q8" s="15">
        <v>1.067676E-2</v>
      </c>
      <c r="R8" s="15">
        <v>4.0088E-4</v>
      </c>
      <c r="S8" s="15">
        <v>1.0275879999999999E-2</v>
      </c>
      <c r="T8" s="14"/>
      <c r="U8" s="15">
        <f t="shared" si="5"/>
        <v>-1.8900000000000028E-3</v>
      </c>
      <c r="V8" s="15">
        <f t="shared" si="6"/>
        <v>3.9002999999998567E-4</v>
      </c>
      <c r="W8" s="15"/>
      <c r="X8" s="15"/>
      <c r="Y8" s="16">
        <f t="shared" si="0"/>
        <v>4.3565920000000001E-2</v>
      </c>
      <c r="Z8" s="16">
        <f t="shared" si="1"/>
        <v>1.067676E-2</v>
      </c>
      <c r="AA8" s="16">
        <f t="shared" si="2"/>
        <v>3.8669920000000003E-2</v>
      </c>
      <c r="AB8" s="16">
        <f t="shared" si="3"/>
        <v>4.0088E-4</v>
      </c>
      <c r="AC8" s="17">
        <f t="shared" si="7"/>
        <v>2.5708721596906825</v>
      </c>
      <c r="AD8" s="17">
        <f t="shared" si="8"/>
        <v>2.2162949164639612</v>
      </c>
      <c r="AE8" s="17">
        <f t="shared" si="9"/>
        <v>13.770158639041512</v>
      </c>
      <c r="AF8" s="17">
        <f t="shared" si="4"/>
        <v>13.335498639041512</v>
      </c>
    </row>
    <row r="9" spans="1:32" x14ac:dyDescent="0.25">
      <c r="A9" s="14">
        <v>7</v>
      </c>
      <c r="B9" s="14" t="s">
        <v>63</v>
      </c>
      <c r="C9" s="14">
        <v>135</v>
      </c>
      <c r="D9" s="14">
        <v>6</v>
      </c>
      <c r="E9" s="15">
        <v>-0.43174992000000001</v>
      </c>
      <c r="F9" s="15">
        <v>-0.43290832000000001</v>
      </c>
      <c r="G9" s="15">
        <v>1.15839E-3</v>
      </c>
      <c r="H9" s="15">
        <v>0.67090004000000003</v>
      </c>
      <c r="I9" s="15">
        <v>0.66356660000000001</v>
      </c>
      <c r="J9" s="15">
        <v>7.33346E-3</v>
      </c>
      <c r="K9" s="18">
        <v>23.55</v>
      </c>
      <c r="L9" s="18">
        <v>23.56</v>
      </c>
      <c r="M9" s="18">
        <v>-0.01</v>
      </c>
      <c r="N9" s="15">
        <v>4.6540529999999997E-2</v>
      </c>
      <c r="O9" s="15">
        <v>3.7650549999999998E-2</v>
      </c>
      <c r="P9" s="15">
        <v>8.8899800000000005E-3</v>
      </c>
      <c r="Q9" s="15">
        <v>9.1943400000000005E-3</v>
      </c>
      <c r="R9" s="15">
        <v>2.3168899999999998E-3</v>
      </c>
      <c r="S9" s="15">
        <v>6.8774400000000003E-3</v>
      </c>
      <c r="T9" s="14"/>
      <c r="U9" s="15">
        <f t="shared" si="5"/>
        <v>-5.7920000000000194E-4</v>
      </c>
      <c r="V9" s="15">
        <f t="shared" si="6"/>
        <v>3.6667200000000122E-3</v>
      </c>
      <c r="W9" s="15"/>
      <c r="X9" s="15"/>
      <c r="Y9" s="16">
        <f t="shared" si="0"/>
        <v>4.6540529999999997E-2</v>
      </c>
      <c r="Z9" s="16">
        <f t="shared" si="1"/>
        <v>9.1943400000000005E-3</v>
      </c>
      <c r="AA9" s="16">
        <f t="shared" si="2"/>
        <v>3.7650549999999998E-2</v>
      </c>
      <c r="AB9" s="16">
        <f t="shared" si="3"/>
        <v>2.3168899999999998E-3</v>
      </c>
      <c r="AC9" s="17">
        <f t="shared" si="7"/>
        <v>2.7191343038413933</v>
      </c>
      <c r="AD9" s="17">
        <f t="shared" si="8"/>
        <v>2.1618110802281643</v>
      </c>
      <c r="AE9" s="17">
        <f t="shared" si="9"/>
        <v>11.175199511090684</v>
      </c>
      <c r="AF9" s="17">
        <f t="shared" si="4"/>
        <v>10.742291191090684</v>
      </c>
    </row>
    <row r="10" spans="1:32" x14ac:dyDescent="0.25">
      <c r="A10" s="14">
        <v>8</v>
      </c>
      <c r="B10" s="14" t="s">
        <v>63</v>
      </c>
      <c r="C10" s="14">
        <v>157.5</v>
      </c>
      <c r="D10" s="14">
        <v>4</v>
      </c>
      <c r="E10" s="15">
        <v>-0.42736252000000002</v>
      </c>
      <c r="F10" s="15">
        <v>-0.42936249999999998</v>
      </c>
      <c r="G10" s="15">
        <v>1.9999699999999998E-3</v>
      </c>
      <c r="H10" s="15">
        <v>0.67355008000000005</v>
      </c>
      <c r="I10" s="15">
        <v>0.66686259999999997</v>
      </c>
      <c r="J10" s="15">
        <v>6.6874600000000001E-3</v>
      </c>
      <c r="K10" s="18">
        <v>23.48</v>
      </c>
      <c r="L10" s="18">
        <v>23.51</v>
      </c>
      <c r="M10" s="18">
        <v>-0.03</v>
      </c>
      <c r="N10" s="15">
        <v>4.7348019999999998E-2</v>
      </c>
      <c r="O10" s="15">
        <v>3.6353759999999999E-2</v>
      </c>
      <c r="P10" s="15">
        <v>1.099426E-2</v>
      </c>
      <c r="Q10" s="15">
        <v>7.1282999999999997E-3</v>
      </c>
      <c r="R10" s="15">
        <v>4.3963600000000002E-3</v>
      </c>
      <c r="S10" s="15">
        <v>2.73193E-3</v>
      </c>
      <c r="T10" s="14"/>
      <c r="U10" s="15">
        <f t="shared" si="5"/>
        <v>-9.999899999999784E-4</v>
      </c>
      <c r="V10" s="15">
        <f t="shared" si="6"/>
        <v>3.3437400000000395E-3</v>
      </c>
      <c r="W10" s="15"/>
      <c r="X10" s="15"/>
      <c r="Y10" s="16">
        <f t="shared" si="0"/>
        <v>4.7348019999999998E-2</v>
      </c>
      <c r="Z10" s="16">
        <f t="shared" si="1"/>
        <v>7.1282999999999997E-3</v>
      </c>
      <c r="AA10" s="16">
        <f t="shared" si="2"/>
        <v>3.6353759999999999E-2</v>
      </c>
      <c r="AB10" s="16">
        <f t="shared" si="3"/>
        <v>4.3963600000000002E-3</v>
      </c>
      <c r="AC10" s="17">
        <f t="shared" si="7"/>
        <v>2.7444629835312084</v>
      </c>
      <c r="AD10" s="17">
        <f t="shared" si="8"/>
        <v>2.0985619620838523</v>
      </c>
      <c r="AE10" s="17">
        <f t="shared" si="9"/>
        <v>8.561648143547492</v>
      </c>
      <c r="AF10" s="17">
        <f t="shared" si="4"/>
        <v>8.1322856435474922</v>
      </c>
    </row>
    <row r="11" spans="1:32" x14ac:dyDescent="0.25">
      <c r="A11" s="14">
        <v>9</v>
      </c>
      <c r="B11" s="14" t="s">
        <v>63</v>
      </c>
      <c r="C11" s="14">
        <v>180</v>
      </c>
      <c r="D11" s="14">
        <v>2</v>
      </c>
      <c r="E11" s="15">
        <v>-0.41965000000000002</v>
      </c>
      <c r="F11" s="15">
        <v>-0.43680007999999998</v>
      </c>
      <c r="G11" s="15">
        <v>1.7150039999999998E-2</v>
      </c>
      <c r="H11" s="15">
        <v>0.66139999999999999</v>
      </c>
      <c r="I11" s="15">
        <v>0.66134999999999999</v>
      </c>
      <c r="J11" s="15">
        <v>5.0009999999999997E-5</v>
      </c>
      <c r="K11" s="18">
        <v>23.71</v>
      </c>
      <c r="L11" s="18">
        <v>23.63</v>
      </c>
      <c r="M11" s="18">
        <v>7.0000000000000007E-2</v>
      </c>
      <c r="N11" s="15">
        <v>4.8298340000000002E-2</v>
      </c>
      <c r="O11" s="15">
        <v>3.5350340000000001E-2</v>
      </c>
      <c r="P11" s="15">
        <v>1.2947999999999999E-2</v>
      </c>
      <c r="Q11" s="15">
        <v>4.6398899999999998E-3</v>
      </c>
      <c r="R11" s="15">
        <v>6.6918899999999998E-3</v>
      </c>
      <c r="S11" s="15">
        <v>-2.052E-3</v>
      </c>
      <c r="T11" s="14"/>
      <c r="U11" s="15">
        <f t="shared" si="5"/>
        <v>-8.5750399999999782E-3</v>
      </c>
      <c r="V11" s="15">
        <f t="shared" si="6"/>
        <v>2.4999999999997247E-5</v>
      </c>
      <c r="W11" s="15"/>
      <c r="X11" s="15"/>
      <c r="Y11" s="16">
        <f t="shared" si="0"/>
        <v>4.8298340000000002E-2</v>
      </c>
      <c r="Z11" s="16">
        <f t="shared" si="1"/>
        <v>4.6398899999999998E-3</v>
      </c>
      <c r="AA11" s="16">
        <f t="shared" si="2"/>
        <v>3.5350340000000001E-2</v>
      </c>
      <c r="AB11" s="16">
        <f t="shared" si="3"/>
        <v>6.6918899999999998E-3</v>
      </c>
      <c r="AC11" s="17">
        <f t="shared" si="7"/>
        <v>2.781123244321861</v>
      </c>
      <c r="AD11" s="17">
        <f t="shared" si="8"/>
        <v>2.0618416500364876</v>
      </c>
      <c r="AE11" s="17">
        <f t="shared" si="9"/>
        <v>5.4874098990528255</v>
      </c>
      <c r="AF11" s="17">
        <f t="shared" si="4"/>
        <v>5.0506098190528252</v>
      </c>
    </row>
    <row r="12" spans="1:32" x14ac:dyDescent="0.25">
      <c r="A12" s="14">
        <v>10</v>
      </c>
      <c r="B12" s="14" t="s">
        <v>63</v>
      </c>
      <c r="C12" s="14">
        <v>202.5</v>
      </c>
      <c r="D12" s="14">
        <v>6</v>
      </c>
      <c r="E12" s="15">
        <v>-0.42844167999999999</v>
      </c>
      <c r="F12" s="15">
        <v>-0.43152499999999999</v>
      </c>
      <c r="G12" s="15">
        <v>3.0833200000000001E-3</v>
      </c>
      <c r="H12" s="15">
        <v>0.66987509999999995</v>
      </c>
      <c r="I12" s="15">
        <v>0.66809180000000001</v>
      </c>
      <c r="J12" s="15">
        <v>1.78331E-3</v>
      </c>
      <c r="K12" s="18">
        <v>23.53</v>
      </c>
      <c r="L12" s="18">
        <v>23.52</v>
      </c>
      <c r="M12" s="18">
        <v>0.01</v>
      </c>
      <c r="N12" s="15">
        <v>4.66805E-2</v>
      </c>
      <c r="O12" s="15">
        <v>3.6658530000000002E-2</v>
      </c>
      <c r="P12" s="15">
        <v>1.002197E-2</v>
      </c>
      <c r="Q12" s="15">
        <v>2.75187E-3</v>
      </c>
      <c r="R12" s="15">
        <v>8.8785800000000005E-3</v>
      </c>
      <c r="S12" s="15">
        <v>-6.1267099999999996E-3</v>
      </c>
      <c r="T12" s="14"/>
      <c r="U12" s="15">
        <f t="shared" si="5"/>
        <v>-1.5416600000000003E-3</v>
      </c>
      <c r="V12" s="15">
        <f t="shared" si="6"/>
        <v>8.9164999999996608E-4</v>
      </c>
      <c r="W12" s="15"/>
      <c r="X12" s="15"/>
      <c r="Y12" s="16">
        <f t="shared" si="0"/>
        <v>4.66805E-2</v>
      </c>
      <c r="Z12" s="16">
        <f t="shared" si="1"/>
        <v>2.75187E-3</v>
      </c>
      <c r="AA12" s="16">
        <f t="shared" si="2"/>
        <v>3.6658530000000002E-2</v>
      </c>
      <c r="AB12" s="16">
        <f t="shared" si="3"/>
        <v>8.8785800000000005E-3</v>
      </c>
      <c r="AC12" s="17">
        <f t="shared" si="7"/>
        <v>2.6802164207310946</v>
      </c>
      <c r="AD12" s="17">
        <f t="shared" si="8"/>
        <v>2.1616173568647703</v>
      </c>
      <c r="AE12" s="17">
        <f t="shared" si="9"/>
        <v>3.3737485461642103</v>
      </c>
      <c r="AF12" s="17">
        <f t="shared" si="4"/>
        <v>2.9422235461642101</v>
      </c>
    </row>
    <row r="13" spans="1:32" x14ac:dyDescent="0.25">
      <c r="A13" s="14">
        <v>11</v>
      </c>
      <c r="B13" s="14" t="s">
        <v>63</v>
      </c>
      <c r="C13" s="14">
        <v>225</v>
      </c>
      <c r="D13" s="14">
        <v>4</v>
      </c>
      <c r="E13" s="15">
        <v>-0.43021251999999999</v>
      </c>
      <c r="F13" s="15">
        <v>-0.43733759999999999</v>
      </c>
      <c r="G13" s="15">
        <v>7.12505E-3</v>
      </c>
      <c r="H13" s="15">
        <v>0.66023756</v>
      </c>
      <c r="I13" s="15">
        <v>0.66026247999999998</v>
      </c>
      <c r="J13" s="15">
        <v>-2.491E-5</v>
      </c>
      <c r="K13" s="18">
        <v>23.65</v>
      </c>
      <c r="L13" s="18">
        <v>23.64</v>
      </c>
      <c r="M13" s="18">
        <v>0.01</v>
      </c>
      <c r="N13" s="15">
        <v>4.515015E-2</v>
      </c>
      <c r="O13" s="15">
        <v>3.8867789999999999E-2</v>
      </c>
      <c r="P13" s="15">
        <v>6.2823499999999999E-3</v>
      </c>
      <c r="Q13" s="15">
        <v>7.0801000000000002E-4</v>
      </c>
      <c r="R13" s="15">
        <v>1.05542E-2</v>
      </c>
      <c r="S13" s="15">
        <v>-9.8461899999999995E-3</v>
      </c>
      <c r="T13" s="14"/>
      <c r="U13" s="15">
        <f t="shared" si="5"/>
        <v>-3.5625400000000029E-3</v>
      </c>
      <c r="V13" s="15">
        <f t="shared" si="6"/>
        <v>-1.2459999999991922E-5</v>
      </c>
      <c r="W13" s="15"/>
      <c r="X13" s="15"/>
      <c r="Y13" s="16">
        <f t="shared" si="0"/>
        <v>4.515015E-2</v>
      </c>
      <c r="Z13" s="16">
        <f t="shared" si="1"/>
        <v>7.0801000000000002E-4</v>
      </c>
      <c r="AA13" s="16">
        <f t="shared" si="2"/>
        <v>3.8867789999999999E-2</v>
      </c>
      <c r="AB13" s="16">
        <f t="shared" si="3"/>
        <v>1.05542E-2</v>
      </c>
      <c r="AC13" s="17">
        <f t="shared" si="7"/>
        <v>2.58811113335411</v>
      </c>
      <c r="AD13" s="17">
        <f t="shared" si="8"/>
        <v>2.3082264960154055</v>
      </c>
      <c r="AE13" s="17">
        <f t="shared" si="9"/>
        <v>0.8983948064570586</v>
      </c>
      <c r="AF13" s="17">
        <f t="shared" si="4"/>
        <v>0.46105720645705861</v>
      </c>
    </row>
    <row r="14" spans="1:32" x14ac:dyDescent="0.25">
      <c r="A14" s="14">
        <v>12</v>
      </c>
      <c r="B14" s="14" t="s">
        <v>63</v>
      </c>
      <c r="C14" s="14">
        <v>247.5</v>
      </c>
      <c r="D14" s="14">
        <v>3</v>
      </c>
      <c r="E14" s="15">
        <v>-0.42558328000000001</v>
      </c>
      <c r="F14" s="15">
        <v>-0.43104996000000001</v>
      </c>
      <c r="G14" s="15">
        <v>5.4666999999999997E-3</v>
      </c>
      <c r="H14" s="15">
        <v>0.65538315999999996</v>
      </c>
      <c r="I14" s="15">
        <v>0.66063324000000001</v>
      </c>
      <c r="J14" s="15">
        <v>-5.2500999999999997E-3</v>
      </c>
      <c r="K14" s="18">
        <v>23.7</v>
      </c>
      <c r="L14" s="18">
        <v>23.66</v>
      </c>
      <c r="M14" s="18">
        <v>0.04</v>
      </c>
      <c r="N14" s="15">
        <v>4.2740880000000002E-2</v>
      </c>
      <c r="O14" s="15">
        <v>4.0457359999999998E-2</v>
      </c>
      <c r="P14" s="15">
        <v>2.2835300000000002E-3</v>
      </c>
      <c r="Q14" s="15">
        <v>6.0220000000000003E-5</v>
      </c>
      <c r="R14" s="15">
        <v>1.1434730000000001E-2</v>
      </c>
      <c r="S14" s="15">
        <v>-1.1374509999999999E-2</v>
      </c>
      <c r="T14" s="14"/>
      <c r="U14" s="15">
        <f t="shared" si="5"/>
        <v>-2.7333400000000008E-3</v>
      </c>
      <c r="V14" s="15">
        <f t="shared" si="6"/>
        <v>-2.6250400000000229E-3</v>
      </c>
      <c r="W14" s="15"/>
      <c r="X14" s="15"/>
      <c r="Y14" s="16">
        <f t="shared" si="0"/>
        <v>4.2740880000000002E-2</v>
      </c>
      <c r="Z14" s="16">
        <f t="shared" si="1"/>
        <v>6.0220000000000003E-5</v>
      </c>
      <c r="AA14" s="16">
        <f t="shared" si="2"/>
        <v>4.0457359999999998E-2</v>
      </c>
      <c r="AB14" s="16">
        <f t="shared" si="3"/>
        <v>1.1434730000000001E-2</v>
      </c>
      <c r="AC14" s="17">
        <f t="shared" si="7"/>
        <v>2.4496206760724011</v>
      </c>
      <c r="AD14" s="17">
        <f t="shared" si="8"/>
        <v>2.4095538427150318</v>
      </c>
      <c r="AE14" s="17">
        <f t="shared" si="9"/>
        <v>8.0727153000093116E-2</v>
      </c>
      <c r="AF14" s="17">
        <f t="shared" si="4"/>
        <v>359.64967719300012</v>
      </c>
    </row>
    <row r="15" spans="1:32" x14ac:dyDescent="0.25">
      <c r="A15" s="14">
        <v>13</v>
      </c>
      <c r="B15" s="14" t="s">
        <v>63</v>
      </c>
      <c r="C15" s="14">
        <v>270</v>
      </c>
      <c r="D15" s="14">
        <v>7</v>
      </c>
      <c r="E15" s="15">
        <v>-0.43016423999999998</v>
      </c>
      <c r="F15" s="15">
        <v>-0.43045716000000001</v>
      </c>
      <c r="G15" s="15">
        <v>2.9290000000000002E-4</v>
      </c>
      <c r="H15" s="15">
        <v>0.65819280000000002</v>
      </c>
      <c r="I15" s="15">
        <v>0.66925009999999996</v>
      </c>
      <c r="J15" s="15">
        <v>-1.1057259999999999E-2</v>
      </c>
      <c r="K15" s="18">
        <v>23.58</v>
      </c>
      <c r="L15" s="18">
        <v>23.59</v>
      </c>
      <c r="M15" s="18">
        <v>-0.01</v>
      </c>
      <c r="N15" s="15">
        <v>4.0624300000000002E-2</v>
      </c>
      <c r="O15" s="15">
        <v>4.2821570000000003E-2</v>
      </c>
      <c r="P15" s="15">
        <v>-2.1972699999999999E-3</v>
      </c>
      <c r="Q15" s="15">
        <v>-2.6472000000000003E-4</v>
      </c>
      <c r="R15" s="15">
        <v>1.1687009999999999E-2</v>
      </c>
      <c r="S15" s="15">
        <v>-1.1951730000000001E-2</v>
      </c>
      <c r="T15" s="14"/>
      <c r="U15" s="15">
        <f t="shared" si="5"/>
        <v>-1.4646000000001491E-4</v>
      </c>
      <c r="V15" s="15">
        <f t="shared" si="6"/>
        <v>-5.5286499999999683E-3</v>
      </c>
      <c r="W15" s="15"/>
      <c r="X15" s="15"/>
      <c r="Y15" s="16">
        <f t="shared" si="0"/>
        <v>4.0624300000000002E-2</v>
      </c>
      <c r="Z15" s="16">
        <f t="shared" si="1"/>
        <v>-2.6472000000000003E-4</v>
      </c>
      <c r="AA15" s="16">
        <f t="shared" si="2"/>
        <v>4.2821570000000003E-2</v>
      </c>
      <c r="AB15" s="16">
        <f t="shared" si="3"/>
        <v>1.1687009999999999E-2</v>
      </c>
      <c r="AC15" s="17">
        <f t="shared" si="7"/>
        <v>2.3282910890757536</v>
      </c>
      <c r="AD15" s="17">
        <f t="shared" si="8"/>
        <v>2.5440670799242118</v>
      </c>
      <c r="AE15" s="17">
        <f t="shared" si="9"/>
        <v>359.6266489741601</v>
      </c>
      <c r="AF15" s="17">
        <f t="shared" si="4"/>
        <v>359.1961918141601</v>
      </c>
    </row>
    <row r="16" spans="1:32" x14ac:dyDescent="0.25">
      <c r="A16" s="14">
        <v>14</v>
      </c>
      <c r="B16" s="14" t="s">
        <v>63</v>
      </c>
      <c r="C16" s="14">
        <v>292.5</v>
      </c>
      <c r="D16" s="14">
        <v>4</v>
      </c>
      <c r="E16" s="15">
        <v>-0.42954999999999999</v>
      </c>
      <c r="F16" s="15">
        <v>-0.42603752</v>
      </c>
      <c r="G16" s="15">
        <v>-3.5125E-3</v>
      </c>
      <c r="H16" s="15">
        <v>0.65683747999999997</v>
      </c>
      <c r="I16" s="15">
        <v>0.66747504000000002</v>
      </c>
      <c r="J16" s="15">
        <v>-1.0637580000000001E-2</v>
      </c>
      <c r="K16" s="18">
        <v>23.7</v>
      </c>
      <c r="L16" s="18">
        <v>23.71</v>
      </c>
      <c r="M16" s="18">
        <v>-0.01</v>
      </c>
      <c r="N16" s="15">
        <v>3.7484129999999997E-2</v>
      </c>
      <c r="O16" s="15">
        <v>4.4029539999999999E-2</v>
      </c>
      <c r="P16" s="15">
        <v>-6.5454099999999998E-3</v>
      </c>
      <c r="Q16" s="15">
        <v>7.3607999999999996E-4</v>
      </c>
      <c r="R16" s="15">
        <v>1.071716E-2</v>
      </c>
      <c r="S16" s="15">
        <v>-9.9810799999999998E-3</v>
      </c>
      <c r="T16" s="14"/>
      <c r="U16" s="15">
        <f t="shared" si="5"/>
        <v>1.7562399999999923E-3</v>
      </c>
      <c r="V16" s="15">
        <f t="shared" si="6"/>
        <v>-5.3187800000000229E-3</v>
      </c>
      <c r="W16" s="15"/>
      <c r="X16" s="15"/>
      <c r="Y16" s="16">
        <f t="shared" si="0"/>
        <v>3.7484129999999997E-2</v>
      </c>
      <c r="Z16" s="16">
        <f t="shared" si="1"/>
        <v>7.3607999999999996E-4</v>
      </c>
      <c r="AA16" s="16">
        <f t="shared" si="2"/>
        <v>4.4029539999999999E-2</v>
      </c>
      <c r="AB16" s="16">
        <f t="shared" si="3"/>
        <v>1.071716E-2</v>
      </c>
      <c r="AC16" s="17">
        <f t="shared" si="7"/>
        <v>2.1486000449036071</v>
      </c>
      <c r="AD16" s="17">
        <f t="shared" si="8"/>
        <v>2.5972531493054398</v>
      </c>
      <c r="AE16" s="17">
        <f t="shared" si="9"/>
        <v>1.1249789607237737</v>
      </c>
      <c r="AF16" s="17">
        <f t="shared" si="4"/>
        <v>0.69894144072377373</v>
      </c>
    </row>
    <row r="17" spans="1:32" x14ac:dyDescent="0.25">
      <c r="A17" s="14">
        <v>15</v>
      </c>
      <c r="B17" s="14" t="s">
        <v>63</v>
      </c>
      <c r="C17" s="14">
        <v>315</v>
      </c>
      <c r="D17" s="14">
        <v>3</v>
      </c>
      <c r="E17" s="15">
        <v>-0.42763329999999999</v>
      </c>
      <c r="F17" s="15">
        <v>-0.42628332000000002</v>
      </c>
      <c r="G17" s="15">
        <v>-1.3499600000000001E-3</v>
      </c>
      <c r="H17" s="15">
        <v>0.65804991999999995</v>
      </c>
      <c r="I17" s="15">
        <v>0.66753340000000005</v>
      </c>
      <c r="J17" s="15">
        <v>-9.4834600000000008E-3</v>
      </c>
      <c r="K17" s="18">
        <v>23.59</v>
      </c>
      <c r="L17" s="18">
        <v>23.6</v>
      </c>
      <c r="M17" s="18">
        <v>-0.01</v>
      </c>
      <c r="N17" s="15">
        <v>3.7299810000000003E-2</v>
      </c>
      <c r="O17" s="15">
        <v>4.6725259999999998E-2</v>
      </c>
      <c r="P17" s="15">
        <v>-9.4254500000000001E-3</v>
      </c>
      <c r="Q17" s="15">
        <v>2.4853499999999999E-3</v>
      </c>
      <c r="R17" s="15">
        <v>8.8362600000000003E-3</v>
      </c>
      <c r="S17" s="15">
        <v>-6.3509100000000004E-3</v>
      </c>
      <c r="T17" s="14"/>
      <c r="U17" s="15">
        <f t="shared" si="5"/>
        <v>6.7498999999998643E-4</v>
      </c>
      <c r="V17" s="15">
        <f t="shared" si="6"/>
        <v>-4.7417400000000498E-3</v>
      </c>
      <c r="W17" s="15"/>
      <c r="X17" s="15"/>
      <c r="Y17" s="16">
        <f t="shared" si="0"/>
        <v>3.7299810000000003E-2</v>
      </c>
      <c r="Z17" s="16">
        <f t="shared" si="1"/>
        <v>2.4853499999999999E-3</v>
      </c>
      <c r="AA17" s="16">
        <f t="shared" si="2"/>
        <v>4.6725259999999998E-2</v>
      </c>
      <c r="AB17" s="16">
        <f t="shared" si="3"/>
        <v>8.8362600000000003E-3</v>
      </c>
      <c r="AC17" s="17">
        <f t="shared" si="7"/>
        <v>2.1423597873688802</v>
      </c>
      <c r="AD17" s="17">
        <f t="shared" si="8"/>
        <v>2.7256391872362795</v>
      </c>
      <c r="AE17" s="17">
        <f t="shared" si="9"/>
        <v>3.8120806343876468</v>
      </c>
      <c r="AF17" s="17">
        <f t="shared" si="4"/>
        <v>3.3857973143876468</v>
      </c>
    </row>
    <row r="18" spans="1:32" x14ac:dyDescent="0.25">
      <c r="A18" s="14">
        <v>16</v>
      </c>
      <c r="B18" s="14" t="s">
        <v>63</v>
      </c>
      <c r="C18" s="14">
        <v>337.5</v>
      </c>
      <c r="D18" s="14">
        <v>5</v>
      </c>
      <c r="E18" s="15">
        <v>-0.43152003999999999</v>
      </c>
      <c r="F18" s="15">
        <v>-0.42803000000000002</v>
      </c>
      <c r="G18" s="15">
        <v>-3.4900299999999999E-3</v>
      </c>
      <c r="H18" s="15">
        <v>0.65812000000000004</v>
      </c>
      <c r="I18" s="15">
        <v>0.66100990000000004</v>
      </c>
      <c r="J18" s="15">
        <v>-2.8899300000000002E-3</v>
      </c>
      <c r="K18" s="18">
        <v>23.66</v>
      </c>
      <c r="L18" s="18">
        <v>23.65</v>
      </c>
      <c r="M18" s="18">
        <v>0.01</v>
      </c>
      <c r="N18" s="15">
        <v>3.5237299999999999E-2</v>
      </c>
      <c r="O18" s="15">
        <v>4.6431149999999997E-2</v>
      </c>
      <c r="P18" s="15">
        <v>-1.119385E-2</v>
      </c>
      <c r="Q18" s="15">
        <v>4.6855500000000001E-3</v>
      </c>
      <c r="R18" s="15">
        <v>7.2382799999999997E-3</v>
      </c>
      <c r="S18" s="15">
        <v>-2.55273E-3</v>
      </c>
      <c r="T18" s="14"/>
      <c r="U18" s="15">
        <f t="shared" si="5"/>
        <v>1.745019999999986E-3</v>
      </c>
      <c r="V18" s="15">
        <f t="shared" si="6"/>
        <v>-1.4449500000000004E-3</v>
      </c>
      <c r="W18" s="15"/>
      <c r="X18" s="15"/>
      <c r="Y18" s="16">
        <f t="shared" si="0"/>
        <v>3.5237299999999999E-2</v>
      </c>
      <c r="Z18" s="16">
        <f t="shared" si="1"/>
        <v>4.6855500000000001E-3</v>
      </c>
      <c r="AA18" s="16">
        <f t="shared" si="2"/>
        <v>4.6431149999999997E-2</v>
      </c>
      <c r="AB18" s="16">
        <f t="shared" si="3"/>
        <v>7.2382799999999997E-3</v>
      </c>
      <c r="AC18" s="17">
        <f t="shared" si="7"/>
        <v>2.0371484357386969</v>
      </c>
      <c r="AD18" s="17">
        <f t="shared" si="8"/>
        <v>2.6934329436279056</v>
      </c>
      <c r="AE18" s="17">
        <f t="shared" si="9"/>
        <v>7.5742623994712464</v>
      </c>
      <c r="AF18" s="17">
        <f t="shared" si="4"/>
        <v>7.1462323994712467</v>
      </c>
    </row>
    <row r="19" spans="1:32" x14ac:dyDescent="0.25">
      <c r="A19" s="24">
        <v>17</v>
      </c>
      <c r="B19" s="24" t="s">
        <v>64</v>
      </c>
      <c r="C19" s="24">
        <v>0</v>
      </c>
      <c r="D19" s="24">
        <v>8</v>
      </c>
      <c r="E19" s="25">
        <v>-0.43180619999999997</v>
      </c>
      <c r="F19" s="25">
        <v>-0.42664999999999997</v>
      </c>
      <c r="G19" s="25">
        <v>-5.1561899999999997E-3</v>
      </c>
      <c r="H19" s="25">
        <v>0.66691255999999999</v>
      </c>
      <c r="I19" s="25">
        <v>0.66581256</v>
      </c>
      <c r="J19" s="25">
        <v>1.1000000000000001E-3</v>
      </c>
      <c r="K19" s="26">
        <v>23.62</v>
      </c>
      <c r="L19" s="26">
        <v>23.62</v>
      </c>
      <c r="M19" s="26">
        <v>0.01</v>
      </c>
      <c r="N19" s="25">
        <v>3.5757450000000003E-2</v>
      </c>
      <c r="O19" s="25">
        <v>4.7300420000000003E-2</v>
      </c>
      <c r="P19" s="25">
        <v>-1.154297E-2</v>
      </c>
      <c r="Q19" s="25">
        <v>6.6198699999999999E-3</v>
      </c>
      <c r="R19" s="25">
        <v>4.8831200000000003E-3</v>
      </c>
      <c r="S19" s="25">
        <v>1.73676E-3</v>
      </c>
      <c r="T19" s="24"/>
      <c r="U19" s="25">
        <f t="shared" si="5"/>
        <v>2.5780999999999998E-3</v>
      </c>
      <c r="V19" s="25">
        <f t="shared" si="6"/>
        <v>5.4999999999999494E-4</v>
      </c>
      <c r="W19" s="25"/>
      <c r="X19" s="25"/>
      <c r="Y19" s="27">
        <f t="shared" si="0"/>
        <v>3.5757450000000003E-2</v>
      </c>
      <c r="Z19" s="27">
        <f t="shared" si="1"/>
        <v>6.6198699999999999E-3</v>
      </c>
      <c r="AA19" s="27">
        <f t="shared" si="2"/>
        <v>4.7300420000000003E-2</v>
      </c>
      <c r="AB19" s="27">
        <f t="shared" si="3"/>
        <v>4.8831200000000003E-3</v>
      </c>
      <c r="AC19" s="28">
        <f t="shared" ref="AC19:AC34" si="10">IF(Y19="","",DEGREES(ASIN(SQRT(Y19^2+Z19^2))))</f>
        <v>2.0840242096136317</v>
      </c>
      <c r="AD19" s="28">
        <f t="shared" ref="AD19:AD34" si="11">IF(AA19="","",DEGREES(ASIN(SQRT(AA19^2+AB19^2))))</f>
        <v>2.7255458110609618</v>
      </c>
      <c r="AE19" s="28">
        <f t="shared" ref="AE19:AE34" si="12">IF(Y19="","",MOD(DEGREES(ATAN2(Y19,Z19)),360))</f>
        <v>10.4885644568168</v>
      </c>
      <c r="AF19" s="28">
        <f t="shared" si="4"/>
        <v>10.061914456816799</v>
      </c>
    </row>
    <row r="20" spans="1:32" x14ac:dyDescent="0.25">
      <c r="A20" s="14">
        <v>18</v>
      </c>
      <c r="B20" s="14" t="s">
        <v>64</v>
      </c>
      <c r="C20" s="14">
        <v>22.5</v>
      </c>
      <c r="D20" s="14">
        <v>7</v>
      </c>
      <c r="E20" s="15">
        <v>-0.43164284000000003</v>
      </c>
      <c r="F20" s="15">
        <v>-0.42602136000000002</v>
      </c>
      <c r="G20" s="15">
        <v>-5.62146E-3</v>
      </c>
      <c r="H20" s="15">
        <v>0.66669992</v>
      </c>
      <c r="I20" s="15">
        <v>0.66442144000000003</v>
      </c>
      <c r="J20" s="15">
        <v>2.2785100000000001E-3</v>
      </c>
      <c r="K20" s="18">
        <v>23.53</v>
      </c>
      <c r="L20" s="18">
        <v>23.55</v>
      </c>
      <c r="M20" s="18">
        <v>-0.02</v>
      </c>
      <c r="N20" s="15">
        <v>3.7155069999999998E-2</v>
      </c>
      <c r="O20" s="15">
        <v>4.692383E-2</v>
      </c>
      <c r="P20" s="15">
        <v>-9.7687599999999996E-3</v>
      </c>
      <c r="Q20" s="15">
        <v>8.7653499999999999E-3</v>
      </c>
      <c r="R20" s="15">
        <v>2.6935700000000002E-3</v>
      </c>
      <c r="S20" s="15">
        <v>6.0717799999999997E-3</v>
      </c>
      <c r="T20" s="14"/>
      <c r="U20" s="15">
        <f t="shared" si="5"/>
        <v>2.810740000000006E-3</v>
      </c>
      <c r="V20" s="15">
        <f t="shared" si="6"/>
        <v>1.1392399999999858E-3</v>
      </c>
      <c r="W20" s="15"/>
      <c r="X20" s="15"/>
      <c r="Y20" s="16">
        <f t="shared" si="0"/>
        <v>3.7155069999999998E-2</v>
      </c>
      <c r="Z20" s="16">
        <f t="shared" si="1"/>
        <v>8.7653499999999999E-3</v>
      </c>
      <c r="AA20" s="16">
        <f t="shared" si="2"/>
        <v>4.692383E-2</v>
      </c>
      <c r="AB20" s="16">
        <f t="shared" si="3"/>
        <v>2.6935700000000002E-3</v>
      </c>
      <c r="AC20" s="17">
        <f t="shared" si="10"/>
        <v>2.1877979650378734</v>
      </c>
      <c r="AD20" s="17">
        <f t="shared" si="11"/>
        <v>2.6939557766291311</v>
      </c>
      <c r="AE20" s="17">
        <f t="shared" si="12"/>
        <v>13.27409396728541</v>
      </c>
      <c r="AF20" s="17">
        <f t="shared" si="4"/>
        <v>12.84807260728541</v>
      </c>
    </row>
    <row r="21" spans="1:32" x14ac:dyDescent="0.25">
      <c r="A21" s="14">
        <v>19</v>
      </c>
      <c r="B21" s="14" t="s">
        <v>64</v>
      </c>
      <c r="C21" s="14">
        <v>45</v>
      </c>
      <c r="D21" s="14">
        <v>4</v>
      </c>
      <c r="E21" s="15">
        <v>-0.42653750000000001</v>
      </c>
      <c r="F21" s="15">
        <v>-0.42359992000000002</v>
      </c>
      <c r="G21" s="15">
        <v>-2.9375899999999999E-3</v>
      </c>
      <c r="H21" s="15">
        <v>0.66656243999999998</v>
      </c>
      <c r="I21" s="15">
        <v>0.66241249999999996</v>
      </c>
      <c r="J21" s="15">
        <v>4.1499099999999997E-3</v>
      </c>
      <c r="K21" s="18">
        <v>23.63</v>
      </c>
      <c r="L21" s="18">
        <v>23.64</v>
      </c>
      <c r="M21" s="18">
        <v>-0.01</v>
      </c>
      <c r="N21" s="15">
        <v>3.8253780000000001E-2</v>
      </c>
      <c r="O21" s="15">
        <v>4.5844120000000002E-2</v>
      </c>
      <c r="P21" s="15">
        <v>-7.5903300000000002E-3</v>
      </c>
      <c r="Q21" s="15">
        <v>1.0625610000000001E-2</v>
      </c>
      <c r="R21" s="15">
        <v>4.9622000000000002E-4</v>
      </c>
      <c r="S21" s="15">
        <v>1.012939E-2</v>
      </c>
      <c r="T21" s="14"/>
      <c r="U21" s="15">
        <f t="shared" si="5"/>
        <v>1.4687899999999976E-3</v>
      </c>
      <c r="V21" s="15">
        <f t="shared" si="6"/>
        <v>2.0749700000000093E-3</v>
      </c>
      <c r="W21" s="15"/>
      <c r="X21" s="15"/>
      <c r="Y21" s="16">
        <f t="shared" si="0"/>
        <v>3.8253780000000001E-2</v>
      </c>
      <c r="Z21" s="16">
        <f t="shared" si="1"/>
        <v>1.0625610000000001E-2</v>
      </c>
      <c r="AA21" s="16">
        <f t="shared" si="2"/>
        <v>4.5844120000000002E-2</v>
      </c>
      <c r="AB21" s="16">
        <f t="shared" si="3"/>
        <v>4.9622000000000002E-4</v>
      </c>
      <c r="AC21" s="17">
        <f t="shared" si="10"/>
        <v>2.2753597306138467</v>
      </c>
      <c r="AD21" s="17">
        <f t="shared" si="11"/>
        <v>2.6277495644978841</v>
      </c>
      <c r="AE21" s="17">
        <f t="shared" si="12"/>
        <v>15.523499179353783</v>
      </c>
      <c r="AF21" s="17">
        <f t="shared" si="4"/>
        <v>15.099899259353784</v>
      </c>
    </row>
    <row r="22" spans="1:32" x14ac:dyDescent="0.25">
      <c r="A22" s="14">
        <v>20</v>
      </c>
      <c r="B22" s="14" t="s">
        <v>64</v>
      </c>
      <c r="C22" s="14">
        <v>67.5</v>
      </c>
      <c r="D22" s="14">
        <v>6</v>
      </c>
      <c r="E22" s="15">
        <v>-0.42831668000000001</v>
      </c>
      <c r="F22" s="15">
        <v>-0.42806660000000002</v>
      </c>
      <c r="G22" s="15">
        <v>-2.5007000000000002E-4</v>
      </c>
      <c r="H22" s="15">
        <v>0.66777509999999995</v>
      </c>
      <c r="I22" s="15">
        <v>0.66135829999999995</v>
      </c>
      <c r="J22" s="15">
        <v>6.4168000000000003E-3</v>
      </c>
      <c r="K22" s="18">
        <v>23.54</v>
      </c>
      <c r="L22" s="18">
        <v>23.54</v>
      </c>
      <c r="M22" s="18">
        <v>0</v>
      </c>
      <c r="N22" s="15">
        <v>4.0448400000000002E-2</v>
      </c>
      <c r="O22" s="15">
        <v>4.387655E-2</v>
      </c>
      <c r="P22" s="15">
        <v>-3.4281400000000001E-3</v>
      </c>
      <c r="Q22" s="15">
        <v>1.1579590000000001E-2</v>
      </c>
      <c r="R22" s="15">
        <v>-3.4424E-4</v>
      </c>
      <c r="S22" s="15">
        <v>1.192383E-2</v>
      </c>
      <c r="T22" s="14"/>
      <c r="U22" s="15">
        <f t="shared" si="5"/>
        <v>1.2503999999999293E-4</v>
      </c>
      <c r="V22" s="15">
        <f t="shared" si="6"/>
        <v>3.2084000000000001E-3</v>
      </c>
      <c r="W22" s="15"/>
      <c r="X22" s="15"/>
      <c r="Y22" s="16">
        <f t="shared" si="0"/>
        <v>4.0448400000000002E-2</v>
      </c>
      <c r="Z22" s="16">
        <f t="shared" si="1"/>
        <v>1.1579590000000001E-2</v>
      </c>
      <c r="AA22" s="16">
        <f t="shared" si="2"/>
        <v>4.387655E-2</v>
      </c>
      <c r="AB22" s="16">
        <f t="shared" si="3"/>
        <v>-3.4424E-4</v>
      </c>
      <c r="AC22" s="17">
        <f t="shared" si="10"/>
        <v>2.4113325104203187</v>
      </c>
      <c r="AD22" s="17">
        <f t="shared" si="11"/>
        <v>2.5148258990532639</v>
      </c>
      <c r="AE22" s="17">
        <f t="shared" si="12"/>
        <v>15.975387060153947</v>
      </c>
      <c r="AF22" s="17">
        <f t="shared" si="4"/>
        <v>15.547320460153948</v>
      </c>
    </row>
    <row r="23" spans="1:32" x14ac:dyDescent="0.25">
      <c r="A23" s="14">
        <v>21</v>
      </c>
      <c r="B23" s="14" t="s">
        <v>64</v>
      </c>
      <c r="C23" s="14">
        <v>90</v>
      </c>
      <c r="D23" s="14">
        <v>5</v>
      </c>
      <c r="E23" s="15">
        <v>-0.43175992000000002</v>
      </c>
      <c r="F23" s="15">
        <v>-0.43209989999999998</v>
      </c>
      <c r="G23" s="15">
        <v>3.3997999999999998E-4</v>
      </c>
      <c r="H23" s="15">
        <v>0.66251004000000002</v>
      </c>
      <c r="I23" s="15">
        <v>0.66027004</v>
      </c>
      <c r="J23" s="15">
        <v>2.2399999999999998E-3</v>
      </c>
      <c r="K23" s="18">
        <v>23.61</v>
      </c>
      <c r="L23" s="18">
        <v>23.59</v>
      </c>
      <c r="M23" s="18">
        <v>0.02</v>
      </c>
      <c r="N23" s="15">
        <v>4.2990229999999997E-2</v>
      </c>
      <c r="O23" s="15">
        <v>4.2563480000000001E-2</v>
      </c>
      <c r="P23" s="15">
        <v>4.2675999999999999E-4</v>
      </c>
      <c r="Q23" s="15">
        <v>1.14707E-2</v>
      </c>
      <c r="R23" s="15">
        <v>-4.1210999999999998E-4</v>
      </c>
      <c r="S23" s="15">
        <v>1.1882810000000001E-2</v>
      </c>
      <c r="T23" s="14"/>
      <c r="U23" s="15">
        <f t="shared" si="5"/>
        <v>-1.6998999999998099E-4</v>
      </c>
      <c r="V23" s="15">
        <f t="shared" si="6"/>
        <v>1.1200000000000099E-3</v>
      </c>
      <c r="W23" s="15"/>
      <c r="X23" s="15"/>
      <c r="Y23" s="16">
        <f t="shared" si="0"/>
        <v>4.2990229999999997E-2</v>
      </c>
      <c r="Z23" s="16">
        <f t="shared" si="1"/>
        <v>1.14707E-2</v>
      </c>
      <c r="AA23" s="16">
        <f t="shared" si="2"/>
        <v>4.2563480000000001E-2</v>
      </c>
      <c r="AB23" s="16">
        <f t="shared" si="3"/>
        <v>-4.1210999999999998E-4</v>
      </c>
      <c r="AC23" s="17">
        <f t="shared" si="10"/>
        <v>2.5501737225197489</v>
      </c>
      <c r="AD23" s="17">
        <f t="shared" si="11"/>
        <v>2.4395591241314452</v>
      </c>
      <c r="AE23" s="17">
        <f t="shared" si="12"/>
        <v>14.939677224840453</v>
      </c>
      <c r="AF23" s="17">
        <f t="shared" si="4"/>
        <v>14.507577324840453</v>
      </c>
    </row>
    <row r="24" spans="1:32" x14ac:dyDescent="0.25">
      <c r="A24" s="14">
        <v>22</v>
      </c>
      <c r="B24" s="14" t="s">
        <v>64</v>
      </c>
      <c r="C24" s="14">
        <v>112.5</v>
      </c>
      <c r="D24" s="14">
        <v>5</v>
      </c>
      <c r="E24" s="15">
        <v>-0.42321999999999999</v>
      </c>
      <c r="F24" s="15">
        <v>-0.43465999999999999</v>
      </c>
      <c r="G24" s="15">
        <v>1.144001E-2</v>
      </c>
      <c r="H24" s="15">
        <v>0.66357999999999995</v>
      </c>
      <c r="I24" s="15">
        <v>0.66125007999999996</v>
      </c>
      <c r="J24" s="15">
        <v>2.3299499999999999E-3</v>
      </c>
      <c r="K24" s="18">
        <v>23.62</v>
      </c>
      <c r="L24" s="18">
        <v>23.65</v>
      </c>
      <c r="M24" s="18">
        <v>-0.03</v>
      </c>
      <c r="N24" s="15">
        <v>4.4270999999999998E-2</v>
      </c>
      <c r="O24" s="15">
        <v>3.9010740000000002E-2</v>
      </c>
      <c r="P24" s="15">
        <v>5.2602600000000001E-3</v>
      </c>
      <c r="Q24" s="15">
        <v>1.1160160000000001E-2</v>
      </c>
      <c r="R24" s="15">
        <v>6.4159999999999998E-4</v>
      </c>
      <c r="S24" s="15">
        <v>1.051855E-2</v>
      </c>
      <c r="T24" s="14"/>
      <c r="U24" s="15">
        <f t="shared" si="5"/>
        <v>-5.7200000000000029E-3</v>
      </c>
      <c r="V24" s="15">
        <f t="shared" si="6"/>
        <v>1.1649599999999927E-3</v>
      </c>
      <c r="W24" s="15"/>
      <c r="X24" s="15"/>
      <c r="Y24" s="16">
        <f t="shared" si="0"/>
        <v>4.4270999999999998E-2</v>
      </c>
      <c r="Z24" s="16">
        <f t="shared" si="1"/>
        <v>1.1160160000000001E-2</v>
      </c>
      <c r="AA24" s="16">
        <f t="shared" si="2"/>
        <v>3.9010740000000002E-2</v>
      </c>
      <c r="AB24" s="16">
        <f t="shared" si="3"/>
        <v>6.4159999999999998E-4</v>
      </c>
      <c r="AC24" s="17">
        <f t="shared" si="10"/>
        <v>2.6168059294455022</v>
      </c>
      <c r="AD24" s="17">
        <f t="shared" si="11"/>
        <v>2.2360205782859204</v>
      </c>
      <c r="AE24" s="17">
        <f t="shared" si="12"/>
        <v>14.148750462665827</v>
      </c>
      <c r="AF24" s="17">
        <f t="shared" si="4"/>
        <v>13.714090462665828</v>
      </c>
    </row>
    <row r="25" spans="1:32" x14ac:dyDescent="0.25">
      <c r="A25" s="14">
        <v>23</v>
      </c>
      <c r="B25" s="14" t="s">
        <v>64</v>
      </c>
      <c r="C25" s="14">
        <v>135</v>
      </c>
      <c r="D25" s="14">
        <v>3</v>
      </c>
      <c r="E25" s="15">
        <v>-0.42906670000000002</v>
      </c>
      <c r="F25" s="15">
        <v>-0.42634995999999997</v>
      </c>
      <c r="G25" s="15">
        <v>-2.7167200000000002E-3</v>
      </c>
      <c r="H25" s="15">
        <v>0.66713350000000005</v>
      </c>
      <c r="I25" s="15">
        <v>0.66425009999999995</v>
      </c>
      <c r="J25" s="15">
        <v>2.8834300000000002E-3</v>
      </c>
      <c r="K25" s="18">
        <v>23.45</v>
      </c>
      <c r="L25" s="18">
        <v>23.44</v>
      </c>
      <c r="M25" s="18">
        <v>0.01</v>
      </c>
      <c r="N25" s="15">
        <v>4.7225749999999997E-2</v>
      </c>
      <c r="O25" s="15">
        <v>3.7889810000000003E-2</v>
      </c>
      <c r="P25" s="15">
        <v>9.3359399999999992E-3</v>
      </c>
      <c r="Q25" s="15">
        <v>9.1878199999999993E-3</v>
      </c>
      <c r="R25" s="15">
        <v>2.1012399999999999E-3</v>
      </c>
      <c r="S25" s="15">
        <v>7.0865900000000003E-3</v>
      </c>
      <c r="T25" s="14"/>
      <c r="U25" s="15">
        <f t="shared" si="5"/>
        <v>1.3583700000000254E-3</v>
      </c>
      <c r="V25" s="15">
        <f t="shared" si="6"/>
        <v>1.4417000000000457E-3</v>
      </c>
      <c r="W25" s="15"/>
      <c r="X25" s="15"/>
      <c r="Y25" s="16">
        <f t="shared" si="0"/>
        <v>4.7225749999999997E-2</v>
      </c>
      <c r="Z25" s="16">
        <f t="shared" si="1"/>
        <v>9.1878199999999993E-3</v>
      </c>
      <c r="AA25" s="16">
        <f t="shared" si="2"/>
        <v>3.7889810000000003E-2</v>
      </c>
      <c r="AB25" s="16">
        <f t="shared" si="3"/>
        <v>2.1012399999999999E-3</v>
      </c>
      <c r="AC25" s="17">
        <f t="shared" si="10"/>
        <v>2.7576332097110656</v>
      </c>
      <c r="AD25" s="17">
        <f t="shared" si="11"/>
        <v>2.1747840878510036</v>
      </c>
      <c r="AE25" s="17">
        <f t="shared" si="12"/>
        <v>11.009427136164765</v>
      </c>
      <c r="AF25" s="17">
        <f t="shared" si="4"/>
        <v>10.583077176164766</v>
      </c>
    </row>
    <row r="26" spans="1:32" x14ac:dyDescent="0.25">
      <c r="A26" s="14">
        <v>24</v>
      </c>
      <c r="B26" s="14" t="s">
        <v>64</v>
      </c>
      <c r="C26" s="14">
        <v>157.5</v>
      </c>
      <c r="D26" s="14">
        <v>5</v>
      </c>
      <c r="E26" s="15">
        <v>-0.42654989999999998</v>
      </c>
      <c r="F26" s="15">
        <v>-0.43385995999999999</v>
      </c>
      <c r="G26" s="15">
        <v>7.3100600000000002E-3</v>
      </c>
      <c r="H26" s="15">
        <v>0.66783000000000003</v>
      </c>
      <c r="I26" s="15">
        <v>0.66034000000000004</v>
      </c>
      <c r="J26" s="15">
        <v>7.4899800000000002E-3</v>
      </c>
      <c r="K26" s="18">
        <v>23.59</v>
      </c>
      <c r="L26" s="18">
        <v>23.6</v>
      </c>
      <c r="M26" s="18">
        <v>-0.01</v>
      </c>
      <c r="N26" s="15">
        <v>4.7114740000000002E-2</v>
      </c>
      <c r="O26" s="15">
        <v>3.6583490000000003E-2</v>
      </c>
      <c r="P26" s="15">
        <v>1.0531250000000001E-2</v>
      </c>
      <c r="Q26" s="15">
        <v>6.8803700000000002E-3</v>
      </c>
      <c r="R26" s="15">
        <v>4.0004899999999998E-3</v>
      </c>
      <c r="S26" s="15">
        <v>2.87988E-3</v>
      </c>
      <c r="T26" s="14"/>
      <c r="U26" s="15">
        <f t="shared" si="5"/>
        <v>-3.6550300000000036E-3</v>
      </c>
      <c r="V26" s="15">
        <f t="shared" si="6"/>
        <v>3.7449999999999983E-3</v>
      </c>
      <c r="W26" s="15"/>
      <c r="X26" s="15"/>
      <c r="Y26" s="16">
        <f t="shared" si="0"/>
        <v>4.7114740000000002E-2</v>
      </c>
      <c r="Z26" s="16">
        <f t="shared" si="1"/>
        <v>6.8803700000000002E-3</v>
      </c>
      <c r="AA26" s="16">
        <f t="shared" si="2"/>
        <v>3.6583490000000003E-2</v>
      </c>
      <c r="AB26" s="16">
        <f t="shared" si="3"/>
        <v>4.0004899999999998E-3</v>
      </c>
      <c r="AC26" s="17">
        <f t="shared" si="10"/>
        <v>2.7291403397026128</v>
      </c>
      <c r="AD26" s="17">
        <f t="shared" si="11"/>
        <v>2.109050973578166</v>
      </c>
      <c r="AE26" s="17">
        <f t="shared" si="12"/>
        <v>8.3084216950289189</v>
      </c>
      <c r="AF26" s="17">
        <f t="shared" si="4"/>
        <v>7.8745617350289185</v>
      </c>
    </row>
    <row r="27" spans="1:32" x14ac:dyDescent="0.25">
      <c r="A27" s="14">
        <v>25</v>
      </c>
      <c r="B27" s="14" t="s">
        <v>64</v>
      </c>
      <c r="C27" s="14">
        <v>180</v>
      </c>
      <c r="D27" s="14">
        <v>5</v>
      </c>
      <c r="E27" s="15">
        <v>-0.43097990000000003</v>
      </c>
      <c r="F27" s="15">
        <v>-0.43077991999999998</v>
      </c>
      <c r="G27" s="15">
        <v>-1.9997E-4</v>
      </c>
      <c r="H27" s="15">
        <v>0.66288999999999998</v>
      </c>
      <c r="I27" s="15">
        <v>0.66144999999999998</v>
      </c>
      <c r="J27" s="15">
        <v>1.4399899999999999E-3</v>
      </c>
      <c r="K27" s="18">
        <v>23.59</v>
      </c>
      <c r="L27" s="18">
        <v>23.59</v>
      </c>
      <c r="M27" s="18">
        <v>0</v>
      </c>
      <c r="N27" s="15">
        <v>4.7240240000000003E-2</v>
      </c>
      <c r="O27" s="15">
        <v>3.6515140000000001E-2</v>
      </c>
      <c r="P27" s="15">
        <v>1.07251E-2</v>
      </c>
      <c r="Q27" s="15">
        <v>4.3188499999999999E-3</v>
      </c>
      <c r="R27" s="15">
        <v>6.18945E-3</v>
      </c>
      <c r="S27" s="15">
        <v>-1.87061E-3</v>
      </c>
      <c r="T27" s="14"/>
      <c r="U27" s="15">
        <f t="shared" si="5"/>
        <v>9.9990000000022006E-5</v>
      </c>
      <c r="V27" s="15">
        <f t="shared" si="6"/>
        <v>7.1999999999999842E-4</v>
      </c>
      <c r="W27" s="15"/>
      <c r="X27" s="15"/>
      <c r="Y27" s="16">
        <f t="shared" si="0"/>
        <v>4.7240240000000003E-2</v>
      </c>
      <c r="Z27" s="16">
        <f t="shared" si="1"/>
        <v>4.3188499999999999E-3</v>
      </c>
      <c r="AA27" s="16">
        <f t="shared" si="2"/>
        <v>3.6515140000000001E-2</v>
      </c>
      <c r="AB27" s="16">
        <f t="shared" si="3"/>
        <v>6.18945E-3</v>
      </c>
      <c r="AC27" s="17">
        <f t="shared" si="10"/>
        <v>2.7189746478039849</v>
      </c>
      <c r="AD27" s="17">
        <f t="shared" si="11"/>
        <v>2.1224914735387785</v>
      </c>
      <c r="AE27" s="17">
        <f t="shared" si="12"/>
        <v>5.223637684776711</v>
      </c>
      <c r="AF27" s="17">
        <f t="shared" si="4"/>
        <v>4.792857764776711</v>
      </c>
    </row>
    <row r="28" spans="1:32" x14ac:dyDescent="0.25">
      <c r="A28" s="14">
        <v>26</v>
      </c>
      <c r="B28" s="14" t="s">
        <v>64</v>
      </c>
      <c r="C28" s="14">
        <v>202.5</v>
      </c>
      <c r="D28" s="14">
        <v>6</v>
      </c>
      <c r="E28" s="15">
        <v>-0.42939159999999998</v>
      </c>
      <c r="F28" s="15">
        <v>-0.43014160000000001</v>
      </c>
      <c r="G28" s="15">
        <v>7.5000999999999996E-4</v>
      </c>
      <c r="H28" s="15">
        <v>0.66645010000000005</v>
      </c>
      <c r="I28" s="15">
        <v>0.66315829999999998</v>
      </c>
      <c r="J28" s="15">
        <v>3.2917900000000002E-3</v>
      </c>
      <c r="K28" s="18">
        <v>23.6</v>
      </c>
      <c r="L28" s="18">
        <v>23.61</v>
      </c>
      <c r="M28" s="18">
        <v>-0.01</v>
      </c>
      <c r="N28" s="15">
        <v>4.6586500000000003E-2</v>
      </c>
      <c r="O28" s="15">
        <v>3.6561280000000002E-2</v>
      </c>
      <c r="P28" s="15">
        <v>1.002522E-2</v>
      </c>
      <c r="Q28" s="15">
        <v>2.7063E-3</v>
      </c>
      <c r="R28" s="15">
        <v>8.6747200000000003E-3</v>
      </c>
      <c r="S28" s="15">
        <v>-5.9684200000000003E-3</v>
      </c>
      <c r="T28" s="14"/>
      <c r="U28" s="15">
        <f t="shared" si="5"/>
        <v>-3.7500000000001421E-4</v>
      </c>
      <c r="V28" s="15">
        <f t="shared" si="6"/>
        <v>1.6459000000000334E-3</v>
      </c>
      <c r="W28" s="15"/>
      <c r="X28" s="15"/>
      <c r="Y28" s="16">
        <f t="shared" si="0"/>
        <v>4.6586500000000003E-2</v>
      </c>
      <c r="Z28" s="16">
        <f t="shared" si="1"/>
        <v>2.7063E-3</v>
      </c>
      <c r="AA28" s="16">
        <f t="shared" si="2"/>
        <v>3.6561280000000002E-2</v>
      </c>
      <c r="AB28" s="16">
        <f t="shared" si="3"/>
        <v>8.6747200000000003E-3</v>
      </c>
      <c r="AC28" s="17">
        <f t="shared" si="10"/>
        <v>2.67468123641601</v>
      </c>
      <c r="AD28" s="17">
        <f t="shared" si="11"/>
        <v>2.1534701040102591</v>
      </c>
      <c r="AE28" s="17">
        <f t="shared" si="12"/>
        <v>3.3246862354265354</v>
      </c>
      <c r="AF28" s="17">
        <f t="shared" si="4"/>
        <v>2.8945446354265352</v>
      </c>
    </row>
    <row r="29" spans="1:32" x14ac:dyDescent="0.25">
      <c r="A29" s="14">
        <v>27</v>
      </c>
      <c r="B29" s="14" t="s">
        <v>64</v>
      </c>
      <c r="C29" s="14">
        <v>225</v>
      </c>
      <c r="D29" s="14">
        <v>5</v>
      </c>
      <c r="E29" s="15">
        <v>-0.42466008</v>
      </c>
      <c r="F29" s="15">
        <v>-0.43171008</v>
      </c>
      <c r="G29" s="15">
        <v>7.0500099999999998E-3</v>
      </c>
      <c r="H29" s="15">
        <v>0.67071999999999998</v>
      </c>
      <c r="I29" s="15">
        <v>0.67730016000000004</v>
      </c>
      <c r="J29" s="15">
        <v>-6.5801699999999998E-3</v>
      </c>
      <c r="K29" s="18">
        <v>23.46</v>
      </c>
      <c r="L29" s="18">
        <v>23.46</v>
      </c>
      <c r="M29" s="18">
        <v>0</v>
      </c>
      <c r="N29" s="15">
        <v>4.5344719999999998E-2</v>
      </c>
      <c r="O29" s="15">
        <v>4.0021979999999999E-2</v>
      </c>
      <c r="P29" s="15">
        <v>5.3227500000000002E-3</v>
      </c>
      <c r="Q29" s="15">
        <v>7.5098000000000005E-4</v>
      </c>
      <c r="R29" s="15">
        <v>1.04873E-2</v>
      </c>
      <c r="S29" s="15">
        <v>-9.7363299999999996E-3</v>
      </c>
      <c r="T29" s="14"/>
      <c r="U29" s="15">
        <f t="shared" si="5"/>
        <v>-3.5250000000000004E-3</v>
      </c>
      <c r="V29" s="15">
        <f t="shared" si="6"/>
        <v>-3.2900800000000285E-3</v>
      </c>
      <c r="W29" s="15"/>
      <c r="X29" s="15"/>
      <c r="Y29" s="16">
        <f t="shared" si="0"/>
        <v>4.5344719999999998E-2</v>
      </c>
      <c r="Z29" s="16">
        <f t="shared" si="1"/>
        <v>7.5098000000000005E-4</v>
      </c>
      <c r="AA29" s="16">
        <f t="shared" si="2"/>
        <v>4.0021979999999999E-2</v>
      </c>
      <c r="AB29" s="16">
        <f t="shared" si="3"/>
        <v>1.04873E-2</v>
      </c>
      <c r="AC29" s="17">
        <f t="shared" si="10"/>
        <v>2.5993088832028142</v>
      </c>
      <c r="AD29" s="17">
        <f t="shared" si="11"/>
        <v>2.3711870114694675</v>
      </c>
      <c r="AE29" s="17">
        <f t="shared" si="12"/>
        <v>0.94882163034482314</v>
      </c>
      <c r="AF29" s="17">
        <f t="shared" si="4"/>
        <v>0.51711155034482315</v>
      </c>
    </row>
    <row r="30" spans="1:32" x14ac:dyDescent="0.25">
      <c r="A30" s="14">
        <v>28</v>
      </c>
      <c r="B30" s="14" t="s">
        <v>64</v>
      </c>
      <c r="C30" s="14">
        <v>247.5</v>
      </c>
      <c r="D30" s="14">
        <v>5</v>
      </c>
      <c r="E30" s="15">
        <v>-0.43052000000000001</v>
      </c>
      <c r="F30" s="15">
        <v>-0.43054999999999999</v>
      </c>
      <c r="G30" s="15">
        <v>3.0009999999999999E-5</v>
      </c>
      <c r="H30" s="15">
        <v>0.66586999999999996</v>
      </c>
      <c r="I30" s="15">
        <v>0.66352992</v>
      </c>
      <c r="J30" s="15">
        <v>2.34008E-3</v>
      </c>
      <c r="K30" s="18">
        <v>23.55</v>
      </c>
      <c r="L30" s="18">
        <v>23.56</v>
      </c>
      <c r="M30" s="18">
        <v>-0.01</v>
      </c>
      <c r="N30" s="15">
        <v>4.274414E-2</v>
      </c>
      <c r="O30" s="15">
        <v>4.1507330000000002E-2</v>
      </c>
      <c r="P30" s="15">
        <v>1.23682E-3</v>
      </c>
      <c r="Q30" s="15">
        <v>7.8099999999999998E-6</v>
      </c>
      <c r="R30" s="15">
        <v>1.125488E-2</v>
      </c>
      <c r="S30" s="15">
        <v>-1.124707E-2</v>
      </c>
      <c r="T30" s="14"/>
      <c r="U30" s="15">
        <f t="shared" si="5"/>
        <v>-1.4999999999987246E-5</v>
      </c>
      <c r="V30" s="15">
        <f t="shared" si="6"/>
        <v>1.1700399999999833E-3</v>
      </c>
      <c r="W30" s="15"/>
      <c r="X30" s="15"/>
      <c r="Y30" s="16">
        <f t="shared" si="0"/>
        <v>4.274414E-2</v>
      </c>
      <c r="Z30" s="16">
        <f t="shared" si="1"/>
        <v>7.8099999999999998E-6</v>
      </c>
      <c r="AA30" s="16">
        <f t="shared" si="2"/>
        <v>4.1507330000000002E-2</v>
      </c>
      <c r="AB30" s="16">
        <f t="shared" si="3"/>
        <v>1.125488E-2</v>
      </c>
      <c r="AC30" s="17">
        <f t="shared" si="10"/>
        <v>2.4498052391677616</v>
      </c>
      <c r="AD30" s="17">
        <f t="shared" si="11"/>
        <v>2.4648323026818844</v>
      </c>
      <c r="AE30" s="17">
        <f t="shared" si="12"/>
        <v>1.0468804215443203E-2</v>
      </c>
      <c r="AF30" s="17">
        <f t="shared" si="4"/>
        <v>359.57991880421542</v>
      </c>
    </row>
    <row r="31" spans="1:32" x14ac:dyDescent="0.25">
      <c r="A31" s="14">
        <v>29</v>
      </c>
      <c r="B31" s="14" t="s">
        <v>64</v>
      </c>
      <c r="C31" s="14">
        <v>270</v>
      </c>
      <c r="D31" s="14">
        <v>5</v>
      </c>
      <c r="E31" s="15">
        <v>-0.42779</v>
      </c>
      <c r="F31" s="15">
        <v>-0.42885000000000001</v>
      </c>
      <c r="G31" s="15">
        <v>1.0600099999999999E-3</v>
      </c>
      <c r="H31" s="15">
        <v>0.66430984000000004</v>
      </c>
      <c r="I31" s="15">
        <v>0.67000999999999999</v>
      </c>
      <c r="J31" s="15">
        <v>-5.7001100000000004E-3</v>
      </c>
      <c r="K31" s="18">
        <v>23.54</v>
      </c>
      <c r="L31" s="18">
        <v>23.53</v>
      </c>
      <c r="M31" s="18">
        <v>0.01</v>
      </c>
      <c r="N31" s="15">
        <v>4.1217289999999997E-2</v>
      </c>
      <c r="O31" s="15">
        <v>4.3834959999999999E-2</v>
      </c>
      <c r="P31" s="15">
        <v>-2.6176799999999998E-3</v>
      </c>
      <c r="Q31" s="15">
        <v>-2.5293000000000001E-4</v>
      </c>
      <c r="R31" s="15">
        <v>1.158789E-2</v>
      </c>
      <c r="S31" s="15">
        <v>-1.184082E-2</v>
      </c>
      <c r="T31" s="14"/>
      <c r="U31" s="15">
        <f t="shared" si="5"/>
        <v>-5.3000000000000269E-4</v>
      </c>
      <c r="V31" s="15">
        <f t="shared" si="6"/>
        <v>-2.8500799999999771E-3</v>
      </c>
      <c r="W31" s="15"/>
      <c r="X31" s="15"/>
      <c r="Y31" s="16">
        <f t="shared" si="0"/>
        <v>4.1217289999999997E-2</v>
      </c>
      <c r="Z31" s="16">
        <f t="shared" si="1"/>
        <v>-2.5293000000000001E-4</v>
      </c>
      <c r="AA31" s="16">
        <f t="shared" si="2"/>
        <v>4.3834959999999999E-2</v>
      </c>
      <c r="AB31" s="16">
        <f t="shared" si="3"/>
        <v>1.158789E-2</v>
      </c>
      <c r="AC31" s="17">
        <f t="shared" si="10"/>
        <v>2.3622904403030316</v>
      </c>
      <c r="AD31" s="17">
        <f t="shared" si="11"/>
        <v>2.5987240954019555</v>
      </c>
      <c r="AE31" s="17">
        <f t="shared" si="12"/>
        <v>359.648408723334</v>
      </c>
      <c r="AF31" s="17">
        <f t="shared" si="4"/>
        <v>359.21955872333399</v>
      </c>
    </row>
    <row r="32" spans="1:32" x14ac:dyDescent="0.25">
      <c r="A32" s="14">
        <v>30</v>
      </c>
      <c r="B32" s="14" t="s">
        <v>64</v>
      </c>
      <c r="C32" s="14">
        <v>292.5</v>
      </c>
      <c r="D32" s="14">
        <v>6</v>
      </c>
      <c r="E32" s="15">
        <v>-0.43160836000000002</v>
      </c>
      <c r="F32" s="15">
        <v>-0.42783332000000002</v>
      </c>
      <c r="G32" s="15">
        <v>-3.77503E-3</v>
      </c>
      <c r="H32" s="15">
        <v>0.65682490000000004</v>
      </c>
      <c r="I32" s="15">
        <v>0.67135007999999996</v>
      </c>
      <c r="J32" s="15">
        <v>-1.452518E-2</v>
      </c>
      <c r="K32" s="18">
        <v>23.55</v>
      </c>
      <c r="L32" s="18">
        <v>23.55</v>
      </c>
      <c r="M32" s="18">
        <v>0</v>
      </c>
      <c r="N32" s="15">
        <v>3.8599040000000001E-2</v>
      </c>
      <c r="O32" s="15">
        <v>4.6107179999999998E-2</v>
      </c>
      <c r="P32" s="15">
        <v>-7.50814E-3</v>
      </c>
      <c r="Q32" s="15">
        <v>5.9610999999999996E-4</v>
      </c>
      <c r="R32" s="15">
        <v>1.0681970000000001E-2</v>
      </c>
      <c r="S32" s="15">
        <v>-1.008586E-2</v>
      </c>
      <c r="T32" s="14"/>
      <c r="U32" s="15">
        <f t="shared" si="5"/>
        <v>1.8875200000000036E-3</v>
      </c>
      <c r="V32" s="15">
        <f t="shared" si="6"/>
        <v>-7.2625899999999577E-3</v>
      </c>
      <c r="W32" s="15"/>
      <c r="X32" s="15"/>
      <c r="Y32" s="16">
        <f t="shared" si="0"/>
        <v>3.8599040000000001E-2</v>
      </c>
      <c r="Z32" s="16">
        <f t="shared" si="1"/>
        <v>5.9610999999999996E-4</v>
      </c>
      <c r="AA32" s="16">
        <f t="shared" si="2"/>
        <v>4.6107179999999998E-2</v>
      </c>
      <c r="AB32" s="16">
        <f t="shared" si="3"/>
        <v>1.0681970000000001E-2</v>
      </c>
      <c r="AC32" s="17">
        <f t="shared" si="10"/>
        <v>2.2123755329848684</v>
      </c>
      <c r="AD32" s="17">
        <f t="shared" si="11"/>
        <v>2.7127304022567813</v>
      </c>
      <c r="AE32" s="17">
        <f t="shared" si="12"/>
        <v>0.88478553230728629</v>
      </c>
      <c r="AF32" s="17">
        <f t="shared" si="4"/>
        <v>0.45695221230728628</v>
      </c>
    </row>
    <row r="33" spans="1:32" x14ac:dyDescent="0.25">
      <c r="A33" s="14">
        <v>31</v>
      </c>
      <c r="B33" s="14" t="s">
        <v>64</v>
      </c>
      <c r="C33" s="14">
        <v>315</v>
      </c>
      <c r="D33" s="14">
        <v>1</v>
      </c>
      <c r="E33" s="15">
        <v>-0.43159999999999998</v>
      </c>
      <c r="F33" s="15">
        <v>-0.42964999999999998</v>
      </c>
      <c r="G33" s="15">
        <v>-1.9499999999999999E-3</v>
      </c>
      <c r="H33" s="15">
        <v>0.66005004</v>
      </c>
      <c r="I33" s="15">
        <v>0.66790000000000005</v>
      </c>
      <c r="J33" s="15">
        <v>-7.8499899999999994E-3</v>
      </c>
      <c r="K33" s="18">
        <v>23.72</v>
      </c>
      <c r="L33" s="18">
        <v>23.71</v>
      </c>
      <c r="M33" s="18">
        <v>0.02</v>
      </c>
      <c r="N33" s="15">
        <v>3.570313E-2</v>
      </c>
      <c r="O33" s="15">
        <v>4.7214359999999997E-2</v>
      </c>
      <c r="P33" s="15">
        <v>-1.1511230000000001E-2</v>
      </c>
      <c r="Q33" s="15">
        <v>2.4072299999999998E-3</v>
      </c>
      <c r="R33" s="15">
        <v>8.9355500000000004E-3</v>
      </c>
      <c r="S33" s="15">
        <v>-6.5283199999999998E-3</v>
      </c>
      <c r="T33" s="14"/>
      <c r="U33" s="15">
        <f t="shared" si="5"/>
        <v>9.7500000000000364E-4</v>
      </c>
      <c r="V33" s="15">
        <f t="shared" si="6"/>
        <v>-3.9249800000000223E-3</v>
      </c>
      <c r="W33" s="15"/>
      <c r="X33" s="15"/>
      <c r="Y33" s="16">
        <f t="shared" si="0"/>
        <v>3.570313E-2</v>
      </c>
      <c r="Z33" s="16">
        <f t="shared" si="1"/>
        <v>2.4072299999999998E-3</v>
      </c>
      <c r="AA33" s="16">
        <f t="shared" si="2"/>
        <v>4.7214359999999997E-2</v>
      </c>
      <c r="AB33" s="16">
        <f t="shared" si="3"/>
        <v>8.9355500000000004E-3</v>
      </c>
      <c r="AC33" s="17">
        <f t="shared" si="10"/>
        <v>2.0507208753069976</v>
      </c>
      <c r="AD33" s="17">
        <f t="shared" si="11"/>
        <v>2.7542643541331224</v>
      </c>
      <c r="AE33" s="17">
        <f t="shared" si="12"/>
        <v>3.85724416324285</v>
      </c>
      <c r="AF33" s="17">
        <f t="shared" si="4"/>
        <v>3.4275941632428499</v>
      </c>
    </row>
    <row r="34" spans="1:32" x14ac:dyDescent="0.25">
      <c r="A34" s="14">
        <v>32</v>
      </c>
      <c r="B34" s="14" t="s">
        <v>64</v>
      </c>
      <c r="C34" s="14">
        <v>337.5</v>
      </c>
      <c r="D34" s="14">
        <v>3</v>
      </c>
      <c r="E34" s="15">
        <v>-0.43034992</v>
      </c>
      <c r="F34" s="15">
        <v>-0.43199996000000002</v>
      </c>
      <c r="G34" s="15">
        <v>1.65004E-3</v>
      </c>
      <c r="H34" s="15">
        <v>0.66739992000000004</v>
      </c>
      <c r="I34" s="15">
        <v>0.66315009999999996</v>
      </c>
      <c r="J34" s="15">
        <v>4.2498700000000002E-3</v>
      </c>
      <c r="K34" s="18">
        <v>23.62</v>
      </c>
      <c r="L34" s="18">
        <v>23.61</v>
      </c>
      <c r="M34" s="18">
        <v>0.01</v>
      </c>
      <c r="N34" s="15">
        <v>3.5502930000000002E-2</v>
      </c>
      <c r="O34" s="15">
        <v>4.6879070000000002E-2</v>
      </c>
      <c r="P34" s="15">
        <v>-1.137614E-2</v>
      </c>
      <c r="Q34" s="15">
        <v>4.0942399999999999E-3</v>
      </c>
      <c r="R34" s="15">
        <v>7.1549500000000002E-3</v>
      </c>
      <c r="S34" s="15">
        <v>-3.0607099999999999E-3</v>
      </c>
      <c r="T34" s="14"/>
      <c r="U34" s="15">
        <f t="shared" si="5"/>
        <v>-8.2502000000000963E-4</v>
      </c>
      <c r="V34" s="15">
        <f t="shared" si="6"/>
        <v>2.1249100000000354E-3</v>
      </c>
      <c r="W34" s="15"/>
      <c r="X34" s="15"/>
      <c r="Y34" s="16">
        <f t="shared" si="0"/>
        <v>3.5502930000000002E-2</v>
      </c>
      <c r="Z34" s="16">
        <f t="shared" si="1"/>
        <v>4.0942399999999999E-3</v>
      </c>
      <c r="AA34" s="16">
        <f t="shared" si="2"/>
        <v>4.6879070000000002E-2</v>
      </c>
      <c r="AB34" s="16">
        <f t="shared" si="3"/>
        <v>7.1549500000000002E-3</v>
      </c>
      <c r="AC34" s="17">
        <f t="shared" si="10"/>
        <v>2.0480856850214604</v>
      </c>
      <c r="AD34" s="17">
        <f t="shared" si="11"/>
        <v>2.7180965017374401</v>
      </c>
      <c r="AE34" s="17">
        <f t="shared" si="12"/>
        <v>6.5783581517662091</v>
      </c>
      <c r="AF34" s="17">
        <f t="shared" si="4"/>
        <v>6.1463581917662093</v>
      </c>
    </row>
    <row r="37" spans="1:32" x14ac:dyDescent="0.25">
      <c r="A37">
        <v>1</v>
      </c>
      <c r="C37">
        <v>0</v>
      </c>
      <c r="K37">
        <f>(K3+K19)/2</f>
        <v>23.62</v>
      </c>
      <c r="L37">
        <f>(L3+L19)/2</f>
        <v>23.61</v>
      </c>
      <c r="M37">
        <f>K37-L37</f>
        <v>1.0000000000001563E-2</v>
      </c>
      <c r="U37">
        <f>(U3+U19)/2</f>
        <v>3.0154999999999765E-4</v>
      </c>
      <c r="V37">
        <f>(V3+V19)/2</f>
        <v>-2.2189000000000236E-4</v>
      </c>
      <c r="AC37">
        <f>(AC3+AC19)/2</f>
        <v>2.0813806882059529</v>
      </c>
      <c r="AD37">
        <f>(AD3+AD19)/2</f>
        <v>2.7198823584534955</v>
      </c>
    </row>
    <row r="38" spans="1:32" x14ac:dyDescent="0.25">
      <c r="A38">
        <v>2</v>
      </c>
      <c r="C38">
        <v>22.5</v>
      </c>
      <c r="K38">
        <f t="shared" ref="K38:L52" si="13">(K4+K20)/2</f>
        <v>23.59</v>
      </c>
      <c r="L38">
        <f t="shared" si="13"/>
        <v>23.6</v>
      </c>
      <c r="M38">
        <f t="shared" ref="M38:M52" si="14">K38-L38</f>
        <v>-1.0000000000001563E-2</v>
      </c>
      <c r="U38">
        <f t="shared" ref="U38:V52" si="15">(U4+U20)/2</f>
        <v>2.2357100000000019E-3</v>
      </c>
      <c r="V38">
        <f t="shared" si="15"/>
        <v>-1.8964800000000059E-3</v>
      </c>
      <c r="AC38">
        <f t="shared" ref="AC38:AD52" si="16">(AC4+AC20)/2</f>
        <v>2.1507038436185484</v>
      </c>
      <c r="AD38">
        <f t="shared" si="16"/>
        <v>2.6804665001103416</v>
      </c>
    </row>
    <row r="39" spans="1:32" x14ac:dyDescent="0.25">
      <c r="A39">
        <v>3</v>
      </c>
      <c r="C39">
        <v>45</v>
      </c>
      <c r="K39">
        <f t="shared" si="13"/>
        <v>23.634999999999998</v>
      </c>
      <c r="L39">
        <f t="shared" si="13"/>
        <v>23.645</v>
      </c>
      <c r="M39">
        <f t="shared" si="14"/>
        <v>-1.0000000000001563E-2</v>
      </c>
      <c r="U39">
        <f t="shared" si="15"/>
        <v>1.2718850000000004E-3</v>
      </c>
      <c r="V39">
        <f t="shared" si="15"/>
        <v>9.1873500000000385E-4</v>
      </c>
      <c r="AC39">
        <f t="shared" si="16"/>
        <v>2.2797292723558029</v>
      </c>
      <c r="AD39">
        <f t="shared" si="16"/>
        <v>2.6122567711744153</v>
      </c>
    </row>
    <row r="40" spans="1:32" x14ac:dyDescent="0.25">
      <c r="A40">
        <v>4</v>
      </c>
      <c r="C40">
        <v>67.5</v>
      </c>
      <c r="K40">
        <f t="shared" si="13"/>
        <v>23.54</v>
      </c>
      <c r="L40">
        <f t="shared" si="13"/>
        <v>23.53</v>
      </c>
      <c r="M40">
        <f t="shared" si="14"/>
        <v>9.9999999999980105E-3</v>
      </c>
      <c r="U40">
        <f t="shared" si="15"/>
        <v>1.6333349999999996E-3</v>
      </c>
      <c r="V40">
        <f t="shared" si="15"/>
        <v>3.1458600000000003E-3</v>
      </c>
      <c r="AC40">
        <f t="shared" si="16"/>
        <v>2.3915824813710937</v>
      </c>
      <c r="AD40">
        <f t="shared" si="16"/>
        <v>2.5117732176346976</v>
      </c>
    </row>
    <row r="41" spans="1:32" x14ac:dyDescent="0.25">
      <c r="A41">
        <v>5</v>
      </c>
      <c r="C41">
        <v>90</v>
      </c>
      <c r="K41">
        <f t="shared" si="13"/>
        <v>23.605</v>
      </c>
      <c r="L41">
        <f t="shared" si="13"/>
        <v>23.59</v>
      </c>
      <c r="M41">
        <f t="shared" si="14"/>
        <v>1.5000000000000568E-2</v>
      </c>
      <c r="U41">
        <f t="shared" si="15"/>
        <v>3.5562000000001481E-4</v>
      </c>
      <c r="V41">
        <f t="shared" si="15"/>
        <v>1.7506649999999846E-3</v>
      </c>
      <c r="AC41">
        <f t="shared" si="16"/>
        <v>2.5360518766454039</v>
      </c>
      <c r="AD41">
        <f t="shared" si="16"/>
        <v>2.3886991626499974</v>
      </c>
    </row>
    <row r="42" spans="1:32" x14ac:dyDescent="0.25">
      <c r="A42">
        <v>6</v>
      </c>
      <c r="C42">
        <v>112.5</v>
      </c>
      <c r="K42">
        <f t="shared" si="13"/>
        <v>23.65</v>
      </c>
      <c r="L42">
        <f t="shared" si="13"/>
        <v>23.67</v>
      </c>
      <c r="M42">
        <f t="shared" si="14"/>
        <v>-2.0000000000003126E-2</v>
      </c>
      <c r="U42">
        <f t="shared" si="15"/>
        <v>-3.8050000000000028E-3</v>
      </c>
      <c r="V42">
        <f t="shared" si="15"/>
        <v>7.7749499999998917E-4</v>
      </c>
      <c r="AC42">
        <f t="shared" si="16"/>
        <v>2.5938390445680923</v>
      </c>
      <c r="AD42">
        <f t="shared" si="16"/>
        <v>2.2261577473749408</v>
      </c>
    </row>
    <row r="43" spans="1:32" x14ac:dyDescent="0.25">
      <c r="A43">
        <v>7</v>
      </c>
      <c r="C43">
        <v>135</v>
      </c>
      <c r="K43">
        <f t="shared" si="13"/>
        <v>23.5</v>
      </c>
      <c r="L43">
        <f t="shared" si="13"/>
        <v>23.5</v>
      </c>
      <c r="M43">
        <f t="shared" si="14"/>
        <v>0</v>
      </c>
      <c r="U43">
        <f t="shared" si="15"/>
        <v>3.8958500000001173E-4</v>
      </c>
      <c r="V43">
        <f t="shared" si="15"/>
        <v>2.554210000000029E-3</v>
      </c>
      <c r="AC43">
        <f t="shared" si="16"/>
        <v>2.7383837567762295</v>
      </c>
      <c r="AD43">
        <f t="shared" si="16"/>
        <v>2.1682975840395837</v>
      </c>
    </row>
    <row r="44" spans="1:32" x14ac:dyDescent="0.25">
      <c r="A44">
        <v>8</v>
      </c>
      <c r="C44">
        <v>157.5</v>
      </c>
      <c r="K44">
        <f t="shared" si="13"/>
        <v>23.535</v>
      </c>
      <c r="L44">
        <f t="shared" si="13"/>
        <v>23.555</v>
      </c>
      <c r="M44">
        <f t="shared" si="14"/>
        <v>-1.9999999999999574E-2</v>
      </c>
      <c r="U44">
        <f t="shared" si="15"/>
        <v>-2.327509999999991E-3</v>
      </c>
      <c r="V44">
        <f t="shared" si="15"/>
        <v>3.5443700000000189E-3</v>
      </c>
      <c r="AC44">
        <f t="shared" si="16"/>
        <v>2.7368016616169104</v>
      </c>
      <c r="AD44">
        <f t="shared" si="16"/>
        <v>2.1038064678310091</v>
      </c>
    </row>
    <row r="45" spans="1:32" x14ac:dyDescent="0.25">
      <c r="A45">
        <v>9</v>
      </c>
      <c r="C45">
        <v>180</v>
      </c>
      <c r="K45">
        <f t="shared" si="13"/>
        <v>23.65</v>
      </c>
      <c r="L45">
        <f t="shared" si="13"/>
        <v>23.61</v>
      </c>
      <c r="M45">
        <f t="shared" si="14"/>
        <v>3.9999999999999147E-2</v>
      </c>
      <c r="U45">
        <f t="shared" si="15"/>
        <v>-4.2375249999999781E-3</v>
      </c>
      <c r="V45">
        <f t="shared" si="15"/>
        <v>3.7249999999999783E-4</v>
      </c>
      <c r="AC45">
        <f t="shared" si="16"/>
        <v>2.7500489460629227</v>
      </c>
      <c r="AD45">
        <f t="shared" si="16"/>
        <v>2.0921665617876331</v>
      </c>
    </row>
    <row r="46" spans="1:32" x14ac:dyDescent="0.25">
      <c r="A46">
        <v>10</v>
      </c>
      <c r="C46">
        <v>202.5</v>
      </c>
      <c r="K46">
        <f t="shared" si="13"/>
        <v>23.565000000000001</v>
      </c>
      <c r="L46">
        <f t="shared" si="13"/>
        <v>23.564999999999998</v>
      </c>
      <c r="M46">
        <f t="shared" si="14"/>
        <v>0</v>
      </c>
      <c r="U46">
        <f t="shared" si="15"/>
        <v>-9.5833000000000723E-4</v>
      </c>
      <c r="V46">
        <f t="shared" si="15"/>
        <v>1.2687749999999998E-3</v>
      </c>
      <c r="AC46">
        <f t="shared" si="16"/>
        <v>2.677448828573552</v>
      </c>
      <c r="AD46">
        <f t="shared" si="16"/>
        <v>2.1575437304375145</v>
      </c>
    </row>
    <row r="47" spans="1:32" x14ac:dyDescent="0.25">
      <c r="A47">
        <v>11</v>
      </c>
      <c r="C47">
        <v>225</v>
      </c>
      <c r="K47">
        <f t="shared" si="13"/>
        <v>23.555</v>
      </c>
      <c r="L47">
        <f t="shared" si="13"/>
        <v>23.55</v>
      </c>
      <c r="M47">
        <f t="shared" si="14"/>
        <v>4.9999999999990052E-3</v>
      </c>
      <c r="U47">
        <f t="shared" si="15"/>
        <v>-3.5437700000000016E-3</v>
      </c>
      <c r="V47">
        <f t="shared" si="15"/>
        <v>-1.6512700000000102E-3</v>
      </c>
      <c r="AC47">
        <f t="shared" si="16"/>
        <v>2.5937100082784621</v>
      </c>
      <c r="AD47">
        <f t="shared" si="16"/>
        <v>2.3397067537424365</v>
      </c>
    </row>
    <row r="48" spans="1:32" x14ac:dyDescent="0.25">
      <c r="A48">
        <v>12</v>
      </c>
      <c r="C48">
        <v>247.5</v>
      </c>
      <c r="K48">
        <f t="shared" si="13"/>
        <v>23.625</v>
      </c>
      <c r="L48">
        <f t="shared" si="13"/>
        <v>23.61</v>
      </c>
      <c r="M48">
        <f t="shared" si="14"/>
        <v>1.5000000000000568E-2</v>
      </c>
      <c r="U48">
        <f t="shared" si="15"/>
        <v>-1.374169999999994E-3</v>
      </c>
      <c r="V48">
        <f t="shared" si="15"/>
        <v>-7.275000000000198E-4</v>
      </c>
      <c r="AC48">
        <f t="shared" si="16"/>
        <v>2.4497129576200813</v>
      </c>
      <c r="AD48">
        <f t="shared" si="16"/>
        <v>2.4371930726984581</v>
      </c>
    </row>
    <row r="49" spans="1:30" x14ac:dyDescent="0.25">
      <c r="A49">
        <v>13</v>
      </c>
      <c r="C49">
        <v>270</v>
      </c>
      <c r="K49">
        <f t="shared" si="13"/>
        <v>23.56</v>
      </c>
      <c r="L49">
        <f t="shared" si="13"/>
        <v>23.560000000000002</v>
      </c>
      <c r="M49">
        <f t="shared" si="14"/>
        <v>0</v>
      </c>
      <c r="U49">
        <f t="shared" si="15"/>
        <v>-3.382300000000088E-4</v>
      </c>
      <c r="V49">
        <f t="shared" si="15"/>
        <v>-4.1893649999999727E-3</v>
      </c>
      <c r="AC49">
        <f t="shared" si="16"/>
        <v>2.3452907646893926</v>
      </c>
      <c r="AD49">
        <f t="shared" si="16"/>
        <v>2.5713955876630834</v>
      </c>
    </row>
    <row r="50" spans="1:30" x14ac:dyDescent="0.25">
      <c r="A50">
        <v>14</v>
      </c>
      <c r="C50">
        <v>292.5</v>
      </c>
      <c r="K50">
        <f t="shared" si="13"/>
        <v>23.625</v>
      </c>
      <c r="L50">
        <f t="shared" si="13"/>
        <v>23.630000000000003</v>
      </c>
      <c r="M50">
        <f t="shared" si="14"/>
        <v>-5.000000000002558E-3</v>
      </c>
      <c r="U50">
        <f t="shared" si="15"/>
        <v>1.8218799999999979E-3</v>
      </c>
      <c r="V50">
        <f t="shared" si="15"/>
        <v>-6.2906849999999903E-3</v>
      </c>
      <c r="AC50">
        <f t="shared" si="16"/>
        <v>2.1804877889442378</v>
      </c>
      <c r="AD50">
        <f t="shared" si="16"/>
        <v>2.6549917757811103</v>
      </c>
    </row>
    <row r="51" spans="1:30" x14ac:dyDescent="0.25">
      <c r="A51">
        <v>15</v>
      </c>
      <c r="C51">
        <v>315</v>
      </c>
      <c r="K51">
        <f t="shared" si="13"/>
        <v>23.655000000000001</v>
      </c>
      <c r="L51">
        <f t="shared" si="13"/>
        <v>23.655000000000001</v>
      </c>
      <c r="M51">
        <f t="shared" si="14"/>
        <v>0</v>
      </c>
      <c r="U51">
        <f t="shared" si="15"/>
        <v>8.2499499999999504E-4</v>
      </c>
      <c r="V51">
        <f t="shared" si="15"/>
        <v>-4.3333600000000361E-3</v>
      </c>
      <c r="AC51">
        <f t="shared" si="16"/>
        <v>2.0965403313379389</v>
      </c>
      <c r="AD51">
        <f t="shared" si="16"/>
        <v>2.739951770684701</v>
      </c>
    </row>
    <row r="52" spans="1:30" x14ac:dyDescent="0.25">
      <c r="A52">
        <v>16</v>
      </c>
      <c r="C52">
        <v>337.5</v>
      </c>
      <c r="K52">
        <f t="shared" si="13"/>
        <v>23.64</v>
      </c>
      <c r="L52">
        <f t="shared" si="13"/>
        <v>23.63</v>
      </c>
      <c r="M52">
        <f t="shared" si="14"/>
        <v>1.0000000000001563E-2</v>
      </c>
      <c r="U52">
        <f t="shared" si="15"/>
        <v>4.599999999999882E-4</v>
      </c>
      <c r="V52">
        <f t="shared" si="15"/>
        <v>3.3998000000001749E-4</v>
      </c>
      <c r="AC52">
        <f t="shared" si="16"/>
        <v>2.0426170603800786</v>
      </c>
      <c r="AD52">
        <f t="shared" si="16"/>
        <v>2.7057647226826731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T17-3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2026-08-02T16:49:14Z</dcterms:modified>
</cp:coreProperties>
</file>