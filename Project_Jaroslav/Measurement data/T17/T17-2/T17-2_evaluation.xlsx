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7\T17-2\"/>
    </mc:Choice>
  </mc:AlternateContent>
  <xr:revisionPtr revIDLastSave="0" documentId="13_ncr:1_{88CAE152-A841-4948-B49F-8C0E8061FB58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7-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AD52" i="1"/>
  <c r="AC52" i="1"/>
  <c r="V52" i="1"/>
  <c r="U52" i="1"/>
  <c r="L52" i="1"/>
  <c r="K52" i="1"/>
  <c r="M52" i="1" s="1"/>
  <c r="AD51" i="1"/>
  <c r="AC51" i="1"/>
  <c r="V51" i="1"/>
  <c r="U51" i="1"/>
  <c r="M51" i="1"/>
  <c r="L51" i="1"/>
  <c r="K51" i="1"/>
  <c r="AD50" i="1"/>
  <c r="AC50" i="1"/>
  <c r="V50" i="1"/>
  <c r="U50" i="1"/>
  <c r="L50" i="1"/>
  <c r="K50" i="1"/>
  <c r="M50" i="1" s="1"/>
  <c r="AD49" i="1"/>
  <c r="AC49" i="1"/>
  <c r="V49" i="1"/>
  <c r="U49" i="1"/>
  <c r="M49" i="1"/>
  <c r="L49" i="1"/>
  <c r="K49" i="1"/>
  <c r="AD48" i="1"/>
  <c r="AC48" i="1"/>
  <c r="V48" i="1"/>
  <c r="U48" i="1"/>
  <c r="L48" i="1"/>
  <c r="K48" i="1"/>
  <c r="M48" i="1" s="1"/>
  <c r="AD47" i="1"/>
  <c r="AC47" i="1"/>
  <c r="V47" i="1"/>
  <c r="U47" i="1"/>
  <c r="L47" i="1"/>
  <c r="K47" i="1"/>
  <c r="M47" i="1" s="1"/>
  <c r="AD46" i="1"/>
  <c r="AC46" i="1"/>
  <c r="V46" i="1"/>
  <c r="U46" i="1"/>
  <c r="L46" i="1"/>
  <c r="M46" i="1" s="1"/>
  <c r="K46" i="1"/>
  <c r="AD45" i="1"/>
  <c r="AC45" i="1"/>
  <c r="V45" i="1"/>
  <c r="U45" i="1"/>
  <c r="L45" i="1"/>
  <c r="K45" i="1"/>
  <c r="M45" i="1" s="1"/>
  <c r="AD44" i="1"/>
  <c r="AC44" i="1"/>
  <c r="V44" i="1"/>
  <c r="U44" i="1"/>
  <c r="M44" i="1"/>
  <c r="L44" i="1"/>
  <c r="K44" i="1"/>
  <c r="AD43" i="1"/>
  <c r="AC43" i="1"/>
  <c r="V43" i="1"/>
  <c r="U43" i="1"/>
  <c r="L43" i="1"/>
  <c r="K43" i="1"/>
  <c r="M43" i="1" s="1"/>
  <c r="AD42" i="1"/>
  <c r="AC42" i="1"/>
  <c r="V42" i="1"/>
  <c r="U42" i="1"/>
  <c r="M42" i="1"/>
  <c r="L42" i="1"/>
  <c r="K42" i="1"/>
  <c r="AD41" i="1"/>
  <c r="AC41" i="1"/>
  <c r="V41" i="1"/>
  <c r="U41" i="1"/>
  <c r="L41" i="1"/>
  <c r="K41" i="1"/>
  <c r="M41" i="1" s="1"/>
  <c r="AD40" i="1"/>
  <c r="AC40" i="1"/>
  <c r="V40" i="1"/>
  <c r="U40" i="1"/>
  <c r="L40" i="1"/>
  <c r="K40" i="1"/>
  <c r="M40" i="1" s="1"/>
  <c r="AD39" i="1"/>
  <c r="AC39" i="1"/>
  <c r="V39" i="1"/>
  <c r="U39" i="1"/>
  <c r="M39" i="1"/>
  <c r="L39" i="1"/>
  <c r="K39" i="1"/>
  <c r="AD38" i="1"/>
  <c r="AC38" i="1"/>
  <c r="V38" i="1"/>
  <c r="U38" i="1"/>
  <c r="L38" i="1"/>
  <c r="K38" i="1"/>
  <c r="M38" i="1" s="1"/>
  <c r="AD37" i="1"/>
  <c r="AC37" i="1"/>
  <c r="V37" i="1"/>
  <c r="U37" i="1"/>
  <c r="M37" i="1"/>
  <c r="L37" i="1"/>
  <c r="K37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G18" i="2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B3" i="1"/>
  <c r="AA34" i="1"/>
  <c r="AD34" i="1" s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D8" i="1" s="1"/>
  <c r="AA7" i="1"/>
  <c r="AA6" i="1"/>
  <c r="AA5" i="1"/>
  <c r="AA4" i="1"/>
  <c r="AA3" i="1"/>
  <c r="Z34" i="1"/>
  <c r="Z33" i="1"/>
  <c r="Z32" i="1"/>
  <c r="Z31" i="1"/>
  <c r="Z30" i="1"/>
  <c r="Z29" i="1"/>
  <c r="Z28" i="1"/>
  <c r="AE28" i="1" s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G10" i="2"/>
  <c r="AD27" i="1" l="1"/>
  <c r="AD33" i="1"/>
  <c r="AD4" i="1"/>
  <c r="AC34" i="1"/>
  <c r="AD28" i="1"/>
  <c r="AD19" i="1"/>
  <c r="AE25" i="1"/>
  <c r="AF25" i="1" s="1"/>
  <c r="AE31" i="1"/>
  <c r="AF31" i="1" s="1"/>
  <c r="AE21" i="1"/>
  <c r="AF21" i="1" s="1"/>
  <c r="AD32" i="1"/>
  <c r="AD18" i="1"/>
  <c r="AD24" i="1"/>
  <c r="AD22" i="1"/>
  <c r="AD11" i="1"/>
  <c r="AD14" i="1"/>
  <c r="AD23" i="1"/>
  <c r="AD26" i="1"/>
  <c r="AC24" i="1"/>
  <c r="AC27" i="1"/>
  <c r="AD3" i="1"/>
  <c r="AD6" i="1"/>
  <c r="AD9" i="1"/>
  <c r="AD12" i="1"/>
  <c r="AD15" i="1"/>
  <c r="AD21" i="1"/>
  <c r="AC18" i="1"/>
  <c r="AE30" i="1"/>
  <c r="AF30" i="1" s="1"/>
  <c r="AD30" i="1"/>
  <c r="AD25" i="1"/>
  <c r="AE22" i="1"/>
  <c r="AF22" i="1" s="1"/>
  <c r="AD31" i="1"/>
  <c r="AD20" i="1"/>
  <c r="AE3" i="1"/>
  <c r="AF3" i="1" s="1"/>
  <c r="AC6" i="1"/>
  <c r="AC12" i="1"/>
  <c r="AC15" i="1"/>
  <c r="AC21" i="1"/>
  <c r="AE29" i="1"/>
  <c r="AF29" i="1" s="1"/>
  <c r="AE34" i="1"/>
  <c r="AF34" i="1" s="1"/>
  <c r="AE23" i="1"/>
  <c r="AF23" i="1" s="1"/>
  <c r="AE33" i="1"/>
  <c r="AF33" i="1" s="1"/>
  <c r="AF28" i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E20" i="1"/>
  <c r="AF20" i="1" s="1"/>
  <c r="AC30" i="1"/>
  <c r="AE32" i="1"/>
  <c r="AF32" i="1" s="1"/>
  <c r="AC33" i="1"/>
  <c r="AC20" i="1"/>
  <c r="AC23" i="1"/>
  <c r="AC26" i="1"/>
  <c r="AC29" i="1"/>
  <c r="AC32" i="1"/>
  <c r="AC22" i="1"/>
  <c r="AC25" i="1"/>
  <c r="AC28" i="1"/>
  <c r="AC31" i="1"/>
  <c r="AD13" i="1"/>
  <c r="AD16" i="1"/>
  <c r="AD7" i="1"/>
  <c r="AD10" i="1"/>
  <c r="AD5" i="1"/>
  <c r="AC9" i="1"/>
  <c r="AD17" i="1"/>
  <c r="AC5" i="1"/>
  <c r="AC8" i="1"/>
  <c r="AC11" i="1"/>
  <c r="AC14" i="1"/>
  <c r="AC17" i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R17" i="2" l="1"/>
  <c r="V17" i="2"/>
  <c r="T17" i="2"/>
  <c r="X17" i="2"/>
</calcChain>
</file>

<file path=xl/sharedStrings.xml><?xml version="1.0" encoding="utf-8"?>
<sst xmlns="http://schemas.openxmlformats.org/spreadsheetml/2006/main" count="113" uniqueCount="67">
  <si>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</si>
  <si>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</si>
  <si>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</si>
  <si>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</si>
  <si>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</si>
  <si>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</si>
  <si>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</si>
  <si>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</si>
  <si>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</si>
  <si>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</si>
  <si>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</si>
  <si>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</si>
  <si>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</si>
  <si>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</si>
  <si>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</si>
  <si>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</si>
  <si>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</si>
  <si>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</si>
  <si>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</si>
  <si>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</si>
  <si>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</si>
  <si>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</si>
  <si>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</si>
  <si>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</si>
  <si>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</si>
  <si>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</si>
  <si>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</si>
  <si>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</si>
  <si>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</si>
  <si>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</si>
  <si>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</si>
  <si>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</si>
  <si>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</si>
  <si>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</si>
  <si>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</si>
  <si>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</si>
  <si>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</si>
  <si>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</si>
  <si>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</si>
  <si>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</si>
  <si>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</si>
  <si>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</si>
  <si>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</si>
  <si>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</si>
  <si>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</si>
  <si>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</si>
  <si>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</si>
  <si>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</si>
  <si>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HORIZONTAL slepý test 360-kontrola accel-lepší csv-azimut parametr-fixed trim settle-s navratem do A-antibacklash-CW-CCW-I2Coprava-název testu-teplota-oprava2</t>
  </si>
  <si>
    <t>|</t>
  </si>
  <si>
    <t>0°</t>
  </si>
  <si>
    <t>↗</t>
  </si>
  <si>
    <t>Location</t>
  </si>
  <si>
    <t>Orientation</t>
  </si>
  <si>
    <t>smer</t>
  </si>
  <si>
    <t>tA_prumer</t>
  </si>
  <si>
    <t>tC_prumer</t>
  </si>
  <si>
    <t>difft_prumer</t>
  </si>
  <si>
    <t>cyklus</t>
  </si>
  <si>
    <t>N</t>
  </si>
  <si>
    <t>living room</t>
  </si>
  <si>
    <t>CCW</t>
  </si>
  <si>
    <t>CW</t>
  </si>
  <si>
    <t xml:space="preserve">Extended azimuth/tilt-Dependence Test (Randomized 360° Step Scan) </t>
  </si>
  <si>
    <t>T17-2</t>
  </si>
  <si>
    <t>- Rotace ramene CW/CCW
- Náhodné azimuty pro celých 360°
- 4x různý azimut sestavy (0°-90°-180°-270°)
- Azimut ramene při startu vžy 0° (sever)
- Kalibrace nulového náklonu do 0,5° (přibližně)
- Vyměněné měřicí rameno
- TEST MÁ VYVRÁTIT/POTVRDIT MOŽNOST, ŽE FÁZE SIGNÁLU JE GENEROVANÁ I MINIMÁLNÍM NÁKLONEM SESTAVY
- Oprava xA-xC na správný směr xC-xA</t>
  </si>
  <si>
    <t>(xC-xA)/2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</si>
</sst>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6" fillId="0" borderId="0" xfId="0" applyFont="1" applyAlignment="1">
      <alignment vertical="center" textRotation="45"/>
    </xf>
    <xf numFmtId="0" fontId="6" fillId="0" borderId="0" xfId="0" applyFont="1" applyAlignment="1">
      <alignment textRotation="90"/>
    </xf>
    <xf numFmtId="0" fontId="6" fillId="0" borderId="0" xfId="0" applyFont="1" applyAlignment="1">
      <alignment vertical="center" textRotation="135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textRotation="45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6" fillId="0" borderId="10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textRotation="90"/>
    </xf>
    <xf numFmtId="0" fontId="6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6" fillId="0" borderId="0" xfId="0" applyFont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'T17-2'!$U$2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'T17-2'!$C$3:$C$18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'T17-2'!$U$3:$U$18</c:f>
              <c:numCache>
                <c:formatCode>0.000000</c:formatCode>
                <c:ptCount val="16"/>
                <c:pt idx="0">
                  <c:v>4.4083000000000039E-3</c:v>
                </c:pt>
                <c:pt idx="1">
                  <c:v>5.1678800000000136E-3</c:v>
                </c:pt>
                <c:pt idx="2">
                  <c:v>1.4713600000000049E-3</c:v>
                </c:pt>
                <c:pt idx="3">
                  <c:v>7.4496000000001672E-4</c:v>
                </c:pt>
                <c:pt idx="4">
                  <c:v>7.0875199999999861E-3</c:v>
                </c:pt>
                <c:pt idx="5">
                  <c:v>8.8500000000002466E-4</c:v>
                </c:pt>
                <c:pt idx="6">
                  <c:v>-8.8002000000000913E-4</c:v>
                </c:pt>
                <c:pt idx="7">
                  <c:v>-4.974940000000011E-3</c:v>
                </c:pt>
                <c:pt idx="8">
                  <c:v>-2.2749999999999992E-3</c:v>
                </c:pt>
                <c:pt idx="9">
                  <c:v>-2.1666499999999922E-3</c:v>
                </c:pt>
                <c:pt idx="10">
                  <c:v>-7.0627999999997582E-4</c:v>
                </c:pt>
                <c:pt idx="11">
                  <c:v>-1.4650200000000113E-3</c:v>
                </c:pt>
                <c:pt idx="12">
                  <c:v>1.8199999999999883E-3</c:v>
                </c:pt>
                <c:pt idx="13">
                  <c:v>1.7642999999999964E-3</c:v>
                </c:pt>
                <c:pt idx="14">
                  <c:v>2.783380000000002E-3</c:v>
                </c:pt>
                <c:pt idx="15">
                  <c:v>2.5875600000000165E-3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'T17-2'!$V$2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'T17-2'!$C$3:$C$18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'T17-2'!$V$3:$V$18</c:f>
              <c:numCache>
                <c:formatCode>0.000000</c:formatCode>
                <c:ptCount val="16"/>
                <c:pt idx="0">
                  <c:v>3.8327999999998585E-4</c:v>
                </c:pt>
                <c:pt idx="1">
                  <c:v>1.2857199999999902E-3</c:v>
                </c:pt>
                <c:pt idx="2">
                  <c:v>3.7607699999999689E-3</c:v>
                </c:pt>
                <c:pt idx="3">
                  <c:v>4.3749700000000336E-3</c:v>
                </c:pt>
                <c:pt idx="4">
                  <c:v>-1.249899999999915E-4</c:v>
                </c:pt>
                <c:pt idx="5">
                  <c:v>2.0799599999999918E-3</c:v>
                </c:pt>
                <c:pt idx="6">
                  <c:v>3.6499999999999866E-3</c:v>
                </c:pt>
                <c:pt idx="7">
                  <c:v>1.9833400000000001E-3</c:v>
                </c:pt>
                <c:pt idx="8">
                  <c:v>-4.5250000000000012E-3</c:v>
                </c:pt>
                <c:pt idx="9">
                  <c:v>-6.4998999999998919E-4</c:v>
                </c:pt>
                <c:pt idx="10">
                  <c:v>-5.3687700000000227E-3</c:v>
                </c:pt>
                <c:pt idx="11">
                  <c:v>-6.5600700000000289E-3</c:v>
                </c:pt>
                <c:pt idx="12">
                  <c:v>-4.345050000000017E-3</c:v>
                </c:pt>
                <c:pt idx="13">
                  <c:v>-3.4321999999999964E-3</c:v>
                </c:pt>
                <c:pt idx="14">
                  <c:v>-3.4625500000000087E-3</c:v>
                </c:pt>
                <c:pt idx="15">
                  <c:v>-1.0250099999999929E-3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2"/>
          <c:order val="2"/>
          <c:tx>
            <c:strRef>
              <c:f>'T17-2'!$U$2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'T17-2'!$U$19:$U$34</c:f>
              <c:numCache>
                <c:formatCode>0.000000</c:formatCode>
                <c:ptCount val="16"/>
                <c:pt idx="0">
                  <c:v>1.2222000000000066E-3</c:v>
                </c:pt>
                <c:pt idx="1">
                  <c:v>2.2062099999999862E-3</c:v>
                </c:pt>
                <c:pt idx="2">
                  <c:v>2.4999899999999797E-3</c:v>
                </c:pt>
                <c:pt idx="3">
                  <c:v>2.7938000000000129E-3</c:v>
                </c:pt>
                <c:pt idx="4">
                  <c:v>-2.0749999999999935E-3</c:v>
                </c:pt>
                <c:pt idx="5">
                  <c:v>-3.7812000000000956E-4</c:v>
                </c:pt>
                <c:pt idx="6">
                  <c:v>-6.2375399999999859E-3</c:v>
                </c:pt>
                <c:pt idx="7">
                  <c:v>1.0500400000000021E-3</c:v>
                </c:pt>
                <c:pt idx="8">
                  <c:v>-2.3800500000000224E-3</c:v>
                </c:pt>
                <c:pt idx="9">
                  <c:v>-7.2812200000000049E-3</c:v>
                </c:pt>
                <c:pt idx="10">
                  <c:v>-5.0949299999999975E-3</c:v>
                </c:pt>
                <c:pt idx="11">
                  <c:v>-5.0040000000001195E-5</c:v>
                </c:pt>
                <c:pt idx="12">
                  <c:v>1.7643000000000242E-3</c:v>
                </c:pt>
                <c:pt idx="13">
                  <c:v>-6.8746000000000085E-4</c:v>
                </c:pt>
                <c:pt idx="14">
                  <c:v>1.6624199999999978E-3</c:v>
                </c:pt>
                <c:pt idx="15">
                  <c:v>3.725100000000009E-3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2-4DDE-A5D5-4E0F04B1BEFD}"/>
            </c:ext>
          </c:extLst>
        </c:ser>
        <c:ser>
          <c:idx val="3"/>
          <c:order val="3"/>
          <c:tx>
            <c:strRef>
              <c:f>'T17-2'!$V$2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'T17-2'!$V$19:$V$34</c:f>
              <c:numCache>
                <c:formatCode>0.000000</c:formatCode>
                <c:ptCount val="16"/>
                <c:pt idx="0">
                  <c:v>-1.4584199999999603E-3</c:v>
                </c:pt>
                <c:pt idx="1">
                  <c:v>1.3562500000000033E-3</c:v>
                </c:pt>
                <c:pt idx="2">
                  <c:v>-3.1999799999999912E-3</c:v>
                </c:pt>
                <c:pt idx="3">
                  <c:v>3.2625000000000015E-3</c:v>
                </c:pt>
                <c:pt idx="4">
                  <c:v>2.3699999999999832E-3</c:v>
                </c:pt>
                <c:pt idx="5">
                  <c:v>6.4875199999999689E-3</c:v>
                </c:pt>
                <c:pt idx="6">
                  <c:v>-3.1249099999999808E-3</c:v>
                </c:pt>
                <c:pt idx="7">
                  <c:v>2.7437499999999893E-3</c:v>
                </c:pt>
                <c:pt idx="8">
                  <c:v>-1.0300199999999649E-3</c:v>
                </c:pt>
                <c:pt idx="9">
                  <c:v>5.3812500000000041E-3</c:v>
                </c:pt>
                <c:pt idx="10">
                  <c:v>-4.3349999999999778E-3</c:v>
                </c:pt>
                <c:pt idx="11">
                  <c:v>-5.7600200000000323E-3</c:v>
                </c:pt>
                <c:pt idx="12">
                  <c:v>-2.6750000000000385E-3</c:v>
                </c:pt>
                <c:pt idx="13">
                  <c:v>-5.5249200000000442E-3</c:v>
                </c:pt>
                <c:pt idx="14">
                  <c:v>-2.9371000000000258E-4</c:v>
                </c:pt>
                <c:pt idx="15">
                  <c:v>-3.6623800000000206E-3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82-4DDE-A5D5-4E0F04B1B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'T17-2'!$AC$2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'T17-2'!$C$37:$C$52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'T17-2'!$AC$37:$AC$52</c:f>
              <c:numCache>
                <c:formatCode>General</c:formatCode>
                <c:ptCount val="16"/>
                <c:pt idx="0">
                  <c:v>2.0630230522313449</c:v>
                </c:pt>
                <c:pt idx="1">
                  <c:v>2.2781556514969292</c:v>
                </c:pt>
                <c:pt idx="2">
                  <c:v>2.3690319499499681</c:v>
                </c:pt>
                <c:pt idx="3">
                  <c:v>2.651380496447473</c:v>
                </c:pt>
                <c:pt idx="4">
                  <c:v>2.7639200718741699</c:v>
                </c:pt>
                <c:pt idx="5">
                  <c:v>2.8176997798653565</c:v>
                </c:pt>
                <c:pt idx="6">
                  <c:v>2.7805452424836323</c:v>
                </c:pt>
                <c:pt idx="7">
                  <c:v>2.6792916671913836</c:v>
                </c:pt>
                <c:pt idx="8">
                  <c:v>2.5445572890581447</c:v>
                </c:pt>
                <c:pt idx="9">
                  <c:v>2.4151352099597529</c:v>
                </c:pt>
                <c:pt idx="10">
                  <c:v>2.1517909598593183</c:v>
                </c:pt>
                <c:pt idx="11">
                  <c:v>2.0068783584500922</c:v>
                </c:pt>
                <c:pt idx="12">
                  <c:v>1.78474731079113</c:v>
                </c:pt>
                <c:pt idx="13">
                  <c:v>1.7715212372623612</c:v>
                </c:pt>
                <c:pt idx="14">
                  <c:v>1.7879948891936919</c:v>
                </c:pt>
                <c:pt idx="15">
                  <c:v>1.9799898461414234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'T17-2'!$AD$2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'T17-2'!$C$37:$C$52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'T17-2'!$AD$37:$AD$52</c:f>
              <c:numCache>
                <c:formatCode>General</c:formatCode>
                <c:ptCount val="16"/>
                <c:pt idx="0">
                  <c:v>2.5606742335254569</c:v>
                </c:pt>
                <c:pt idx="1">
                  <c:v>2.374210112147249</c:v>
                </c:pt>
                <c:pt idx="2">
                  <c:v>2.1094888210691485</c:v>
                </c:pt>
                <c:pt idx="3">
                  <c:v>2.0546249049611478</c:v>
                </c:pt>
                <c:pt idx="4">
                  <c:v>1.8264341798895214</c:v>
                </c:pt>
                <c:pt idx="5">
                  <c:v>1.7949237564757301</c:v>
                </c:pt>
                <c:pt idx="6">
                  <c:v>1.7650725895719113</c:v>
                </c:pt>
                <c:pt idx="7">
                  <c:v>1.8513701043775583</c:v>
                </c:pt>
                <c:pt idx="8">
                  <c:v>2.1264643069016973</c:v>
                </c:pt>
                <c:pt idx="9">
                  <c:v>2.360420861239783</c:v>
                </c:pt>
                <c:pt idx="10">
                  <c:v>2.4671037563594447</c:v>
                </c:pt>
                <c:pt idx="11">
                  <c:v>2.6419442440459759</c:v>
                </c:pt>
                <c:pt idx="12">
                  <c:v>2.7190608013849085</c:v>
                </c:pt>
                <c:pt idx="13">
                  <c:v>2.8050292864286752</c:v>
                </c:pt>
                <c:pt idx="14">
                  <c:v>2.7761782924098721</c:v>
                </c:pt>
                <c:pt idx="15">
                  <c:v>2.788087969971401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'T17-2'!$K$2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'T17-2'!$C$37:$C$52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'T17-2'!$K$37:$K$52</c:f>
              <c:numCache>
                <c:formatCode>General</c:formatCode>
                <c:ptCount val="16"/>
                <c:pt idx="0">
                  <c:v>25.125</c:v>
                </c:pt>
                <c:pt idx="1">
                  <c:v>25.145</c:v>
                </c:pt>
                <c:pt idx="2">
                  <c:v>26.21</c:v>
                </c:pt>
                <c:pt idx="3">
                  <c:v>24.734999999999999</c:v>
                </c:pt>
                <c:pt idx="4">
                  <c:v>24.805</c:v>
                </c:pt>
                <c:pt idx="5">
                  <c:v>24.71</c:v>
                </c:pt>
                <c:pt idx="6">
                  <c:v>25.21</c:v>
                </c:pt>
                <c:pt idx="7">
                  <c:v>25.98</c:v>
                </c:pt>
                <c:pt idx="8">
                  <c:v>24.91</c:v>
                </c:pt>
                <c:pt idx="9">
                  <c:v>24.45</c:v>
                </c:pt>
                <c:pt idx="10">
                  <c:v>25.024999999999999</c:v>
                </c:pt>
                <c:pt idx="11">
                  <c:v>24.685000000000002</c:v>
                </c:pt>
                <c:pt idx="12">
                  <c:v>25.265000000000001</c:v>
                </c:pt>
                <c:pt idx="13">
                  <c:v>24.984999999999999</c:v>
                </c:pt>
                <c:pt idx="14">
                  <c:v>24.914999999999999</c:v>
                </c:pt>
                <c:pt idx="15">
                  <c:v>24.535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'T17-2'!$L$2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'T17-2'!$C$37:$C$52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'T17-2'!$L$37:$L$52</c:f>
              <c:numCache>
                <c:formatCode>General</c:formatCode>
                <c:ptCount val="16"/>
                <c:pt idx="0">
                  <c:v>25.125</c:v>
                </c:pt>
                <c:pt idx="1">
                  <c:v>25.145</c:v>
                </c:pt>
                <c:pt idx="2">
                  <c:v>26.204999999999998</c:v>
                </c:pt>
                <c:pt idx="3">
                  <c:v>24.740000000000002</c:v>
                </c:pt>
                <c:pt idx="4">
                  <c:v>24.795000000000002</c:v>
                </c:pt>
                <c:pt idx="5">
                  <c:v>24.689999999999998</c:v>
                </c:pt>
                <c:pt idx="6">
                  <c:v>25.195</c:v>
                </c:pt>
                <c:pt idx="7">
                  <c:v>25.98</c:v>
                </c:pt>
                <c:pt idx="8">
                  <c:v>24.895</c:v>
                </c:pt>
                <c:pt idx="9">
                  <c:v>24.445</c:v>
                </c:pt>
                <c:pt idx="10">
                  <c:v>25.015000000000001</c:v>
                </c:pt>
                <c:pt idx="11">
                  <c:v>24.7</c:v>
                </c:pt>
                <c:pt idx="12">
                  <c:v>25.25</c:v>
                </c:pt>
                <c:pt idx="13">
                  <c:v>24.984999999999999</c:v>
                </c:pt>
                <c:pt idx="14">
                  <c:v>24.914999999999999</c:v>
                </c:pt>
                <c:pt idx="15">
                  <c:v>24.53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'T17-2'!$D$2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'T17-2'!$C$3:$C$18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'T17-2'!$D$3:$D$18</c:f>
              <c:numCache>
                <c:formatCode>General</c:formatCode>
                <c:ptCount val="16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6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'T17-2'!$D$2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'T17-2'!$D$19:$D$34</c:f>
              <c:numCache>
                <c:formatCode>General</c:formatCode>
                <c:ptCount val="16"/>
                <c:pt idx="0">
                  <c:v>9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7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D9-4729-98CE-50F774663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'T17-2'!$M$2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'T17-2'!$C$37:$C$52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'T17-2'!$M$37:$M$52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5.000000000002558E-3</c:v>
                </c:pt>
                <c:pt idx="3">
                  <c:v>-5.000000000002558E-3</c:v>
                </c:pt>
                <c:pt idx="4">
                  <c:v>9.9999999999980105E-3</c:v>
                </c:pt>
                <c:pt idx="5">
                  <c:v>2.0000000000003126E-2</c:v>
                </c:pt>
                <c:pt idx="6">
                  <c:v>1.5000000000000568E-2</c:v>
                </c:pt>
                <c:pt idx="7">
                  <c:v>0</c:v>
                </c:pt>
                <c:pt idx="8">
                  <c:v>1.5000000000000568E-2</c:v>
                </c:pt>
                <c:pt idx="9">
                  <c:v>4.9999999999990052E-3</c:v>
                </c:pt>
                <c:pt idx="10">
                  <c:v>9.9999999999980105E-3</c:v>
                </c:pt>
                <c:pt idx="11">
                  <c:v>-1.4999999999997016E-2</c:v>
                </c:pt>
                <c:pt idx="12">
                  <c:v>1.5000000000000568E-2</c:v>
                </c:pt>
                <c:pt idx="13">
                  <c:v>0</c:v>
                </c:pt>
                <c:pt idx="14">
                  <c:v>0</c:v>
                </c:pt>
                <c:pt idx="15">
                  <c:v>4.9999999999990052E-3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'T17-2'!$U$2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'T17-2'!$C$37:$C$52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'T17-2'!$U$37:$U$52</c:f>
              <c:numCache>
                <c:formatCode>General</c:formatCode>
                <c:ptCount val="16"/>
                <c:pt idx="0">
                  <c:v>2.8152500000000052E-3</c:v>
                </c:pt>
                <c:pt idx="1">
                  <c:v>3.6870449999999999E-3</c:v>
                </c:pt>
                <c:pt idx="2">
                  <c:v>1.9856749999999923E-3</c:v>
                </c:pt>
                <c:pt idx="3">
                  <c:v>1.7693800000000148E-3</c:v>
                </c:pt>
                <c:pt idx="4">
                  <c:v>2.5062599999999963E-3</c:v>
                </c:pt>
                <c:pt idx="5">
                  <c:v>2.5344000000000755E-4</c:v>
                </c:pt>
                <c:pt idx="6">
                  <c:v>-3.5587799999999975E-3</c:v>
                </c:pt>
                <c:pt idx="7">
                  <c:v>-1.9624500000000045E-3</c:v>
                </c:pt>
                <c:pt idx="8">
                  <c:v>-2.3275250000000108E-3</c:v>
                </c:pt>
                <c:pt idx="9">
                  <c:v>-4.7239349999999986E-3</c:v>
                </c:pt>
                <c:pt idx="10">
                  <c:v>-2.9006049999999867E-3</c:v>
                </c:pt>
                <c:pt idx="11">
                  <c:v>-7.5753000000000625E-4</c:v>
                </c:pt>
                <c:pt idx="12">
                  <c:v>1.7921500000000062E-3</c:v>
                </c:pt>
                <c:pt idx="13">
                  <c:v>5.3841999999999779E-4</c:v>
                </c:pt>
                <c:pt idx="14">
                  <c:v>2.2228999999999999E-3</c:v>
                </c:pt>
                <c:pt idx="15">
                  <c:v>3.1563300000000127E-3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D03-4E85-A297-D5F30B9404EE}"/>
            </c:ext>
          </c:extLst>
        </c:ser>
        <c:ser>
          <c:idx val="1"/>
          <c:order val="1"/>
          <c:tx>
            <c:strRef>
              <c:f>'T17-2'!$V$2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'T17-2'!$C$37:$C$52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'T17-2'!$V$37:$V$52</c:f>
              <c:numCache>
                <c:formatCode>General</c:formatCode>
                <c:ptCount val="16"/>
                <c:pt idx="0">
                  <c:v>-5.3756999999998722E-4</c:v>
                </c:pt>
                <c:pt idx="1">
                  <c:v>1.3209849999999967E-3</c:v>
                </c:pt>
                <c:pt idx="2">
                  <c:v>2.8039499999998885E-4</c:v>
                </c:pt>
                <c:pt idx="3">
                  <c:v>3.8187350000000175E-3</c:v>
                </c:pt>
                <c:pt idx="4">
                  <c:v>1.1225049999999959E-3</c:v>
                </c:pt>
                <c:pt idx="5">
                  <c:v>4.2837399999999803E-3</c:v>
                </c:pt>
                <c:pt idx="6">
                  <c:v>2.6254500000000291E-4</c:v>
                </c:pt>
                <c:pt idx="7">
                  <c:v>2.3635449999999947E-3</c:v>
                </c:pt>
                <c:pt idx="8">
                  <c:v>-2.777509999999983E-3</c:v>
                </c:pt>
                <c:pt idx="9">
                  <c:v>2.3656300000000074E-3</c:v>
                </c:pt>
                <c:pt idx="10">
                  <c:v>-4.8518850000000002E-3</c:v>
                </c:pt>
                <c:pt idx="11">
                  <c:v>-6.1600450000000306E-3</c:v>
                </c:pt>
                <c:pt idx="12">
                  <c:v>-3.5100250000000277E-3</c:v>
                </c:pt>
                <c:pt idx="13">
                  <c:v>-4.4785600000000203E-3</c:v>
                </c:pt>
                <c:pt idx="14">
                  <c:v>-1.8781300000000056E-3</c:v>
                </c:pt>
                <c:pt idx="15">
                  <c:v>-2.3436950000000067E-3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D03-4E85-A297-D5F30B940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24</xdr:row>
      <xdr:rowOff>0</xdr:rowOff>
    </xdr:from>
    <xdr:to>
      <xdr:col>38</xdr:col>
      <xdr:colOff>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55</xdr:row>
      <xdr:rowOff>-1</xdr:rowOff>
    </xdr:from>
    <xdr:to>
      <xdr:col>25</xdr:col>
      <xdr:colOff>0</xdr:colOff>
      <xdr:row>84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</xdr:colOff>
      <xdr:row>24</xdr:row>
      <xdr:rowOff>1</xdr:rowOff>
    </xdr:from>
    <xdr:to>
      <xdr:col>25</xdr:col>
      <xdr:colOff>1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55A599-2314-4495-9BD4-C03D98CEE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R22"/>
  <sheetViews>
    <sheetView tabSelected="1" zoomScale="85" zoomScaleNormal="85" workbookViewId="0">
      <selection activeCell="G9" sqref="G9:H9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44" ht="15.75" customHeight="1" x14ac:dyDescent="0.25">
      <c r="A1" s="78" t="s">
        <v>29</v>
      </c>
      <c r="B1" s="78"/>
      <c r="C1" s="78" t="s">
        <v>64</v>
      </c>
      <c r="D1" s="78"/>
      <c r="E1" s="78" t="s">
        <v>63</v>
      </c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AC1" s="29" t="s">
        <v>53</v>
      </c>
      <c r="AD1" s="30"/>
      <c r="AE1" s="30"/>
      <c r="AF1" s="30"/>
      <c r="AG1" s="31"/>
    </row>
    <row r="2" spans="1:44" ht="15.75" customHeight="1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AC2" s="32"/>
      <c r="AD2" s="33"/>
      <c r="AE2" s="33"/>
      <c r="AF2" s="33"/>
      <c r="AG2" s="34"/>
    </row>
    <row r="4" spans="1:44" x14ac:dyDescent="0.25">
      <c r="A4" s="77" t="s">
        <v>30</v>
      </c>
      <c r="B4" s="77"/>
      <c r="C4" s="77"/>
      <c r="D4" s="77"/>
      <c r="E4" s="77"/>
      <c r="F4" s="77"/>
      <c r="G4" s="40">
        <v>90</v>
      </c>
      <c r="H4" s="41"/>
      <c r="I4" s="2" t="s">
        <v>18</v>
      </c>
      <c r="K4" s="79" t="s">
        <v>45</v>
      </c>
      <c r="L4" s="79"/>
      <c r="M4" s="79"/>
      <c r="N4" s="79"/>
      <c r="O4" s="79"/>
      <c r="P4" s="79"/>
      <c r="R4" s="79" t="s">
        <v>46</v>
      </c>
      <c r="S4" s="79"/>
      <c r="T4" s="79"/>
      <c r="U4" s="79"/>
      <c r="V4" s="79"/>
      <c r="W4" s="79"/>
      <c r="X4" s="79"/>
      <c r="Y4" s="79"/>
      <c r="AC4" s="63"/>
      <c r="AD4" s="66"/>
      <c r="AE4" s="67" t="s">
        <v>59</v>
      </c>
      <c r="AF4" s="66"/>
      <c r="AG4" s="63"/>
    </row>
    <row r="5" spans="1:44" ht="15.75" customHeight="1" x14ac:dyDescent="0.25">
      <c r="A5" s="37" t="s">
        <v>31</v>
      </c>
      <c r="B5" s="38"/>
      <c r="C5" s="38"/>
      <c r="D5" s="38"/>
      <c r="E5" s="38"/>
      <c r="F5" s="39"/>
      <c r="G5" s="40">
        <v>0</v>
      </c>
      <c r="H5" s="41"/>
      <c r="I5" s="2" t="s">
        <v>18</v>
      </c>
      <c r="K5" s="49" t="s">
        <v>65</v>
      </c>
      <c r="L5" s="50"/>
      <c r="M5" s="50"/>
      <c r="N5" s="50"/>
      <c r="O5" s="50"/>
      <c r="P5" s="51"/>
      <c r="R5" s="80" t="s">
        <v>48</v>
      </c>
      <c r="S5" s="80"/>
      <c r="T5" s="80"/>
      <c r="U5" s="80"/>
      <c r="V5" s="80"/>
      <c r="W5" s="80"/>
      <c r="X5" s="80"/>
      <c r="Y5" s="80"/>
      <c r="AC5" s="63"/>
      <c r="AD5" s="66"/>
      <c r="AE5" s="67"/>
      <c r="AF5" s="66"/>
      <c r="AG5" s="63"/>
    </row>
    <row r="6" spans="1:44" x14ac:dyDescent="0.25">
      <c r="A6" s="77" t="s">
        <v>32</v>
      </c>
      <c r="B6" s="77"/>
      <c r="C6" s="77"/>
      <c r="D6" s="77"/>
      <c r="E6" s="77"/>
      <c r="F6" s="77"/>
      <c r="G6" s="76">
        <v>0</v>
      </c>
      <c r="H6" s="76"/>
      <c r="I6" s="2" t="s">
        <v>24</v>
      </c>
      <c r="K6" s="52"/>
      <c r="L6" s="53"/>
      <c r="M6" s="53"/>
      <c r="N6" s="53"/>
      <c r="O6" s="53"/>
      <c r="P6" s="54"/>
      <c r="R6" s="80"/>
      <c r="S6" s="80"/>
      <c r="T6" s="80"/>
      <c r="U6" s="80"/>
      <c r="V6" s="80"/>
      <c r="W6" s="80"/>
      <c r="X6" s="80"/>
      <c r="Y6" s="80"/>
      <c r="AC6" s="63"/>
      <c r="AD6" s="66"/>
      <c r="AE6" s="67"/>
      <c r="AF6" s="66"/>
      <c r="AG6" s="63"/>
    </row>
    <row r="7" spans="1:44" ht="15.75" customHeight="1" x14ac:dyDescent="0.25">
      <c r="A7" s="37" t="s">
        <v>52</v>
      </c>
      <c r="B7" s="38"/>
      <c r="C7" s="38"/>
      <c r="D7" s="38"/>
      <c r="E7" s="38"/>
      <c r="F7" s="39"/>
      <c r="G7" s="40" t="s">
        <v>60</v>
      </c>
      <c r="H7" s="41"/>
      <c r="I7" s="2"/>
      <c r="K7" s="52"/>
      <c r="L7" s="53"/>
      <c r="M7" s="53"/>
      <c r="N7" s="53"/>
      <c r="O7" s="53"/>
      <c r="P7" s="54"/>
      <c r="R7" s="80"/>
      <c r="S7" s="80"/>
      <c r="T7" s="80"/>
      <c r="U7" s="80"/>
      <c r="V7" s="80"/>
      <c r="W7" s="80"/>
      <c r="X7" s="80"/>
      <c r="Y7" s="80"/>
      <c r="AC7" s="62" t="s">
        <v>49</v>
      </c>
      <c r="AD7" s="86" t="s">
        <v>49</v>
      </c>
      <c r="AE7" s="86" t="s">
        <v>49</v>
      </c>
      <c r="AF7" s="86" t="s">
        <v>49</v>
      </c>
      <c r="AG7" s="66"/>
    </row>
    <row r="8" spans="1:44" x14ac:dyDescent="0.25">
      <c r="A8" s="77" t="s">
        <v>15</v>
      </c>
      <c r="B8" s="77"/>
      <c r="C8" s="77"/>
      <c r="D8" s="77"/>
      <c r="E8" s="77"/>
      <c r="F8" s="77"/>
      <c r="G8" s="81">
        <f>360/((23*60*60)+(56*60)+4.09)</f>
        <v>4.1780746480349299E-3</v>
      </c>
      <c r="H8" s="81"/>
      <c r="I8" s="2" t="s">
        <v>16</v>
      </c>
      <c r="K8" s="52"/>
      <c r="L8" s="53"/>
      <c r="M8" s="53"/>
      <c r="N8" s="53"/>
      <c r="O8" s="53"/>
      <c r="P8" s="54"/>
      <c r="R8" s="80"/>
      <c r="S8" s="80"/>
      <c r="T8" s="80"/>
      <c r="U8" s="80"/>
      <c r="V8" s="80"/>
      <c r="W8" s="80"/>
      <c r="X8" s="80"/>
      <c r="Y8" s="80"/>
      <c r="AC8" s="62"/>
      <c r="AD8" s="86"/>
      <c r="AE8" s="86"/>
      <c r="AF8" s="86"/>
      <c r="AG8" s="66"/>
    </row>
    <row r="9" spans="1:44" x14ac:dyDescent="0.25">
      <c r="A9" s="77" t="s">
        <v>17</v>
      </c>
      <c r="B9" s="77"/>
      <c r="C9" s="77"/>
      <c r="D9" s="77"/>
      <c r="E9" s="77"/>
      <c r="F9" s="77"/>
      <c r="G9" s="76">
        <v>49</v>
      </c>
      <c r="H9" s="76"/>
      <c r="I9" s="2" t="s">
        <v>18</v>
      </c>
      <c r="K9" s="52"/>
      <c r="L9" s="53"/>
      <c r="M9" s="53"/>
      <c r="N9" s="53"/>
      <c r="O9" s="53"/>
      <c r="P9" s="54"/>
      <c r="R9" s="80"/>
      <c r="S9" s="80"/>
      <c r="T9" s="80"/>
      <c r="U9" s="80"/>
      <c r="V9" s="80"/>
      <c r="W9" s="80"/>
      <c r="X9" s="80"/>
      <c r="Y9" s="80"/>
      <c r="AC9" s="62"/>
      <c r="AD9" s="86"/>
      <c r="AE9" s="86"/>
      <c r="AF9" s="86"/>
      <c r="AG9" s="66"/>
    </row>
    <row r="10" spans="1:44" ht="15.75" customHeight="1" x14ac:dyDescent="0.25">
      <c r="A10" s="71" t="s">
        <v>19</v>
      </c>
      <c r="B10" s="72"/>
      <c r="C10" s="72"/>
      <c r="D10" s="72"/>
      <c r="E10" s="72"/>
      <c r="F10" s="73"/>
      <c r="G10" s="74">
        <f>(COS(RADIANS(G9))*G8)</f>
        <v>2.7410635966396515E-3</v>
      </c>
      <c r="H10" s="75"/>
      <c r="I10" s="3" t="s">
        <v>16</v>
      </c>
      <c r="K10" s="52"/>
      <c r="L10" s="53"/>
      <c r="M10" s="53"/>
      <c r="N10" s="53"/>
      <c r="O10" s="53"/>
      <c r="P10" s="54"/>
      <c r="R10" s="13"/>
      <c r="S10" s="13"/>
      <c r="T10" s="13"/>
      <c r="U10" s="13"/>
      <c r="V10" s="13"/>
      <c r="W10" s="13"/>
      <c r="X10" s="13"/>
      <c r="Y10" s="13"/>
      <c r="AC10" s="68" t="s">
        <v>49</v>
      </c>
      <c r="AD10" s="69"/>
      <c r="AE10" s="70" t="s">
        <v>51</v>
      </c>
      <c r="AF10" s="69"/>
      <c r="AG10" s="35"/>
      <c r="AN10" s="22"/>
      <c r="AO10" s="22"/>
      <c r="AP10" s="23"/>
      <c r="AQ10" s="22"/>
      <c r="AR10" s="22"/>
    </row>
    <row r="11" spans="1:44" ht="15.75" customHeight="1" x14ac:dyDescent="0.25">
      <c r="A11" s="77" t="s">
        <v>33</v>
      </c>
      <c r="B11" s="77"/>
      <c r="C11" s="77"/>
      <c r="D11" s="77"/>
      <c r="E11" s="77"/>
      <c r="F11" s="77"/>
      <c r="G11" s="76">
        <v>22.5</v>
      </c>
      <c r="H11" s="76"/>
      <c r="I11" s="2" t="s">
        <v>18</v>
      </c>
      <c r="K11" s="52"/>
      <c r="L11" s="53"/>
      <c r="M11" s="53"/>
      <c r="N11" s="53"/>
      <c r="O11" s="53"/>
      <c r="P11" s="54"/>
      <c r="R11" s="13"/>
      <c r="S11" s="13"/>
      <c r="T11" s="13"/>
      <c r="U11" s="13"/>
      <c r="V11" s="13"/>
      <c r="W11" s="13"/>
      <c r="X11" s="13"/>
      <c r="Y11" s="13"/>
      <c r="AC11" s="68"/>
      <c r="AD11" s="69"/>
      <c r="AE11" s="70"/>
      <c r="AF11" s="69"/>
      <c r="AG11" s="35"/>
      <c r="AN11" s="22"/>
      <c r="AO11" s="22"/>
      <c r="AP11" s="23"/>
      <c r="AQ11" s="22"/>
      <c r="AR11" s="22"/>
    </row>
    <row r="12" spans="1:44" ht="15.75" customHeight="1" x14ac:dyDescent="0.25">
      <c r="A12" s="37" t="s">
        <v>34</v>
      </c>
      <c r="B12" s="38"/>
      <c r="C12" s="38"/>
      <c r="D12" s="38"/>
      <c r="E12" s="38"/>
      <c r="F12" s="39"/>
      <c r="G12" s="40">
        <f>360/G11</f>
        <v>16</v>
      </c>
      <c r="H12" s="41"/>
      <c r="I12" s="2"/>
      <c r="K12" s="52"/>
      <c r="L12" s="53"/>
      <c r="M12" s="53"/>
      <c r="N12" s="53"/>
      <c r="O12" s="53"/>
      <c r="P12" s="54"/>
      <c r="R12" s="8"/>
      <c r="S12" s="8"/>
      <c r="T12" s="8"/>
      <c r="U12" s="8"/>
      <c r="V12" s="8"/>
      <c r="W12" s="8"/>
      <c r="X12" s="8"/>
      <c r="Y12" s="8"/>
      <c r="AC12" s="68"/>
      <c r="AD12" s="69"/>
      <c r="AE12" s="70"/>
      <c r="AF12" s="69"/>
      <c r="AG12" s="35"/>
      <c r="AN12" s="22"/>
      <c r="AO12" s="22"/>
      <c r="AP12" s="23"/>
      <c r="AQ12" s="22"/>
      <c r="AR12" s="22"/>
    </row>
    <row r="13" spans="1:44" ht="15.75" customHeight="1" x14ac:dyDescent="0.25">
      <c r="A13" s="77" t="s">
        <v>20</v>
      </c>
      <c r="B13" s="77"/>
      <c r="C13" s="77"/>
      <c r="D13" s="77"/>
      <c r="E13" s="77"/>
      <c r="F13" s="77"/>
      <c r="G13" s="76" t="s">
        <v>47</v>
      </c>
      <c r="H13" s="76"/>
      <c r="I13" s="2"/>
      <c r="K13" s="52"/>
      <c r="L13" s="53"/>
      <c r="M13" s="53"/>
      <c r="N13" s="53"/>
      <c r="O13" s="53"/>
      <c r="P13" s="54"/>
      <c r="R13" s="82" t="s">
        <v>25</v>
      </c>
      <c r="S13" s="82"/>
      <c r="T13" s="82" t="s">
        <v>26</v>
      </c>
      <c r="U13" s="82"/>
      <c r="V13" s="82" t="s">
        <v>27</v>
      </c>
      <c r="W13" s="82"/>
      <c r="X13" s="82" t="s">
        <v>28</v>
      </c>
      <c r="Y13" s="82"/>
      <c r="AC13" s="48" t="s">
        <v>49</v>
      </c>
      <c r="AD13" s="42"/>
      <c r="AE13" s="42" t="s">
        <v>50</v>
      </c>
      <c r="AF13" s="42"/>
      <c r="AG13" s="36"/>
      <c r="AN13" s="22"/>
      <c r="AO13" s="22"/>
      <c r="AP13" s="22"/>
      <c r="AQ13" s="22"/>
      <c r="AR13" s="22"/>
    </row>
    <row r="14" spans="1:44" ht="15.75" customHeight="1" x14ac:dyDescent="0.25">
      <c r="A14" s="37" t="s">
        <v>21</v>
      </c>
      <c r="B14" s="38"/>
      <c r="C14" s="38"/>
      <c r="D14" s="38"/>
      <c r="E14" s="38"/>
      <c r="F14" s="39"/>
      <c r="G14" s="40">
        <v>150</v>
      </c>
      <c r="H14" s="41"/>
      <c r="I14" s="2"/>
      <c r="K14" s="52"/>
      <c r="L14" s="53"/>
      <c r="M14" s="53"/>
      <c r="N14" s="53"/>
      <c r="O14" s="53"/>
      <c r="P14" s="54"/>
      <c r="R14" s="82"/>
      <c r="S14" s="82"/>
      <c r="T14" s="82"/>
      <c r="U14" s="82"/>
      <c r="V14" s="82"/>
      <c r="W14" s="82"/>
      <c r="X14" s="82"/>
      <c r="Y14" s="82"/>
      <c r="AC14" s="48"/>
      <c r="AD14" s="43"/>
      <c r="AE14" s="43"/>
      <c r="AF14" s="43"/>
      <c r="AG14" s="36"/>
      <c r="AN14" s="22"/>
      <c r="AO14" s="22"/>
      <c r="AP14" s="22"/>
      <c r="AQ14" s="22"/>
      <c r="AR14" s="22"/>
    </row>
    <row r="15" spans="1:44" ht="15.75" customHeight="1" x14ac:dyDescent="0.25">
      <c r="A15" s="37" t="s">
        <v>22</v>
      </c>
      <c r="B15" s="38"/>
      <c r="C15" s="38"/>
      <c r="D15" s="38"/>
      <c r="E15" s="38"/>
      <c r="F15" s="39"/>
      <c r="G15" s="40">
        <v>200</v>
      </c>
      <c r="H15" s="41"/>
      <c r="I15" s="2"/>
      <c r="K15" s="52"/>
      <c r="L15" s="53"/>
      <c r="M15" s="53"/>
      <c r="N15" s="53"/>
      <c r="O15" s="53"/>
      <c r="P15" s="54"/>
      <c r="R15" s="82"/>
      <c r="S15" s="82"/>
      <c r="T15" s="82"/>
      <c r="U15" s="82"/>
      <c r="V15" s="82"/>
      <c r="W15" s="82"/>
      <c r="X15" s="82"/>
      <c r="Y15" s="82"/>
      <c r="AC15" s="48"/>
      <c r="AD15" s="44"/>
      <c r="AE15" s="44"/>
      <c r="AF15" s="44"/>
      <c r="AG15" s="36"/>
      <c r="AN15" s="22"/>
      <c r="AO15" s="22"/>
      <c r="AP15" s="22"/>
      <c r="AQ15" s="22"/>
      <c r="AR15" s="22"/>
    </row>
    <row r="16" spans="1:44" ht="15.75" customHeight="1" x14ac:dyDescent="0.25">
      <c r="A16" s="37" t="s">
        <v>23</v>
      </c>
      <c r="B16" s="38"/>
      <c r="C16" s="38"/>
      <c r="D16" s="38"/>
      <c r="E16" s="38"/>
      <c r="F16" s="39"/>
      <c r="G16" s="40">
        <v>50</v>
      </c>
      <c r="H16" s="41"/>
      <c r="I16" s="2"/>
      <c r="K16" s="52"/>
      <c r="L16" s="53"/>
      <c r="M16" s="53"/>
      <c r="N16" s="53"/>
      <c r="O16" s="53"/>
      <c r="P16" s="54"/>
      <c r="R16" s="82"/>
      <c r="S16" s="82"/>
      <c r="T16" s="82"/>
      <c r="U16" s="82"/>
      <c r="V16" s="82"/>
      <c r="W16" s="82"/>
      <c r="X16" s="82"/>
      <c r="Y16" s="82"/>
      <c r="AC16" s="48" t="s">
        <v>49</v>
      </c>
      <c r="AD16" s="45"/>
      <c r="AE16" s="42" t="s">
        <v>49</v>
      </c>
      <c r="AF16" s="42"/>
      <c r="AG16" s="36"/>
      <c r="AN16" s="22"/>
      <c r="AO16" s="19"/>
      <c r="AP16" s="22"/>
      <c r="AQ16" s="22"/>
      <c r="AR16" s="22"/>
    </row>
    <row r="17" spans="1:44" ht="15.75" customHeight="1" x14ac:dyDescent="0.25">
      <c r="A17" s="58" t="s">
        <v>36</v>
      </c>
      <c r="B17" s="59"/>
      <c r="C17" s="59"/>
      <c r="D17" s="59"/>
      <c r="E17" s="59"/>
      <c r="F17" s="60"/>
      <c r="G17" s="84">
        <v>400</v>
      </c>
      <c r="H17" s="85"/>
      <c r="I17" s="4" t="s">
        <v>18</v>
      </c>
      <c r="K17" s="52"/>
      <c r="L17" s="53"/>
      <c r="M17" s="53"/>
      <c r="N17" s="53"/>
      <c r="O17" s="53"/>
      <c r="P17" s="54"/>
      <c r="R17" s="83">
        <f>MIN('T17-2'!U3:U18)</f>
        <v>-4.974940000000011E-3</v>
      </c>
      <c r="S17" s="83"/>
      <c r="T17" s="83">
        <f>MIN('T17-2'!V3:V18)</f>
        <v>-6.5600700000000289E-3</v>
      </c>
      <c r="U17" s="83"/>
      <c r="V17" s="83">
        <f>MAX('T17-2'!U3:U18)</f>
        <v>7.0875199999999861E-3</v>
      </c>
      <c r="W17" s="83"/>
      <c r="X17" s="83">
        <f>MAX('T17-2'!V3:V18)</f>
        <v>4.3749700000000336E-3</v>
      </c>
      <c r="Y17" s="83"/>
      <c r="AC17" s="48"/>
      <c r="AD17" s="46"/>
      <c r="AE17" s="43"/>
      <c r="AF17" s="43"/>
      <c r="AG17" s="36"/>
      <c r="AN17" s="22"/>
      <c r="AO17" s="19"/>
      <c r="AP17" s="22"/>
      <c r="AQ17" s="22"/>
      <c r="AR17" s="22"/>
    </row>
    <row r="18" spans="1:44" ht="15.75" customHeight="1" x14ac:dyDescent="0.25">
      <c r="A18" s="58" t="s">
        <v>35</v>
      </c>
      <c r="B18" s="59"/>
      <c r="C18" s="59"/>
      <c r="D18" s="59"/>
      <c r="E18" s="59"/>
      <c r="F18" s="60"/>
      <c r="G18" s="84">
        <f>G14*G15*2</f>
        <v>60000</v>
      </c>
      <c r="H18" s="85"/>
      <c r="I18" s="2"/>
      <c r="K18" s="55"/>
      <c r="L18" s="56"/>
      <c r="M18" s="56"/>
      <c r="N18" s="56"/>
      <c r="O18" s="56"/>
      <c r="P18" s="57"/>
      <c r="R18" s="83"/>
      <c r="S18" s="83"/>
      <c r="T18" s="83"/>
      <c r="U18" s="83"/>
      <c r="V18" s="83"/>
      <c r="W18" s="83"/>
      <c r="X18" s="83"/>
      <c r="Y18" s="83"/>
      <c r="AC18" s="48"/>
      <c r="AD18" s="47"/>
      <c r="AE18" s="44"/>
      <c r="AF18" s="44"/>
      <c r="AG18" s="36"/>
      <c r="AN18" s="22"/>
      <c r="AO18" s="19"/>
      <c r="AP18" s="22"/>
      <c r="AQ18" s="22"/>
      <c r="AR18" s="22"/>
    </row>
    <row r="19" spans="1:44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61" t="s">
        <v>49</v>
      </c>
      <c r="AD19" s="64" t="s">
        <v>49</v>
      </c>
      <c r="AE19" s="64" t="s">
        <v>49</v>
      </c>
      <c r="AF19" s="64" t="s">
        <v>49</v>
      </c>
      <c r="AG19" s="62"/>
      <c r="AN19" s="19"/>
      <c r="AO19" s="20"/>
      <c r="AP19" s="20"/>
      <c r="AQ19" s="20"/>
      <c r="AR19" s="21"/>
    </row>
    <row r="20" spans="1:44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61"/>
      <c r="AD20" s="65"/>
      <c r="AE20" s="65"/>
      <c r="AF20" s="65"/>
      <c r="AG20" s="62"/>
      <c r="AN20" s="19"/>
      <c r="AO20" s="20"/>
      <c r="AP20" s="20"/>
      <c r="AQ20" s="20"/>
      <c r="AR20" s="21"/>
    </row>
    <row r="21" spans="1:44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61"/>
      <c r="AD21" s="65"/>
      <c r="AE21" s="65"/>
      <c r="AF21" s="65"/>
      <c r="AG21" s="62"/>
      <c r="AN21" s="19"/>
      <c r="AO21" s="20"/>
      <c r="AP21" s="20"/>
      <c r="AQ21" s="20"/>
      <c r="AR21" s="21"/>
    </row>
    <row r="22" spans="1:44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76">
    <mergeCell ref="AC7:AC9"/>
    <mergeCell ref="AD7:AD9"/>
    <mergeCell ref="AE7:AE9"/>
    <mergeCell ref="AF7:AF9"/>
    <mergeCell ref="AG7:AG9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T13:U16"/>
    <mergeCell ref="V13:W16"/>
    <mergeCell ref="X13:Y16"/>
    <mergeCell ref="T17:U18"/>
    <mergeCell ref="V17:W18"/>
    <mergeCell ref="X17:Y18"/>
    <mergeCell ref="R5:Y9"/>
    <mergeCell ref="G8:H8"/>
    <mergeCell ref="A5:F5"/>
    <mergeCell ref="G5:H5"/>
    <mergeCell ref="A6:F6"/>
    <mergeCell ref="G6:H6"/>
    <mergeCell ref="A8:F8"/>
    <mergeCell ref="G4:H4"/>
    <mergeCell ref="A1:B2"/>
    <mergeCell ref="C1:D2"/>
    <mergeCell ref="E1:Y2"/>
    <mergeCell ref="K4:P4"/>
    <mergeCell ref="A4:F4"/>
    <mergeCell ref="R4:Y4"/>
    <mergeCell ref="A10:F10"/>
    <mergeCell ref="G10:H10"/>
    <mergeCell ref="G9:H9"/>
    <mergeCell ref="G11:H11"/>
    <mergeCell ref="G13:H13"/>
    <mergeCell ref="A9:F9"/>
    <mergeCell ref="A11:F11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AC1:AG2"/>
    <mergeCell ref="AG10:AG12"/>
    <mergeCell ref="AG13:AG15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52"/>
  <sheetViews>
    <sheetView workbookViewId="0">
      <selection activeCell="Q43" sqref="Q43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58</v>
      </c>
      <c r="B2" t="s">
        <v>54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55</v>
      </c>
      <c r="L2" t="s">
        <v>56</v>
      </c>
      <c r="M2" t="s">
        <v>57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66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61</v>
      </c>
      <c r="C3" s="14">
        <v>0</v>
      </c>
      <c r="D3" s="14">
        <v>6</v>
      </c>
      <c r="E3" s="15">
        <v>-0.41896664</v>
      </c>
      <c r="F3" s="15">
        <v>-0.41015003999999999</v>
      </c>
      <c r="G3" s="15">
        <v>-8.8166000000000008E-3</v>
      </c>
      <c r="H3" s="15">
        <v>0.59673332000000001</v>
      </c>
      <c r="I3" s="15">
        <v>0.59596676000000004</v>
      </c>
      <c r="J3" s="15">
        <v>7.6658E-4</v>
      </c>
      <c r="K3" s="18">
        <v>25.43</v>
      </c>
      <c r="L3" s="18">
        <v>25.43</v>
      </c>
      <c r="M3" s="18">
        <v>0.01</v>
      </c>
      <c r="N3" s="15">
        <v>3.3208420000000002E-2</v>
      </c>
      <c r="O3" s="15">
        <v>4.3851319999999999E-2</v>
      </c>
      <c r="P3" s="15">
        <v>-1.06429E-2</v>
      </c>
      <c r="Q3" s="15">
        <v>1.2076419999999999E-2</v>
      </c>
      <c r="R3" s="15">
        <v>-3.45174E-3</v>
      </c>
      <c r="S3" s="15">
        <v>1.5528159999999999E-2</v>
      </c>
      <c r="T3" s="14"/>
      <c r="U3" s="15">
        <f>(F3-E3)/2</f>
        <v>4.4083000000000039E-3</v>
      </c>
      <c r="V3" s="15">
        <f>(H3-I3)/2</f>
        <v>3.8327999999998585E-4</v>
      </c>
      <c r="W3" s="15"/>
      <c r="X3" s="15"/>
      <c r="Y3" s="16">
        <f t="shared" ref="Y3:Y34" si="0">N3</f>
        <v>3.3208420000000002E-2</v>
      </c>
      <c r="Z3" s="16">
        <f t="shared" ref="Z3:Z34" si="1">Q3</f>
        <v>1.2076419999999999E-2</v>
      </c>
      <c r="AA3" s="16">
        <f t="shared" ref="AA3:AA34" si="2">O3</f>
        <v>4.3851319999999999E-2</v>
      </c>
      <c r="AB3" s="16">
        <f t="shared" ref="AB3:AB34" si="3">R3</f>
        <v>-3.45174E-3</v>
      </c>
      <c r="AC3" s="17">
        <f>IF(Y3="","",DEGREES(ASIN(SQRT(Y3^2+Z3^2))))</f>
        <v>2.0250302487004705</v>
      </c>
      <c r="AD3" s="17">
        <f>IF(AA3="","",DEGREES(ASIN(SQRT(AA3^2+AB3^2))))</f>
        <v>2.5210806756306479</v>
      </c>
      <c r="AE3" s="17">
        <f>IF(Y3="","",MOD(DEGREES(ATAN2(Y3,Z3)),360))</f>
        <v>19.984067920217576</v>
      </c>
      <c r="AF3" s="17">
        <f t="shared" ref="AF3:AF34" si="4">IF(Y3="","",MOD(F3+AE3,360))</f>
        <v>19.573917880217575</v>
      </c>
    </row>
    <row r="4" spans="1:32" x14ac:dyDescent="0.25">
      <c r="A4" s="14">
        <v>2</v>
      </c>
      <c r="B4" s="14" t="s">
        <v>61</v>
      </c>
      <c r="C4" s="14">
        <v>22.5</v>
      </c>
      <c r="D4" s="14">
        <v>7</v>
      </c>
      <c r="E4" s="15">
        <v>-0.42832140000000002</v>
      </c>
      <c r="F4" s="15">
        <v>-0.41798563999999999</v>
      </c>
      <c r="G4" s="15">
        <v>-1.0335769999999999E-2</v>
      </c>
      <c r="H4" s="15">
        <v>0.62214283999999997</v>
      </c>
      <c r="I4" s="15">
        <v>0.61957139999999999</v>
      </c>
      <c r="J4" s="15">
        <v>2.5714599999999998E-3</v>
      </c>
      <c r="K4" s="18">
        <v>24.89</v>
      </c>
      <c r="L4" s="18">
        <v>24.88</v>
      </c>
      <c r="M4" s="18">
        <v>0</v>
      </c>
      <c r="N4" s="15">
        <v>3.7760879999999997E-2</v>
      </c>
      <c r="O4" s="15">
        <v>4.1586909999999998E-2</v>
      </c>
      <c r="P4" s="15">
        <v>-3.8260299999999998E-3</v>
      </c>
      <c r="Q4" s="15">
        <v>1.373744E-2</v>
      </c>
      <c r="R4" s="15">
        <v>-4.2888500000000003E-3</v>
      </c>
      <c r="S4" s="15">
        <v>1.8026299999999999E-2</v>
      </c>
      <c r="T4" s="14"/>
      <c r="U4" s="15">
        <f t="shared" ref="U4:U34" si="5">(F4-E4)/2</f>
        <v>5.1678800000000136E-3</v>
      </c>
      <c r="V4" s="15">
        <f t="shared" ref="V4:V34" si="6">(H4-I4)/2</f>
        <v>1.2857199999999902E-3</v>
      </c>
      <c r="W4" s="15"/>
      <c r="X4" s="15"/>
      <c r="Y4" s="16">
        <f t="shared" si="0"/>
        <v>3.7760879999999997E-2</v>
      </c>
      <c r="Z4" s="16">
        <f t="shared" si="1"/>
        <v>1.373744E-2</v>
      </c>
      <c r="AA4" s="16">
        <f t="shared" si="2"/>
        <v>4.1586909999999998E-2</v>
      </c>
      <c r="AB4" s="16">
        <f t="shared" si="3"/>
        <v>-4.2888500000000003E-3</v>
      </c>
      <c r="AC4" s="17">
        <f t="shared" ref="AC4:AC18" si="7">IF(Y4="","",DEGREES(ASIN(SQRT(Y4^2+Z4^2))))</f>
        <v>2.3028848435415825</v>
      </c>
      <c r="AD4" s="17">
        <f t="shared" ref="AD4:AD18" si="8">IF(AA4="","",DEGREES(ASIN(SQRT(AA4^2+AB4^2))))</f>
        <v>2.3960904638810714</v>
      </c>
      <c r="AE4" s="17">
        <f t="shared" ref="AE4:AE18" si="9">IF(Y4="","",MOD(DEGREES(ATAN2(Y4,Z4)),360))</f>
        <v>19.991429477099963</v>
      </c>
      <c r="AF4" s="17">
        <f t="shared" si="4"/>
        <v>19.573443837099962</v>
      </c>
    </row>
    <row r="5" spans="1:32" x14ac:dyDescent="0.25">
      <c r="A5" s="14">
        <v>3</v>
      </c>
      <c r="B5" s="14" t="s">
        <v>61</v>
      </c>
      <c r="C5" s="14">
        <v>45</v>
      </c>
      <c r="D5" s="14">
        <v>7</v>
      </c>
      <c r="E5" s="15">
        <v>-0.41277143999999999</v>
      </c>
      <c r="F5" s="15">
        <v>-0.40982871999999998</v>
      </c>
      <c r="G5" s="15">
        <v>-2.9427099999999999E-3</v>
      </c>
      <c r="H5" s="15">
        <v>0.57977869999999998</v>
      </c>
      <c r="I5" s="15">
        <v>0.57225716000000004</v>
      </c>
      <c r="J5" s="15">
        <v>7.5215100000000003E-3</v>
      </c>
      <c r="K5" s="18">
        <v>25.83</v>
      </c>
      <c r="L5" s="18">
        <v>25.81</v>
      </c>
      <c r="M5" s="18">
        <v>0.02</v>
      </c>
      <c r="N5" s="15">
        <v>3.9950470000000002E-2</v>
      </c>
      <c r="O5" s="15">
        <v>3.6643769999999999E-2</v>
      </c>
      <c r="P5" s="15">
        <v>3.30671E-3</v>
      </c>
      <c r="Q5" s="15">
        <v>1.282645E-2</v>
      </c>
      <c r="R5" s="15">
        <v>-5.03069E-3</v>
      </c>
      <c r="S5" s="15">
        <v>1.7857140000000001E-2</v>
      </c>
      <c r="T5" s="14"/>
      <c r="U5" s="15">
        <f t="shared" si="5"/>
        <v>1.4713600000000049E-3</v>
      </c>
      <c r="V5" s="15">
        <f t="shared" si="6"/>
        <v>3.7607699999999689E-3</v>
      </c>
      <c r="W5" s="15"/>
      <c r="X5" s="15"/>
      <c r="Y5" s="16">
        <f t="shared" si="0"/>
        <v>3.9950470000000002E-2</v>
      </c>
      <c r="Z5" s="16">
        <f t="shared" si="1"/>
        <v>1.282645E-2</v>
      </c>
      <c r="AA5" s="16">
        <f t="shared" si="2"/>
        <v>3.6643769999999999E-2</v>
      </c>
      <c r="AB5" s="16">
        <f t="shared" si="3"/>
        <v>-5.03069E-3</v>
      </c>
      <c r="AC5" s="17">
        <f t="shared" si="7"/>
        <v>2.404779721506177</v>
      </c>
      <c r="AD5" s="17">
        <f t="shared" si="8"/>
        <v>2.1197100410416891</v>
      </c>
      <c r="AE5" s="17">
        <f t="shared" si="9"/>
        <v>17.799684482647955</v>
      </c>
      <c r="AF5" s="17">
        <f t="shared" si="4"/>
        <v>17.389855762647954</v>
      </c>
    </row>
    <row r="6" spans="1:32" x14ac:dyDescent="0.25">
      <c r="A6" s="14">
        <v>4</v>
      </c>
      <c r="B6" s="14" t="s">
        <v>61</v>
      </c>
      <c r="C6" s="14">
        <v>67.5</v>
      </c>
      <c r="D6" s="14">
        <v>5</v>
      </c>
      <c r="E6" s="15">
        <v>-0.42292992000000001</v>
      </c>
      <c r="F6" s="15">
        <v>-0.42143999999999998</v>
      </c>
      <c r="G6" s="15">
        <v>-1.48997E-3</v>
      </c>
      <c r="H6" s="15">
        <v>0.62367004000000004</v>
      </c>
      <c r="I6" s="15">
        <v>0.61492009999999997</v>
      </c>
      <c r="J6" s="15">
        <v>8.7499599999999993E-3</v>
      </c>
      <c r="K6" s="18">
        <v>24.89</v>
      </c>
      <c r="L6" s="18">
        <v>24.89</v>
      </c>
      <c r="M6" s="18">
        <v>0</v>
      </c>
      <c r="N6" s="15">
        <v>4.4247559999999998E-2</v>
      </c>
      <c r="O6" s="15">
        <v>3.5291500000000003E-2</v>
      </c>
      <c r="P6" s="15">
        <v>8.9560600000000001E-3</v>
      </c>
      <c r="Q6" s="15">
        <v>1.230762E-2</v>
      </c>
      <c r="R6" s="15">
        <v>-3.0336899999999999E-3</v>
      </c>
      <c r="S6" s="15">
        <v>1.534131E-2</v>
      </c>
      <c r="T6" s="14"/>
      <c r="U6" s="15">
        <f t="shared" si="5"/>
        <v>7.4496000000001672E-4</v>
      </c>
      <c r="V6" s="15">
        <f t="shared" si="6"/>
        <v>4.3749700000000336E-3</v>
      </c>
      <c r="W6" s="15"/>
      <c r="X6" s="15"/>
      <c r="Y6" s="16">
        <f t="shared" si="0"/>
        <v>4.4247559999999998E-2</v>
      </c>
      <c r="Z6" s="16">
        <f t="shared" si="1"/>
        <v>1.230762E-2</v>
      </c>
      <c r="AA6" s="16">
        <f t="shared" si="2"/>
        <v>3.5291500000000003E-2</v>
      </c>
      <c r="AB6" s="16">
        <f t="shared" si="3"/>
        <v>-3.0336899999999999E-3</v>
      </c>
      <c r="AC6" s="17">
        <f t="shared" si="7"/>
        <v>2.6323709139873639</v>
      </c>
      <c r="AD6" s="17">
        <f t="shared" si="8"/>
        <v>2.0299356569569618</v>
      </c>
      <c r="AE6" s="17">
        <f t="shared" si="9"/>
        <v>15.54410188277522</v>
      </c>
      <c r="AF6" s="17">
        <f t="shared" si="4"/>
        <v>15.122661882775219</v>
      </c>
    </row>
    <row r="7" spans="1:32" x14ac:dyDescent="0.25">
      <c r="A7" s="14">
        <v>5</v>
      </c>
      <c r="B7" s="14" t="s">
        <v>61</v>
      </c>
      <c r="C7" s="14">
        <v>90</v>
      </c>
      <c r="D7" s="14">
        <v>4</v>
      </c>
      <c r="E7" s="15">
        <v>-0.43112499999999998</v>
      </c>
      <c r="F7" s="15">
        <v>-0.41694996000000001</v>
      </c>
      <c r="G7" s="15">
        <v>-1.417503E-2</v>
      </c>
      <c r="H7" s="15">
        <v>0.62213752</v>
      </c>
      <c r="I7" s="15">
        <v>0.62238749999999998</v>
      </c>
      <c r="J7" s="15">
        <v>-2.4998000000000002E-4</v>
      </c>
      <c r="K7" s="18">
        <v>24.9</v>
      </c>
      <c r="L7" s="18">
        <v>24.9</v>
      </c>
      <c r="M7" s="18">
        <v>-0.01</v>
      </c>
      <c r="N7" s="15">
        <v>4.696289E-2</v>
      </c>
      <c r="O7" s="15">
        <v>3.1874390000000002E-2</v>
      </c>
      <c r="P7" s="15">
        <v>1.5088499999999999E-2</v>
      </c>
      <c r="Q7" s="15">
        <v>9.6630899999999992E-3</v>
      </c>
      <c r="R7" s="15">
        <v>-5.7799999999999995E-4</v>
      </c>
      <c r="S7" s="15">
        <v>1.024109E-2</v>
      </c>
      <c r="T7" s="14"/>
      <c r="U7" s="15">
        <f t="shared" si="5"/>
        <v>7.0875199999999861E-3</v>
      </c>
      <c r="V7" s="15">
        <f t="shared" si="6"/>
        <v>-1.249899999999915E-4</v>
      </c>
      <c r="W7" s="15"/>
      <c r="X7" s="15"/>
      <c r="Y7" s="16">
        <f t="shared" si="0"/>
        <v>4.696289E-2</v>
      </c>
      <c r="Z7" s="16">
        <f t="shared" si="1"/>
        <v>9.6630899999999992E-3</v>
      </c>
      <c r="AA7" s="16">
        <f t="shared" si="2"/>
        <v>3.1874390000000002E-2</v>
      </c>
      <c r="AB7" s="16">
        <f t="shared" si="3"/>
        <v>-5.7799999999999995E-4</v>
      </c>
      <c r="AC7" s="17">
        <f t="shared" si="7"/>
        <v>2.7481985821835266</v>
      </c>
      <c r="AD7" s="17">
        <f t="shared" si="8"/>
        <v>1.82687779816165</v>
      </c>
      <c r="AE7" s="17">
        <f t="shared" si="9"/>
        <v>11.626915330141625</v>
      </c>
      <c r="AF7" s="17">
        <f t="shared" si="4"/>
        <v>11.209965370141624</v>
      </c>
    </row>
    <row r="8" spans="1:32" x14ac:dyDescent="0.25">
      <c r="A8" s="14">
        <v>6</v>
      </c>
      <c r="B8" s="14" t="s">
        <v>61</v>
      </c>
      <c r="C8" s="14">
        <v>112.5</v>
      </c>
      <c r="D8" s="14">
        <v>5</v>
      </c>
      <c r="E8" s="15">
        <v>-0.42465000000000003</v>
      </c>
      <c r="F8" s="15">
        <v>-0.42287999999999998</v>
      </c>
      <c r="G8" s="15">
        <v>-1.77002E-3</v>
      </c>
      <c r="H8" s="15">
        <v>0.64128991999999996</v>
      </c>
      <c r="I8" s="15">
        <v>0.63712999999999997</v>
      </c>
      <c r="J8" s="15">
        <v>4.1599300000000001E-3</v>
      </c>
      <c r="K8" s="18">
        <v>24.54</v>
      </c>
      <c r="L8" s="18">
        <v>24.5</v>
      </c>
      <c r="M8" s="18">
        <v>0.03</v>
      </c>
      <c r="N8" s="15">
        <v>4.8767089999999999E-2</v>
      </c>
      <c r="O8" s="15">
        <v>3.0771E-2</v>
      </c>
      <c r="P8" s="15">
        <v>1.7996089999999999E-2</v>
      </c>
      <c r="Q8" s="15">
        <v>6.7041000000000002E-3</v>
      </c>
      <c r="R8" s="15">
        <v>3.13818E-3</v>
      </c>
      <c r="S8" s="15">
        <v>3.5659200000000002E-3</v>
      </c>
      <c r="T8" s="14"/>
      <c r="U8" s="15">
        <f t="shared" si="5"/>
        <v>8.8500000000002466E-4</v>
      </c>
      <c r="V8" s="15">
        <f t="shared" si="6"/>
        <v>2.0799599999999918E-3</v>
      </c>
      <c r="W8" s="15"/>
      <c r="X8" s="15"/>
      <c r="Y8" s="16">
        <f t="shared" si="0"/>
        <v>4.8767089999999999E-2</v>
      </c>
      <c r="Z8" s="16">
        <f t="shared" si="1"/>
        <v>6.7041000000000002E-3</v>
      </c>
      <c r="AA8" s="16">
        <f t="shared" si="2"/>
        <v>3.0771E-2</v>
      </c>
      <c r="AB8" s="16">
        <f t="shared" si="3"/>
        <v>3.13818E-3</v>
      </c>
      <c r="AC8" s="17">
        <f t="shared" si="7"/>
        <v>2.8215677710640468</v>
      </c>
      <c r="AD8" s="17">
        <f t="shared" si="8"/>
        <v>1.7724760907325787</v>
      </c>
      <c r="AE8" s="17">
        <f t="shared" si="9"/>
        <v>7.827491155405089</v>
      </c>
      <c r="AF8" s="17">
        <f t="shared" si="4"/>
        <v>7.4046111554050889</v>
      </c>
    </row>
    <row r="9" spans="1:32" x14ac:dyDescent="0.25">
      <c r="A9" s="14">
        <v>7</v>
      </c>
      <c r="B9" s="14" t="s">
        <v>61</v>
      </c>
      <c r="C9" s="14">
        <v>135</v>
      </c>
      <c r="D9" s="14">
        <v>5</v>
      </c>
      <c r="E9" s="15">
        <v>-0.42102995999999998</v>
      </c>
      <c r="F9" s="15">
        <v>-0.42279</v>
      </c>
      <c r="G9" s="15">
        <v>1.76004E-3</v>
      </c>
      <c r="H9" s="15">
        <v>0.62141009999999997</v>
      </c>
      <c r="I9" s="15">
        <v>0.61411009999999999</v>
      </c>
      <c r="J9" s="15">
        <v>7.2999600000000003E-3</v>
      </c>
      <c r="K9" s="18">
        <v>24.98</v>
      </c>
      <c r="L9" s="18">
        <v>24.96</v>
      </c>
      <c r="M9" s="18">
        <v>0.02</v>
      </c>
      <c r="N9" s="15">
        <v>4.8090819999999999E-2</v>
      </c>
      <c r="O9" s="15">
        <v>3.065039E-2</v>
      </c>
      <c r="P9" s="15">
        <v>1.744043E-2</v>
      </c>
      <c r="Q9" s="15">
        <v>2.8305700000000001E-3</v>
      </c>
      <c r="R9" s="15">
        <v>6.53076E-3</v>
      </c>
      <c r="S9" s="15">
        <v>-3.7001999999999998E-3</v>
      </c>
      <c r="T9" s="14"/>
      <c r="U9" s="15">
        <f t="shared" si="5"/>
        <v>-8.8002000000000913E-4</v>
      </c>
      <c r="V9" s="15">
        <f t="shared" si="6"/>
        <v>3.6499999999999866E-3</v>
      </c>
      <c r="W9" s="15"/>
      <c r="X9" s="15"/>
      <c r="Y9" s="16">
        <f t="shared" si="0"/>
        <v>4.8090819999999999E-2</v>
      </c>
      <c r="Z9" s="16">
        <f t="shared" si="1"/>
        <v>2.8305700000000001E-3</v>
      </c>
      <c r="AA9" s="16">
        <f t="shared" si="2"/>
        <v>3.065039E-2</v>
      </c>
      <c r="AB9" s="16">
        <f t="shared" si="3"/>
        <v>6.53076E-3</v>
      </c>
      <c r="AC9" s="17">
        <f t="shared" si="7"/>
        <v>2.7612384699999861</v>
      </c>
      <c r="AD9" s="17">
        <f t="shared" si="8"/>
        <v>1.7958538430799658</v>
      </c>
      <c r="AE9" s="17">
        <f t="shared" si="9"/>
        <v>3.3684769732172177</v>
      </c>
      <c r="AF9" s="17">
        <f t="shared" si="4"/>
        <v>2.9456869732172177</v>
      </c>
    </row>
    <row r="10" spans="1:32" x14ac:dyDescent="0.25">
      <c r="A10" s="14">
        <v>8</v>
      </c>
      <c r="B10" s="14" t="s">
        <v>61</v>
      </c>
      <c r="C10" s="14">
        <v>157.5</v>
      </c>
      <c r="D10" s="14">
        <v>3</v>
      </c>
      <c r="E10" s="15">
        <v>-0.41045011999999997</v>
      </c>
      <c r="F10" s="15">
        <v>-0.4204</v>
      </c>
      <c r="G10" s="15">
        <v>9.9498599999999996E-3</v>
      </c>
      <c r="H10" s="15">
        <v>0.57713336000000004</v>
      </c>
      <c r="I10" s="15">
        <v>0.57316668000000004</v>
      </c>
      <c r="J10" s="15">
        <v>3.9666900000000001E-3</v>
      </c>
      <c r="K10" s="18">
        <v>25.86</v>
      </c>
      <c r="L10" s="18">
        <v>25.84</v>
      </c>
      <c r="M10" s="18">
        <v>0.02</v>
      </c>
      <c r="N10" s="15">
        <v>4.6800939999999999E-2</v>
      </c>
      <c r="O10" s="15">
        <v>3.0978189999999999E-2</v>
      </c>
      <c r="P10" s="15">
        <v>1.5822760000000002E-2</v>
      </c>
      <c r="Q10" s="15">
        <v>-1.2158200000000001E-3</v>
      </c>
      <c r="R10" s="15">
        <v>9.1617799999999996E-3</v>
      </c>
      <c r="S10" s="15">
        <v>-1.0377600000000001E-2</v>
      </c>
      <c r="T10" s="14"/>
      <c r="U10" s="15">
        <f t="shared" si="5"/>
        <v>-4.974940000000011E-3</v>
      </c>
      <c r="V10" s="15">
        <f t="shared" si="6"/>
        <v>1.9833400000000001E-3</v>
      </c>
      <c r="W10" s="15"/>
      <c r="X10" s="15"/>
      <c r="Y10" s="16">
        <f t="shared" si="0"/>
        <v>4.6800939999999999E-2</v>
      </c>
      <c r="Z10" s="16">
        <f t="shared" si="1"/>
        <v>-1.2158200000000001E-3</v>
      </c>
      <c r="AA10" s="16">
        <f t="shared" si="2"/>
        <v>3.0978189999999999E-2</v>
      </c>
      <c r="AB10" s="16">
        <f t="shared" si="3"/>
        <v>9.1617799999999996E-3</v>
      </c>
      <c r="AC10" s="17">
        <f t="shared" si="7"/>
        <v>2.6833818883116423</v>
      </c>
      <c r="AD10" s="17">
        <f t="shared" si="8"/>
        <v>1.8512386900168813</v>
      </c>
      <c r="AE10" s="17">
        <f t="shared" si="9"/>
        <v>358.51187412327937</v>
      </c>
      <c r="AF10" s="17">
        <f t="shared" si="4"/>
        <v>358.0914741232794</v>
      </c>
    </row>
    <row r="11" spans="1:32" x14ac:dyDescent="0.25">
      <c r="A11" s="14">
        <v>9</v>
      </c>
      <c r="B11" s="14" t="s">
        <v>61</v>
      </c>
      <c r="C11" s="14">
        <v>180</v>
      </c>
      <c r="D11" s="14">
        <v>5</v>
      </c>
      <c r="E11" s="15">
        <v>-0.41879996000000003</v>
      </c>
      <c r="F11" s="15">
        <v>-0.42334996000000003</v>
      </c>
      <c r="G11" s="15">
        <v>4.5499800000000003E-3</v>
      </c>
      <c r="H11" s="15">
        <v>0.62</v>
      </c>
      <c r="I11" s="15">
        <v>0.62905</v>
      </c>
      <c r="J11" s="15">
        <v>-9.0500100000000007E-3</v>
      </c>
      <c r="K11" s="18">
        <v>24.89</v>
      </c>
      <c r="L11" s="18">
        <v>24.88</v>
      </c>
      <c r="M11" s="18">
        <v>0.01</v>
      </c>
      <c r="N11" s="15">
        <v>4.433057E-2</v>
      </c>
      <c r="O11" s="15">
        <v>3.510742E-2</v>
      </c>
      <c r="P11" s="15">
        <v>9.2231499999999994E-3</v>
      </c>
      <c r="Q11" s="15">
        <v>-3.0654300000000001E-3</v>
      </c>
      <c r="R11" s="15">
        <v>1.2199710000000001E-2</v>
      </c>
      <c r="S11" s="15">
        <v>-1.526514E-2</v>
      </c>
      <c r="T11" s="14"/>
      <c r="U11" s="15">
        <f t="shared" si="5"/>
        <v>-2.2749999999999992E-3</v>
      </c>
      <c r="V11" s="15">
        <f t="shared" si="6"/>
        <v>-4.5250000000000012E-3</v>
      </c>
      <c r="W11" s="15"/>
      <c r="X11" s="15"/>
      <c r="Y11" s="16">
        <f t="shared" si="0"/>
        <v>4.433057E-2</v>
      </c>
      <c r="Z11" s="16">
        <f t="shared" si="1"/>
        <v>-3.0654300000000001E-3</v>
      </c>
      <c r="AA11" s="16">
        <f t="shared" si="2"/>
        <v>3.510742E-2</v>
      </c>
      <c r="AB11" s="16">
        <f t="shared" si="3"/>
        <v>1.2199710000000001E-2</v>
      </c>
      <c r="AC11" s="17">
        <f t="shared" si="7"/>
        <v>2.5468585258781986</v>
      </c>
      <c r="AD11" s="17">
        <f t="shared" si="8"/>
        <v>2.1299858327942203</v>
      </c>
      <c r="AE11" s="17">
        <f t="shared" si="9"/>
        <v>356.04433105119256</v>
      </c>
      <c r="AF11" s="17">
        <f t="shared" si="4"/>
        <v>355.62098109119256</v>
      </c>
    </row>
    <row r="12" spans="1:32" x14ac:dyDescent="0.25">
      <c r="A12" s="14">
        <v>10</v>
      </c>
      <c r="B12" s="14" t="s">
        <v>61</v>
      </c>
      <c r="C12" s="14">
        <v>202.5</v>
      </c>
      <c r="D12" s="14">
        <v>3</v>
      </c>
      <c r="E12" s="15">
        <v>-0.42035</v>
      </c>
      <c r="F12" s="15">
        <v>-0.42468329999999999</v>
      </c>
      <c r="G12" s="15">
        <v>4.3333199999999999E-3</v>
      </c>
      <c r="H12" s="15">
        <v>0.64890009999999998</v>
      </c>
      <c r="I12" s="15">
        <v>0.65020007999999996</v>
      </c>
      <c r="J12" s="15">
        <v>-1.2999800000000001E-3</v>
      </c>
      <c r="K12" s="18">
        <v>24.31</v>
      </c>
      <c r="L12" s="18">
        <v>24.29</v>
      </c>
      <c r="M12" s="18">
        <v>0.02</v>
      </c>
      <c r="N12" s="15">
        <v>4.2602540000000001E-2</v>
      </c>
      <c r="O12" s="15">
        <v>3.852539E-2</v>
      </c>
      <c r="P12" s="15">
        <v>4.0771499999999999E-3</v>
      </c>
      <c r="Q12" s="15">
        <v>-4.02425E-3</v>
      </c>
      <c r="R12" s="15">
        <v>1.364421E-2</v>
      </c>
      <c r="S12" s="15">
        <v>-1.766846E-2</v>
      </c>
      <c r="T12" s="14"/>
      <c r="U12" s="15">
        <f t="shared" si="5"/>
        <v>-2.1666499999999922E-3</v>
      </c>
      <c r="V12" s="15">
        <f t="shared" si="6"/>
        <v>-6.4998999999998919E-4</v>
      </c>
      <c r="W12" s="15"/>
      <c r="X12" s="15"/>
      <c r="Y12" s="16">
        <f t="shared" si="0"/>
        <v>4.2602540000000001E-2</v>
      </c>
      <c r="Z12" s="16">
        <f t="shared" si="1"/>
        <v>-4.02425E-3</v>
      </c>
      <c r="AA12" s="16">
        <f t="shared" si="2"/>
        <v>3.852539E-2</v>
      </c>
      <c r="AB12" s="16">
        <f t="shared" si="3"/>
        <v>1.364421E-2</v>
      </c>
      <c r="AC12" s="17">
        <f t="shared" si="7"/>
        <v>2.4525604316455323</v>
      </c>
      <c r="AD12" s="17">
        <f t="shared" si="8"/>
        <v>2.3423401948415519</v>
      </c>
      <c r="AE12" s="17">
        <f t="shared" si="9"/>
        <v>354.60383328759218</v>
      </c>
      <c r="AF12" s="17">
        <f t="shared" si="4"/>
        <v>354.17914998759215</v>
      </c>
    </row>
    <row r="13" spans="1:32" x14ac:dyDescent="0.25">
      <c r="A13" s="14">
        <v>11</v>
      </c>
      <c r="B13" s="14" t="s">
        <v>61</v>
      </c>
      <c r="C13" s="14">
        <v>225</v>
      </c>
      <c r="D13" s="14">
        <v>4</v>
      </c>
      <c r="E13" s="15">
        <v>-0.41562500000000002</v>
      </c>
      <c r="F13" s="15">
        <v>-0.41703755999999997</v>
      </c>
      <c r="G13" s="15">
        <v>1.4125400000000001E-3</v>
      </c>
      <c r="H13" s="15">
        <v>0.60266249999999999</v>
      </c>
      <c r="I13" s="15">
        <v>0.61340004000000004</v>
      </c>
      <c r="J13" s="15">
        <v>-1.073754E-2</v>
      </c>
      <c r="K13" s="18">
        <v>25.21</v>
      </c>
      <c r="L13" s="18">
        <v>25.18</v>
      </c>
      <c r="M13" s="18">
        <v>0.03</v>
      </c>
      <c r="N13" s="15">
        <v>3.7001949999999999E-2</v>
      </c>
      <c r="O13" s="15">
        <v>4.0464479999999997E-2</v>
      </c>
      <c r="P13" s="15">
        <v>-3.4625300000000001E-3</v>
      </c>
      <c r="Q13" s="15">
        <v>-4.5379599999999997E-3</v>
      </c>
      <c r="R13" s="15">
        <v>1.35376E-2</v>
      </c>
      <c r="S13" s="15">
        <v>-1.8075560000000001E-2</v>
      </c>
      <c r="T13" s="14"/>
      <c r="U13" s="15">
        <f t="shared" si="5"/>
        <v>-7.0627999999997582E-4</v>
      </c>
      <c r="V13" s="15">
        <f t="shared" si="6"/>
        <v>-5.3687700000000227E-3</v>
      </c>
      <c r="W13" s="15"/>
      <c r="X13" s="15"/>
      <c r="Y13" s="16">
        <f t="shared" si="0"/>
        <v>3.7001949999999999E-2</v>
      </c>
      <c r="Z13" s="16">
        <f t="shared" si="1"/>
        <v>-4.5379599999999997E-3</v>
      </c>
      <c r="AA13" s="16">
        <f t="shared" si="2"/>
        <v>4.0464479999999997E-2</v>
      </c>
      <c r="AB13" s="16">
        <f t="shared" si="3"/>
        <v>1.35376E-2</v>
      </c>
      <c r="AC13" s="17">
        <f t="shared" si="7"/>
        <v>2.1364348146661709</v>
      </c>
      <c r="AD13" s="17">
        <f t="shared" si="8"/>
        <v>2.4454941765989635</v>
      </c>
      <c r="AE13" s="17">
        <f t="shared" si="9"/>
        <v>353.00809753595183</v>
      </c>
      <c r="AF13" s="17">
        <f t="shared" si="4"/>
        <v>352.59105997595185</v>
      </c>
    </row>
    <row r="14" spans="1:32" x14ac:dyDescent="0.25">
      <c r="A14" s="14">
        <v>12</v>
      </c>
      <c r="B14" s="14" t="s">
        <v>61</v>
      </c>
      <c r="C14" s="14">
        <v>247.5</v>
      </c>
      <c r="D14" s="14">
        <v>5</v>
      </c>
      <c r="E14" s="15">
        <v>-0.42591995999999999</v>
      </c>
      <c r="F14" s="15">
        <v>-0.42885000000000001</v>
      </c>
      <c r="G14" s="15">
        <v>2.93005E-3</v>
      </c>
      <c r="H14" s="15">
        <v>0.63533989999999996</v>
      </c>
      <c r="I14" s="15">
        <v>0.64846004000000002</v>
      </c>
      <c r="J14" s="15">
        <v>-1.3120110000000001E-2</v>
      </c>
      <c r="K14" s="18">
        <v>24.45</v>
      </c>
      <c r="L14" s="18">
        <v>24.47</v>
      </c>
      <c r="M14" s="18">
        <v>-0.02</v>
      </c>
      <c r="N14" s="15">
        <v>3.496142E-2</v>
      </c>
      <c r="O14" s="15">
        <v>4.4754879999999997E-2</v>
      </c>
      <c r="P14" s="15">
        <v>-9.7934600000000004E-3</v>
      </c>
      <c r="Q14" s="15">
        <v>-2.5561500000000001E-3</v>
      </c>
      <c r="R14" s="15">
        <v>1.269531E-2</v>
      </c>
      <c r="S14" s="15">
        <v>-1.525147E-2</v>
      </c>
      <c r="T14" s="14"/>
      <c r="U14" s="15">
        <f t="shared" si="5"/>
        <v>-1.4650200000000113E-3</v>
      </c>
      <c r="V14" s="15">
        <f t="shared" si="6"/>
        <v>-6.5600700000000289E-3</v>
      </c>
      <c r="W14" s="15"/>
      <c r="X14" s="15"/>
      <c r="Y14" s="16">
        <f t="shared" si="0"/>
        <v>3.496142E-2</v>
      </c>
      <c r="Z14" s="16">
        <f t="shared" si="1"/>
        <v>-2.5561500000000001E-3</v>
      </c>
      <c r="AA14" s="16">
        <f t="shared" si="2"/>
        <v>4.4754879999999997E-2</v>
      </c>
      <c r="AB14" s="16">
        <f t="shared" si="3"/>
        <v>1.269531E-2</v>
      </c>
      <c r="AC14" s="17">
        <f t="shared" si="7"/>
        <v>2.0089002274102352</v>
      </c>
      <c r="AD14" s="17">
        <f t="shared" si="8"/>
        <v>2.6663988234164413</v>
      </c>
      <c r="AE14" s="17">
        <f t="shared" si="9"/>
        <v>355.81834846440881</v>
      </c>
      <c r="AF14" s="17">
        <f t="shared" si="4"/>
        <v>355.3894984644088</v>
      </c>
    </row>
    <row r="15" spans="1:32" x14ac:dyDescent="0.25">
      <c r="A15" s="14">
        <v>13</v>
      </c>
      <c r="B15" s="14" t="s">
        <v>61</v>
      </c>
      <c r="C15" s="14">
        <v>270</v>
      </c>
      <c r="D15" s="14">
        <v>5</v>
      </c>
      <c r="E15" s="15">
        <v>-0.41515999999999997</v>
      </c>
      <c r="F15" s="15">
        <v>-0.41152</v>
      </c>
      <c r="G15" s="15">
        <v>-3.64E-3</v>
      </c>
      <c r="H15" s="15">
        <v>0.5863199</v>
      </c>
      <c r="I15" s="15">
        <v>0.59501000000000004</v>
      </c>
      <c r="J15" s="15">
        <v>-8.6900599999999995E-3</v>
      </c>
      <c r="K15" s="18">
        <v>25.55</v>
      </c>
      <c r="L15" s="18">
        <v>25.52</v>
      </c>
      <c r="M15" s="18">
        <v>0.04</v>
      </c>
      <c r="N15" s="15">
        <v>3.0726079999999999E-2</v>
      </c>
      <c r="O15" s="15">
        <v>4.6058109999999999E-2</v>
      </c>
      <c r="P15" s="15">
        <v>-1.533203E-2</v>
      </c>
      <c r="Q15" s="15">
        <v>-9.1699000000000001E-4</v>
      </c>
      <c r="R15" s="15">
        <v>9.4374999999999997E-3</v>
      </c>
      <c r="S15" s="15">
        <v>-1.0354489999999999E-2</v>
      </c>
      <c r="T15" s="14"/>
      <c r="U15" s="15">
        <f t="shared" si="5"/>
        <v>1.8199999999999883E-3</v>
      </c>
      <c r="V15" s="15">
        <f t="shared" si="6"/>
        <v>-4.345050000000017E-3</v>
      </c>
      <c r="W15" s="15"/>
      <c r="X15" s="15"/>
      <c r="Y15" s="16">
        <f t="shared" si="0"/>
        <v>3.0726079999999999E-2</v>
      </c>
      <c r="Z15" s="16">
        <f t="shared" si="1"/>
        <v>-9.1699000000000001E-4</v>
      </c>
      <c r="AA15" s="16">
        <f t="shared" si="2"/>
        <v>4.6058109999999999E-2</v>
      </c>
      <c r="AB15" s="16">
        <f t="shared" si="3"/>
        <v>9.4374999999999997E-3</v>
      </c>
      <c r="AC15" s="17">
        <f t="shared" si="7"/>
        <v>1.7615360245148863</v>
      </c>
      <c r="AD15" s="17">
        <f t="shared" si="8"/>
        <v>2.6947579120358429</v>
      </c>
      <c r="AE15" s="17">
        <f t="shared" si="9"/>
        <v>358.29057052649995</v>
      </c>
      <c r="AF15" s="17">
        <f t="shared" si="4"/>
        <v>357.87905052649995</v>
      </c>
    </row>
    <row r="16" spans="1:32" x14ac:dyDescent="0.25">
      <c r="A16" s="14">
        <v>14</v>
      </c>
      <c r="B16" s="14" t="s">
        <v>61</v>
      </c>
      <c r="C16" s="14">
        <v>292.5</v>
      </c>
      <c r="D16" s="14">
        <v>7</v>
      </c>
      <c r="E16" s="15">
        <v>-0.42812139999999999</v>
      </c>
      <c r="F16" s="15">
        <v>-0.42459279999999999</v>
      </c>
      <c r="G16" s="15">
        <v>-3.52857E-3</v>
      </c>
      <c r="H16" s="15">
        <v>0.64625710000000003</v>
      </c>
      <c r="I16" s="15">
        <v>0.65312150000000002</v>
      </c>
      <c r="J16" s="15">
        <v>-6.8643699999999998E-3</v>
      </c>
      <c r="K16" s="18">
        <v>24.26</v>
      </c>
      <c r="L16" s="18">
        <v>24.26</v>
      </c>
      <c r="M16" s="18">
        <v>0</v>
      </c>
      <c r="N16" s="15">
        <v>3.131138E-2</v>
      </c>
      <c r="O16" s="15">
        <v>4.9605539999999997E-2</v>
      </c>
      <c r="P16" s="15">
        <v>-1.829416E-2</v>
      </c>
      <c r="Q16" s="15">
        <v>3.5334099999999998E-3</v>
      </c>
      <c r="R16" s="15">
        <v>6.9161600000000002E-3</v>
      </c>
      <c r="S16" s="15">
        <v>-3.38274E-3</v>
      </c>
      <c r="T16" s="14"/>
      <c r="U16" s="15">
        <f t="shared" si="5"/>
        <v>1.7642999999999964E-3</v>
      </c>
      <c r="V16" s="15">
        <f t="shared" si="6"/>
        <v>-3.4321999999999964E-3</v>
      </c>
      <c r="W16" s="15"/>
      <c r="X16" s="15"/>
      <c r="Y16" s="16">
        <f t="shared" si="0"/>
        <v>3.131138E-2</v>
      </c>
      <c r="Z16" s="16">
        <f t="shared" si="1"/>
        <v>3.5334099999999998E-3</v>
      </c>
      <c r="AA16" s="16">
        <f t="shared" si="2"/>
        <v>4.9605539999999997E-2</v>
      </c>
      <c r="AB16" s="16">
        <f t="shared" si="3"/>
        <v>6.9161600000000002E-3</v>
      </c>
      <c r="AC16" s="17">
        <f t="shared" si="7"/>
        <v>1.8056956365582044</v>
      </c>
      <c r="AD16" s="17">
        <f t="shared" si="8"/>
        <v>2.870880646095967</v>
      </c>
      <c r="AE16" s="17">
        <f t="shared" si="9"/>
        <v>6.4384456889638084</v>
      </c>
      <c r="AF16" s="17">
        <f t="shared" si="4"/>
        <v>6.0138528889638083</v>
      </c>
    </row>
    <row r="17" spans="1:32" x14ac:dyDescent="0.25">
      <c r="A17" s="14">
        <v>15</v>
      </c>
      <c r="B17" s="14" t="s">
        <v>61</v>
      </c>
      <c r="C17" s="14">
        <v>315</v>
      </c>
      <c r="D17" s="14">
        <v>6</v>
      </c>
      <c r="E17" s="15">
        <v>-0.42254175999999999</v>
      </c>
      <c r="F17" s="15">
        <v>-0.41697499999999998</v>
      </c>
      <c r="G17" s="15">
        <v>-5.5667499999999996E-3</v>
      </c>
      <c r="H17" s="15">
        <v>0.61595829999999996</v>
      </c>
      <c r="I17" s="15">
        <v>0.62288339999999998</v>
      </c>
      <c r="J17" s="15">
        <v>-6.9251099999999999E-3</v>
      </c>
      <c r="K17" s="18">
        <v>25</v>
      </c>
      <c r="L17" s="18">
        <v>24.99</v>
      </c>
      <c r="M17" s="18">
        <v>0.01</v>
      </c>
      <c r="N17" s="15">
        <v>3.069214E-2</v>
      </c>
      <c r="O17" s="15">
        <v>4.8316240000000003E-2</v>
      </c>
      <c r="P17" s="15">
        <v>-1.76241E-2</v>
      </c>
      <c r="Q17" s="15">
        <v>6.54012E-3</v>
      </c>
      <c r="R17" s="15">
        <v>2.9443400000000002E-3</v>
      </c>
      <c r="S17" s="15">
        <v>3.5957799999999998E-3</v>
      </c>
      <c r="T17" s="14"/>
      <c r="U17" s="15">
        <f t="shared" si="5"/>
        <v>2.783380000000002E-3</v>
      </c>
      <c r="V17" s="15">
        <f t="shared" si="6"/>
        <v>-3.4625500000000087E-3</v>
      </c>
      <c r="W17" s="15"/>
      <c r="X17" s="15"/>
      <c r="Y17" s="16">
        <f t="shared" si="0"/>
        <v>3.069214E-2</v>
      </c>
      <c r="Z17" s="16">
        <f t="shared" si="1"/>
        <v>6.54012E-3</v>
      </c>
      <c r="AA17" s="16">
        <f t="shared" si="2"/>
        <v>4.8316240000000003E-2</v>
      </c>
      <c r="AB17" s="16">
        <f t="shared" si="3"/>
        <v>2.9443400000000002E-3</v>
      </c>
      <c r="AC17" s="17">
        <f t="shared" si="7"/>
        <v>1.7983063890163453</v>
      </c>
      <c r="AD17" s="17">
        <f t="shared" si="8"/>
        <v>2.7745362522587742</v>
      </c>
      <c r="AE17" s="17">
        <f t="shared" si="9"/>
        <v>12.02911777310268</v>
      </c>
      <c r="AF17" s="17">
        <f t="shared" si="4"/>
        <v>11.612142773102679</v>
      </c>
    </row>
    <row r="18" spans="1:32" x14ac:dyDescent="0.25">
      <c r="A18" s="14">
        <v>16</v>
      </c>
      <c r="B18" s="14" t="s">
        <v>61</v>
      </c>
      <c r="C18" s="14">
        <v>337.5</v>
      </c>
      <c r="D18" s="14">
        <v>2</v>
      </c>
      <c r="E18" s="15">
        <v>-0.41382508000000001</v>
      </c>
      <c r="F18" s="15">
        <v>-0.40864995999999998</v>
      </c>
      <c r="G18" s="15">
        <v>-5.1751100000000001E-3</v>
      </c>
      <c r="H18" s="15">
        <v>0.61187508000000002</v>
      </c>
      <c r="I18" s="15">
        <v>0.6139251</v>
      </c>
      <c r="J18" s="15">
        <v>-2.0500399999999999E-3</v>
      </c>
      <c r="K18" s="18">
        <v>25.23</v>
      </c>
      <c r="L18" s="18">
        <v>25.21</v>
      </c>
      <c r="M18" s="18">
        <v>0.01</v>
      </c>
      <c r="N18" s="15">
        <v>3.1688229999999998E-2</v>
      </c>
      <c r="O18" s="15">
        <v>4.8048090000000002E-2</v>
      </c>
      <c r="P18" s="15">
        <v>-1.635986E-2</v>
      </c>
      <c r="Q18" s="15">
        <v>9.3542499999999997E-3</v>
      </c>
      <c r="R18" s="15">
        <v>-5.7983000000000004E-4</v>
      </c>
      <c r="S18" s="15">
        <v>9.9340799999999996E-3</v>
      </c>
      <c r="T18" s="14"/>
      <c r="U18" s="15">
        <f t="shared" si="5"/>
        <v>2.5875600000000165E-3</v>
      </c>
      <c r="V18" s="15">
        <f t="shared" si="6"/>
        <v>-1.0250099999999929E-3</v>
      </c>
      <c r="W18" s="15"/>
      <c r="X18" s="15"/>
      <c r="Y18" s="16">
        <f t="shared" si="0"/>
        <v>3.1688229999999998E-2</v>
      </c>
      <c r="Z18" s="16">
        <f t="shared" si="1"/>
        <v>9.3542499999999997E-3</v>
      </c>
      <c r="AA18" s="16">
        <f t="shared" si="2"/>
        <v>4.8048090000000002E-2</v>
      </c>
      <c r="AB18" s="16">
        <f t="shared" si="3"/>
        <v>-5.7983000000000004E-4</v>
      </c>
      <c r="AC18" s="17">
        <f t="shared" si="7"/>
        <v>1.89340088911777</v>
      </c>
      <c r="AD18" s="17">
        <f t="shared" si="8"/>
        <v>2.7542138057232468</v>
      </c>
      <c r="AE18" s="17">
        <f t="shared" si="9"/>
        <v>16.44640832142116</v>
      </c>
      <c r="AF18" s="17">
        <f t="shared" si="4"/>
        <v>16.037758361421162</v>
      </c>
    </row>
    <row r="19" spans="1:32" x14ac:dyDescent="0.25">
      <c r="A19" s="24">
        <v>17</v>
      </c>
      <c r="B19" s="24" t="s">
        <v>62</v>
      </c>
      <c r="C19" s="24">
        <v>0</v>
      </c>
      <c r="D19" s="24">
        <v>9</v>
      </c>
      <c r="E19" s="25">
        <v>-0.42306663999999999</v>
      </c>
      <c r="F19" s="25">
        <v>-0.42062223999999998</v>
      </c>
      <c r="G19" s="25">
        <v>-2.4443899999999998E-3</v>
      </c>
      <c r="H19" s="25">
        <v>0.62208324000000004</v>
      </c>
      <c r="I19" s="25">
        <v>0.62500007999999996</v>
      </c>
      <c r="J19" s="25">
        <v>-2.9168100000000001E-3</v>
      </c>
      <c r="K19" s="26">
        <v>24.82</v>
      </c>
      <c r="L19" s="26">
        <v>24.82</v>
      </c>
      <c r="M19" s="26">
        <v>-0.01</v>
      </c>
      <c r="N19" s="25">
        <v>3.4584959999999998E-2</v>
      </c>
      <c r="O19" s="25">
        <v>4.5269919999999998E-2</v>
      </c>
      <c r="P19" s="25">
        <v>-1.068496E-2</v>
      </c>
      <c r="Q19" s="25">
        <v>1.216309E-2</v>
      </c>
      <c r="R19" s="25">
        <v>-2.97635E-3</v>
      </c>
      <c r="S19" s="25">
        <v>1.5139430000000001E-2</v>
      </c>
      <c r="T19" s="24"/>
      <c r="U19" s="25">
        <f t="shared" si="5"/>
        <v>1.2222000000000066E-3</v>
      </c>
      <c r="V19" s="25">
        <f t="shared" si="6"/>
        <v>-1.4584199999999603E-3</v>
      </c>
      <c r="W19" s="25"/>
      <c r="X19" s="25"/>
      <c r="Y19" s="27">
        <f t="shared" si="0"/>
        <v>3.4584959999999998E-2</v>
      </c>
      <c r="Z19" s="27">
        <f t="shared" si="1"/>
        <v>1.216309E-2</v>
      </c>
      <c r="AA19" s="27">
        <f t="shared" si="2"/>
        <v>4.5269919999999998E-2</v>
      </c>
      <c r="AB19" s="27">
        <f t="shared" si="3"/>
        <v>-2.97635E-3</v>
      </c>
      <c r="AC19" s="28">
        <f t="shared" ref="AC19:AC34" si="10">IF(Y19="","",DEGREES(ASIN(SQRT(Y19^2+Z19^2))))</f>
        <v>2.1010158557622192</v>
      </c>
      <c r="AD19" s="28">
        <f t="shared" ref="AD19:AD34" si="11">IF(AA19="","",DEGREES(ASIN(SQRT(AA19^2+AB19^2))))</f>
        <v>2.6002677914202659</v>
      </c>
      <c r="AE19" s="28">
        <f t="shared" ref="AE19:AE34" si="12">IF(Y19="","",MOD(DEGREES(ATAN2(Y19,Z19)),360))</f>
        <v>19.376123965702075</v>
      </c>
      <c r="AF19" s="28">
        <f t="shared" si="4"/>
        <v>18.955501725702074</v>
      </c>
    </row>
    <row r="20" spans="1:32" x14ac:dyDescent="0.25">
      <c r="A20" s="14">
        <v>18</v>
      </c>
      <c r="B20" s="14" t="s">
        <v>62</v>
      </c>
      <c r="C20" s="14">
        <v>22.5</v>
      </c>
      <c r="D20" s="14">
        <v>4</v>
      </c>
      <c r="E20" s="15">
        <v>-0.42078749999999998</v>
      </c>
      <c r="F20" s="15">
        <v>-0.41637508000000001</v>
      </c>
      <c r="G20" s="15">
        <v>-4.4124400000000001E-3</v>
      </c>
      <c r="H20" s="15">
        <v>0.600325</v>
      </c>
      <c r="I20" s="15">
        <v>0.59761249999999999</v>
      </c>
      <c r="J20" s="15">
        <v>2.7124900000000001E-3</v>
      </c>
      <c r="K20" s="18">
        <v>25.4</v>
      </c>
      <c r="L20" s="18">
        <v>25.41</v>
      </c>
      <c r="M20" s="18">
        <v>0</v>
      </c>
      <c r="N20" s="15">
        <v>3.6969000000000002E-2</v>
      </c>
      <c r="O20" s="15">
        <v>4.0758059999999999E-2</v>
      </c>
      <c r="P20" s="15">
        <v>-3.7890599999999999E-3</v>
      </c>
      <c r="Q20" s="15">
        <v>1.3391109999999999E-2</v>
      </c>
      <c r="R20" s="15">
        <v>-4.8394800000000002E-3</v>
      </c>
      <c r="S20" s="15">
        <v>1.8230590000000001E-2</v>
      </c>
      <c r="T20" s="14"/>
      <c r="U20" s="15">
        <f t="shared" si="5"/>
        <v>2.2062099999999862E-3</v>
      </c>
      <c r="V20" s="15">
        <f t="shared" si="6"/>
        <v>1.3562500000000033E-3</v>
      </c>
      <c r="W20" s="15"/>
      <c r="X20" s="15"/>
      <c r="Y20" s="16">
        <f t="shared" si="0"/>
        <v>3.6969000000000002E-2</v>
      </c>
      <c r="Z20" s="16">
        <f t="shared" si="1"/>
        <v>1.3391109999999999E-2</v>
      </c>
      <c r="AA20" s="16">
        <f t="shared" si="2"/>
        <v>4.0758059999999999E-2</v>
      </c>
      <c r="AB20" s="16">
        <f t="shared" si="3"/>
        <v>-4.8394800000000002E-3</v>
      </c>
      <c r="AC20" s="17">
        <f t="shared" si="10"/>
        <v>2.2534264594522759</v>
      </c>
      <c r="AD20" s="17">
        <f t="shared" si="11"/>
        <v>2.3523297604134266</v>
      </c>
      <c r="AE20" s="17">
        <f t="shared" si="12"/>
        <v>19.911672245774046</v>
      </c>
      <c r="AF20" s="17">
        <f t="shared" si="4"/>
        <v>19.495297165774044</v>
      </c>
    </row>
    <row r="21" spans="1:32" x14ac:dyDescent="0.25">
      <c r="A21" s="14">
        <v>19</v>
      </c>
      <c r="B21" s="14" t="s">
        <v>62</v>
      </c>
      <c r="C21" s="14">
        <v>45</v>
      </c>
      <c r="D21" s="14">
        <v>1</v>
      </c>
      <c r="E21" s="15">
        <v>-0.41095009999999998</v>
      </c>
      <c r="F21" s="15">
        <v>-0.40595012000000003</v>
      </c>
      <c r="G21" s="15">
        <v>-4.9999700000000003E-3</v>
      </c>
      <c r="H21" s="15">
        <v>0.53795020000000005</v>
      </c>
      <c r="I21" s="15">
        <v>0.54435016000000003</v>
      </c>
      <c r="J21" s="15">
        <v>-6.3999299999999999E-3</v>
      </c>
      <c r="K21" s="18">
        <v>26.59</v>
      </c>
      <c r="L21" s="18">
        <v>26.6</v>
      </c>
      <c r="M21" s="18">
        <v>-0.01</v>
      </c>
      <c r="N21" s="15">
        <v>3.8784180000000001E-2</v>
      </c>
      <c r="O21" s="15">
        <v>3.6159669999999998E-2</v>
      </c>
      <c r="P21" s="15">
        <v>2.62451E-3</v>
      </c>
      <c r="Q21" s="15">
        <v>1.238037E-2</v>
      </c>
      <c r="R21" s="15">
        <v>-5.8569299999999998E-3</v>
      </c>
      <c r="S21" s="15">
        <v>1.8237300000000001E-2</v>
      </c>
      <c r="T21" s="14"/>
      <c r="U21" s="15">
        <f t="shared" si="5"/>
        <v>2.4999899999999797E-3</v>
      </c>
      <c r="V21" s="15">
        <f t="shared" si="6"/>
        <v>-3.1999799999999912E-3</v>
      </c>
      <c r="W21" s="15"/>
      <c r="X21" s="15"/>
      <c r="Y21" s="16">
        <f t="shared" si="0"/>
        <v>3.8784180000000001E-2</v>
      </c>
      <c r="Z21" s="16">
        <f t="shared" si="1"/>
        <v>1.238037E-2</v>
      </c>
      <c r="AA21" s="16">
        <f t="shared" si="2"/>
        <v>3.6159669999999998E-2</v>
      </c>
      <c r="AB21" s="16">
        <f t="shared" si="3"/>
        <v>-5.8569299999999998E-3</v>
      </c>
      <c r="AC21" s="17">
        <f t="shared" si="10"/>
        <v>2.3332841783937597</v>
      </c>
      <c r="AD21" s="17">
        <f t="shared" si="11"/>
        <v>2.0992676010966078</v>
      </c>
      <c r="AE21" s="17">
        <f t="shared" si="12"/>
        <v>17.703699409315448</v>
      </c>
      <c r="AF21" s="17">
        <f t="shared" si="4"/>
        <v>17.297749289315448</v>
      </c>
    </row>
    <row r="22" spans="1:32" x14ac:dyDescent="0.25">
      <c r="A22" s="14">
        <v>20</v>
      </c>
      <c r="B22" s="14" t="s">
        <v>62</v>
      </c>
      <c r="C22" s="14">
        <v>67.5</v>
      </c>
      <c r="D22" s="14">
        <v>4</v>
      </c>
      <c r="E22" s="15">
        <v>-0.42135</v>
      </c>
      <c r="F22" s="15">
        <v>-0.41576239999999998</v>
      </c>
      <c r="G22" s="15">
        <v>-5.58758E-3</v>
      </c>
      <c r="H22" s="15">
        <v>0.63773760000000002</v>
      </c>
      <c r="I22" s="15">
        <v>0.63121260000000001</v>
      </c>
      <c r="J22" s="15">
        <v>6.5249799999999997E-3</v>
      </c>
      <c r="K22" s="18">
        <v>24.58</v>
      </c>
      <c r="L22" s="18">
        <v>24.59</v>
      </c>
      <c r="M22" s="18">
        <v>0</v>
      </c>
      <c r="N22" s="15">
        <v>4.4953E-2</v>
      </c>
      <c r="O22" s="15">
        <v>3.6171259999999997E-2</v>
      </c>
      <c r="P22" s="15">
        <v>8.7817399999999997E-3</v>
      </c>
      <c r="Q22" s="15">
        <v>1.224243E-2</v>
      </c>
      <c r="R22" s="15">
        <v>-2.84424E-3</v>
      </c>
      <c r="S22" s="15">
        <v>1.508667E-2</v>
      </c>
      <c r="T22" s="14"/>
      <c r="U22" s="15">
        <f t="shared" si="5"/>
        <v>2.7938000000000129E-3</v>
      </c>
      <c r="V22" s="15">
        <f t="shared" si="6"/>
        <v>3.2625000000000015E-3</v>
      </c>
      <c r="W22" s="15"/>
      <c r="X22" s="15"/>
      <c r="Y22" s="16">
        <f t="shared" si="0"/>
        <v>4.4953E-2</v>
      </c>
      <c r="Z22" s="16">
        <f t="shared" si="1"/>
        <v>1.224243E-2</v>
      </c>
      <c r="AA22" s="16">
        <f t="shared" si="2"/>
        <v>3.6171259999999997E-2</v>
      </c>
      <c r="AB22" s="16">
        <f t="shared" si="3"/>
        <v>-2.84424E-3</v>
      </c>
      <c r="AC22" s="17">
        <f t="shared" si="10"/>
        <v>2.6703900789075821</v>
      </c>
      <c r="AD22" s="17">
        <f t="shared" si="11"/>
        <v>2.0793141529653338</v>
      </c>
      <c r="AE22" s="17">
        <f t="shared" si="12"/>
        <v>15.23438066531021</v>
      </c>
      <c r="AF22" s="17">
        <f t="shared" si="4"/>
        <v>14.81861826531021</v>
      </c>
    </row>
    <row r="23" spans="1:32" x14ac:dyDescent="0.25">
      <c r="A23" s="14">
        <v>21</v>
      </c>
      <c r="B23" s="14" t="s">
        <v>62</v>
      </c>
      <c r="C23" s="14">
        <v>90</v>
      </c>
      <c r="D23" s="14">
        <v>5</v>
      </c>
      <c r="E23" s="15">
        <v>-0.41819000000000001</v>
      </c>
      <c r="F23" s="15">
        <v>-0.42233999999999999</v>
      </c>
      <c r="G23" s="15">
        <v>4.1499700000000002E-3</v>
      </c>
      <c r="H23" s="15">
        <v>0.63405990000000001</v>
      </c>
      <c r="I23" s="15">
        <v>0.62931990000000004</v>
      </c>
      <c r="J23" s="15">
        <v>4.7400000000000003E-3</v>
      </c>
      <c r="K23" s="18">
        <v>24.71</v>
      </c>
      <c r="L23" s="18">
        <v>24.69</v>
      </c>
      <c r="M23" s="18">
        <v>0.02</v>
      </c>
      <c r="N23" s="15">
        <v>4.7456539999999998E-2</v>
      </c>
      <c r="O23" s="15">
        <v>3.1860840000000001E-2</v>
      </c>
      <c r="P23" s="15">
        <v>1.5595700000000001E-2</v>
      </c>
      <c r="Q23" s="15">
        <v>9.9814399999999994E-3</v>
      </c>
      <c r="R23" s="15">
        <v>-4.5947000000000002E-4</v>
      </c>
      <c r="S23" s="15">
        <v>1.0440919999999999E-2</v>
      </c>
      <c r="T23" s="14"/>
      <c r="U23" s="15">
        <f t="shared" si="5"/>
        <v>-2.0749999999999935E-3</v>
      </c>
      <c r="V23" s="15">
        <f t="shared" si="6"/>
        <v>2.3699999999999832E-3</v>
      </c>
      <c r="W23" s="15"/>
      <c r="X23" s="15"/>
      <c r="Y23" s="16">
        <f t="shared" si="0"/>
        <v>4.7456539999999998E-2</v>
      </c>
      <c r="Z23" s="16">
        <f t="shared" si="1"/>
        <v>9.9814399999999994E-3</v>
      </c>
      <c r="AA23" s="16">
        <f t="shared" si="2"/>
        <v>3.1860840000000001E-2</v>
      </c>
      <c r="AB23" s="16">
        <f t="shared" si="3"/>
        <v>-4.5947000000000002E-4</v>
      </c>
      <c r="AC23" s="17">
        <f t="shared" si="10"/>
        <v>2.7796415615648131</v>
      </c>
      <c r="AD23" s="17">
        <f t="shared" si="11"/>
        <v>1.8259905616173926</v>
      </c>
      <c r="AE23" s="17">
        <f t="shared" si="12"/>
        <v>11.877778170218237</v>
      </c>
      <c r="AF23" s="17">
        <f t="shared" si="4"/>
        <v>11.455438170218237</v>
      </c>
    </row>
    <row r="24" spans="1:32" x14ac:dyDescent="0.25">
      <c r="A24" s="14">
        <v>22</v>
      </c>
      <c r="B24" s="14" t="s">
        <v>62</v>
      </c>
      <c r="C24" s="14">
        <v>112.5</v>
      </c>
      <c r="D24" s="14">
        <v>8</v>
      </c>
      <c r="E24" s="15">
        <v>-0.41841255999999999</v>
      </c>
      <c r="F24" s="15">
        <v>-0.41916880000000001</v>
      </c>
      <c r="G24" s="15">
        <v>7.5622999999999999E-4</v>
      </c>
      <c r="H24" s="15">
        <v>0.62884379999999995</v>
      </c>
      <c r="I24" s="15">
        <v>0.61586876000000002</v>
      </c>
      <c r="J24" s="15">
        <v>1.297504E-2</v>
      </c>
      <c r="K24" s="18">
        <v>24.88</v>
      </c>
      <c r="L24" s="18">
        <v>24.88</v>
      </c>
      <c r="M24" s="18">
        <v>0</v>
      </c>
      <c r="N24" s="15">
        <v>4.8653559999999998E-2</v>
      </c>
      <c r="O24" s="15">
        <v>3.1628110000000001E-2</v>
      </c>
      <c r="P24" s="15">
        <v>1.7025459999999999E-2</v>
      </c>
      <c r="Q24" s="15">
        <v>6.5380899999999999E-3</v>
      </c>
      <c r="R24" s="15">
        <v>2.32971E-3</v>
      </c>
      <c r="S24" s="15">
        <v>4.2083700000000003E-3</v>
      </c>
      <c r="T24" s="14"/>
      <c r="U24" s="15">
        <f t="shared" si="5"/>
        <v>-3.7812000000000956E-4</v>
      </c>
      <c r="V24" s="15">
        <f t="shared" si="6"/>
        <v>6.4875199999999689E-3</v>
      </c>
      <c r="W24" s="15"/>
      <c r="X24" s="15"/>
      <c r="Y24" s="16">
        <f t="shared" si="0"/>
        <v>4.8653559999999998E-2</v>
      </c>
      <c r="Z24" s="16">
        <f t="shared" si="1"/>
        <v>6.5380899999999999E-3</v>
      </c>
      <c r="AA24" s="16">
        <f t="shared" si="2"/>
        <v>3.1628110000000001E-2</v>
      </c>
      <c r="AB24" s="16">
        <f t="shared" si="3"/>
        <v>2.32971E-3</v>
      </c>
      <c r="AC24" s="17">
        <f t="shared" si="10"/>
        <v>2.8138317886666662</v>
      </c>
      <c r="AD24" s="17">
        <f t="shared" si="11"/>
        <v>1.8173714222188815</v>
      </c>
      <c r="AE24" s="17">
        <f t="shared" si="12"/>
        <v>7.6535858127094469</v>
      </c>
      <c r="AF24" s="17">
        <f t="shared" si="4"/>
        <v>7.2344170127094465</v>
      </c>
    </row>
    <row r="25" spans="1:32" x14ac:dyDescent="0.25">
      <c r="A25" s="14">
        <v>23</v>
      </c>
      <c r="B25" s="14" t="s">
        <v>62</v>
      </c>
      <c r="C25" s="14">
        <v>135</v>
      </c>
      <c r="D25" s="14">
        <v>2</v>
      </c>
      <c r="E25" s="15">
        <v>-0.40632484000000002</v>
      </c>
      <c r="F25" s="15">
        <v>-0.41879991999999999</v>
      </c>
      <c r="G25" s="15">
        <v>1.247507E-2</v>
      </c>
      <c r="H25" s="15">
        <v>0.59410008000000003</v>
      </c>
      <c r="I25" s="15">
        <v>0.60034989999999999</v>
      </c>
      <c r="J25" s="15">
        <v>-6.2498400000000004E-3</v>
      </c>
      <c r="K25" s="18">
        <v>25.44</v>
      </c>
      <c r="L25" s="18">
        <v>25.43</v>
      </c>
      <c r="M25" s="18">
        <v>0.01</v>
      </c>
      <c r="N25" s="15">
        <v>4.880371E-2</v>
      </c>
      <c r="O25" s="15">
        <v>2.9665529999999999E-2</v>
      </c>
      <c r="P25" s="15">
        <v>1.9138180000000001E-2</v>
      </c>
      <c r="Q25" s="15">
        <v>2.06055E-3</v>
      </c>
      <c r="R25" s="15">
        <v>5.9912100000000003E-3</v>
      </c>
      <c r="S25" s="15">
        <v>-3.9306599999999999E-3</v>
      </c>
      <c r="T25" s="14"/>
      <c r="U25" s="15">
        <f t="shared" si="5"/>
        <v>-6.2375399999999859E-3</v>
      </c>
      <c r="V25" s="15">
        <f t="shared" si="6"/>
        <v>-3.1249099999999808E-3</v>
      </c>
      <c r="W25" s="15"/>
      <c r="X25" s="15"/>
      <c r="Y25" s="16">
        <f t="shared" si="0"/>
        <v>4.880371E-2</v>
      </c>
      <c r="Z25" s="16">
        <f t="shared" si="1"/>
        <v>2.06055E-3</v>
      </c>
      <c r="AA25" s="16">
        <f t="shared" si="2"/>
        <v>2.9665529999999999E-2</v>
      </c>
      <c r="AB25" s="16">
        <f t="shared" si="3"/>
        <v>5.9912100000000003E-3</v>
      </c>
      <c r="AC25" s="17">
        <f t="shared" si="10"/>
        <v>2.7998520149672781</v>
      </c>
      <c r="AD25" s="17">
        <f t="shared" si="11"/>
        <v>1.7342913360638565</v>
      </c>
      <c r="AE25" s="17">
        <f t="shared" si="12"/>
        <v>2.4176592432737034</v>
      </c>
      <c r="AF25" s="17">
        <f t="shared" si="4"/>
        <v>1.9988593232737033</v>
      </c>
    </row>
    <row r="26" spans="1:32" x14ac:dyDescent="0.25">
      <c r="A26" s="14">
        <v>24</v>
      </c>
      <c r="B26" s="14" t="s">
        <v>62</v>
      </c>
      <c r="C26" s="14">
        <v>157.5</v>
      </c>
      <c r="D26" s="14">
        <v>4</v>
      </c>
      <c r="E26" s="15">
        <v>-0.41096260000000001</v>
      </c>
      <c r="F26" s="15">
        <v>-0.40886252000000001</v>
      </c>
      <c r="G26" s="15">
        <v>-2.1000799999999998E-3</v>
      </c>
      <c r="H26" s="15">
        <v>0.56837510000000002</v>
      </c>
      <c r="I26" s="15">
        <v>0.56288760000000004</v>
      </c>
      <c r="J26" s="15">
        <v>5.4875000000000002E-3</v>
      </c>
      <c r="K26" s="18">
        <v>26.1</v>
      </c>
      <c r="L26" s="18">
        <v>26.12</v>
      </c>
      <c r="M26" s="18">
        <v>-0.02</v>
      </c>
      <c r="N26" s="15">
        <v>4.665528E-2</v>
      </c>
      <c r="O26" s="15">
        <v>3.1073610000000002E-2</v>
      </c>
      <c r="P26" s="15">
        <v>1.5581670000000001E-2</v>
      </c>
      <c r="Q26" s="15">
        <v>-1.3256800000000001E-3</v>
      </c>
      <c r="R26" s="15">
        <v>8.8494899999999998E-3</v>
      </c>
      <c r="S26" s="15">
        <v>-1.0175170000000001E-2</v>
      </c>
      <c r="T26" s="14"/>
      <c r="U26" s="15">
        <f t="shared" si="5"/>
        <v>1.0500400000000021E-3</v>
      </c>
      <c r="V26" s="15">
        <f t="shared" si="6"/>
        <v>2.7437499999999893E-3</v>
      </c>
      <c r="W26" s="15"/>
      <c r="X26" s="15"/>
      <c r="Y26" s="16">
        <f t="shared" si="0"/>
        <v>4.665528E-2</v>
      </c>
      <c r="Z26" s="16">
        <f t="shared" si="1"/>
        <v>-1.3256800000000001E-3</v>
      </c>
      <c r="AA26" s="16">
        <f t="shared" si="2"/>
        <v>3.1073610000000002E-2</v>
      </c>
      <c r="AB26" s="16">
        <f t="shared" si="3"/>
        <v>8.8494899999999998E-3</v>
      </c>
      <c r="AC26" s="17">
        <f t="shared" si="10"/>
        <v>2.6752014460711249</v>
      </c>
      <c r="AD26" s="17">
        <f t="shared" si="11"/>
        <v>1.8515015187382353</v>
      </c>
      <c r="AE26" s="17">
        <f t="shared" si="12"/>
        <v>358.37241492850598</v>
      </c>
      <c r="AF26" s="17">
        <f t="shared" si="4"/>
        <v>357.96355240850596</v>
      </c>
    </row>
    <row r="27" spans="1:32" x14ac:dyDescent="0.25">
      <c r="A27" s="14">
        <v>25</v>
      </c>
      <c r="B27" s="14" t="s">
        <v>62</v>
      </c>
      <c r="C27" s="14">
        <v>180</v>
      </c>
      <c r="D27" s="14">
        <v>5</v>
      </c>
      <c r="E27" s="15">
        <v>-0.41715989999999997</v>
      </c>
      <c r="F27" s="15">
        <v>-0.42192000000000002</v>
      </c>
      <c r="G27" s="15">
        <v>4.7601199999999996E-3</v>
      </c>
      <c r="H27" s="15">
        <v>0.61819000000000002</v>
      </c>
      <c r="I27" s="15">
        <v>0.62025003999999995</v>
      </c>
      <c r="J27" s="15">
        <v>-2.0600599999999998E-3</v>
      </c>
      <c r="K27" s="18">
        <v>24.93</v>
      </c>
      <c r="L27" s="18">
        <v>24.91</v>
      </c>
      <c r="M27" s="18">
        <v>0.02</v>
      </c>
      <c r="N27" s="15">
        <v>4.4271970000000001E-2</v>
      </c>
      <c r="O27" s="15">
        <v>3.495703E-2</v>
      </c>
      <c r="P27" s="15">
        <v>9.3149400000000007E-3</v>
      </c>
      <c r="Q27" s="15">
        <v>-2.73193E-3</v>
      </c>
      <c r="R27" s="15">
        <v>1.2257809999999999E-2</v>
      </c>
      <c r="S27" s="15">
        <v>-1.498975E-2</v>
      </c>
      <c r="T27" s="14"/>
      <c r="U27" s="15">
        <f t="shared" si="5"/>
        <v>-2.3800500000000224E-3</v>
      </c>
      <c r="V27" s="15">
        <f t="shared" si="6"/>
        <v>-1.0300199999999649E-3</v>
      </c>
      <c r="W27" s="15"/>
      <c r="X27" s="15"/>
      <c r="Y27" s="16">
        <f t="shared" si="0"/>
        <v>4.4271970000000001E-2</v>
      </c>
      <c r="Z27" s="16">
        <f t="shared" si="1"/>
        <v>-2.73193E-3</v>
      </c>
      <c r="AA27" s="16">
        <f t="shared" si="2"/>
        <v>3.495703E-2</v>
      </c>
      <c r="AB27" s="16">
        <f t="shared" si="3"/>
        <v>1.2257809999999999E-2</v>
      </c>
      <c r="AC27" s="17">
        <f t="shared" si="10"/>
        <v>2.5422560522380908</v>
      </c>
      <c r="AD27" s="17">
        <f t="shared" si="11"/>
        <v>2.1229427810091748</v>
      </c>
      <c r="AE27" s="17">
        <f t="shared" si="12"/>
        <v>356.46887562427202</v>
      </c>
      <c r="AF27" s="17">
        <f t="shared" si="4"/>
        <v>356.04695562427202</v>
      </c>
    </row>
    <row r="28" spans="1:32" x14ac:dyDescent="0.25">
      <c r="A28" s="14">
        <v>26</v>
      </c>
      <c r="B28" s="14" t="s">
        <v>62</v>
      </c>
      <c r="C28" s="14">
        <v>202.5</v>
      </c>
      <c r="D28" s="14">
        <v>4</v>
      </c>
      <c r="E28" s="15">
        <v>-0.41668751999999998</v>
      </c>
      <c r="F28" s="15">
        <v>-0.43124995999999999</v>
      </c>
      <c r="G28" s="15">
        <v>1.4562429999999999E-2</v>
      </c>
      <c r="H28" s="15">
        <v>0.64118750000000002</v>
      </c>
      <c r="I28" s="15">
        <v>0.63042500000000001</v>
      </c>
      <c r="J28" s="15">
        <v>1.0762509999999999E-2</v>
      </c>
      <c r="K28" s="18">
        <v>24.59</v>
      </c>
      <c r="L28" s="18">
        <v>24.6</v>
      </c>
      <c r="M28" s="18">
        <v>0</v>
      </c>
      <c r="N28" s="15">
        <v>4.1289670000000001E-2</v>
      </c>
      <c r="O28" s="15">
        <v>3.90625E-2</v>
      </c>
      <c r="P28" s="15">
        <v>2.2271700000000001E-3</v>
      </c>
      <c r="Q28" s="15">
        <v>-4.0411400000000004E-3</v>
      </c>
      <c r="R28" s="15">
        <v>1.40155E-2</v>
      </c>
      <c r="S28" s="15">
        <v>-1.8056639999999999E-2</v>
      </c>
      <c r="T28" s="14"/>
      <c r="U28" s="15">
        <f t="shared" si="5"/>
        <v>-7.2812200000000049E-3</v>
      </c>
      <c r="V28" s="15">
        <f t="shared" si="6"/>
        <v>5.3812500000000041E-3</v>
      </c>
      <c r="W28" s="15"/>
      <c r="X28" s="15"/>
      <c r="Y28" s="16">
        <f t="shared" si="0"/>
        <v>4.1289670000000001E-2</v>
      </c>
      <c r="Z28" s="16">
        <f t="shared" si="1"/>
        <v>-4.0411400000000004E-3</v>
      </c>
      <c r="AA28" s="16">
        <f t="shared" si="2"/>
        <v>3.90625E-2</v>
      </c>
      <c r="AB28" s="16">
        <f t="shared" si="3"/>
        <v>1.40155E-2</v>
      </c>
      <c r="AC28" s="17">
        <f t="shared" si="10"/>
        <v>2.3777099882739736</v>
      </c>
      <c r="AD28" s="17">
        <f t="shared" si="11"/>
        <v>2.3785015276380137</v>
      </c>
      <c r="AE28" s="17">
        <f t="shared" si="12"/>
        <v>354.41009892979758</v>
      </c>
      <c r="AF28" s="17">
        <f t="shared" si="4"/>
        <v>353.97884896979758</v>
      </c>
    </row>
    <row r="29" spans="1:32" x14ac:dyDescent="0.25">
      <c r="A29" s="14">
        <v>27</v>
      </c>
      <c r="B29" s="14" t="s">
        <v>62</v>
      </c>
      <c r="C29" s="14">
        <v>225</v>
      </c>
      <c r="D29" s="14">
        <v>5</v>
      </c>
      <c r="E29" s="15">
        <v>-0.41540009999999999</v>
      </c>
      <c r="F29" s="15">
        <v>-0.42558995999999999</v>
      </c>
      <c r="G29" s="15">
        <v>1.018986E-2</v>
      </c>
      <c r="H29" s="15">
        <v>0.61941000000000002</v>
      </c>
      <c r="I29" s="15">
        <v>0.62807999999999997</v>
      </c>
      <c r="J29" s="15">
        <v>-8.6700300000000004E-3</v>
      </c>
      <c r="K29" s="18">
        <v>24.84</v>
      </c>
      <c r="L29" s="18">
        <v>24.85</v>
      </c>
      <c r="M29" s="18">
        <v>-0.02</v>
      </c>
      <c r="N29" s="15">
        <v>3.7557130000000001E-2</v>
      </c>
      <c r="O29" s="15">
        <v>4.1165529999999999E-2</v>
      </c>
      <c r="P29" s="15">
        <v>-3.6083999999999999E-3</v>
      </c>
      <c r="Q29" s="15">
        <v>-4.4072299999999998E-3</v>
      </c>
      <c r="R29" s="15">
        <v>1.3817380000000001E-2</v>
      </c>
      <c r="S29" s="15">
        <v>-1.8224609999999999E-2</v>
      </c>
      <c r="T29" s="14"/>
      <c r="U29" s="15">
        <f t="shared" si="5"/>
        <v>-5.0949299999999975E-3</v>
      </c>
      <c r="V29" s="15">
        <f t="shared" si="6"/>
        <v>-4.3349999999999778E-3</v>
      </c>
      <c r="W29" s="15"/>
      <c r="X29" s="15"/>
      <c r="Y29" s="16">
        <f t="shared" si="0"/>
        <v>3.7557130000000001E-2</v>
      </c>
      <c r="Z29" s="16">
        <f t="shared" si="1"/>
        <v>-4.4072299999999998E-3</v>
      </c>
      <c r="AA29" s="16">
        <f t="shared" si="2"/>
        <v>4.1165529999999999E-2</v>
      </c>
      <c r="AB29" s="16">
        <f t="shared" si="3"/>
        <v>1.3817380000000001E-2</v>
      </c>
      <c r="AC29" s="17">
        <f t="shared" si="10"/>
        <v>2.1671471050524662</v>
      </c>
      <c r="AD29" s="17">
        <f t="shared" si="11"/>
        <v>2.4887133361199258</v>
      </c>
      <c r="AE29" s="17">
        <f t="shared" si="12"/>
        <v>353.30710091788507</v>
      </c>
      <c r="AF29" s="17">
        <f t="shared" si="4"/>
        <v>352.88151095788504</v>
      </c>
    </row>
    <row r="30" spans="1:32" x14ac:dyDescent="0.25">
      <c r="A30" s="14">
        <v>28</v>
      </c>
      <c r="B30" s="14" t="s">
        <v>62</v>
      </c>
      <c r="C30" s="14">
        <v>247.5</v>
      </c>
      <c r="D30" s="14">
        <v>5</v>
      </c>
      <c r="E30" s="15">
        <v>-0.41932992000000002</v>
      </c>
      <c r="F30" s="15">
        <v>-0.41943000000000003</v>
      </c>
      <c r="G30" s="15">
        <v>1.0008E-4</v>
      </c>
      <c r="H30" s="15">
        <v>0.61522995999999996</v>
      </c>
      <c r="I30" s="15">
        <v>0.62675000000000003</v>
      </c>
      <c r="J30" s="15">
        <v>-1.1520030000000001E-2</v>
      </c>
      <c r="K30" s="18">
        <v>24.92</v>
      </c>
      <c r="L30" s="18">
        <v>24.93</v>
      </c>
      <c r="M30" s="18">
        <v>-0.01</v>
      </c>
      <c r="N30" s="15">
        <v>3.4833009999999998E-2</v>
      </c>
      <c r="O30" s="15">
        <v>4.4021490000000003E-2</v>
      </c>
      <c r="P30" s="15">
        <v>-9.1884800000000006E-3</v>
      </c>
      <c r="Q30" s="15">
        <v>-3.24902E-3</v>
      </c>
      <c r="R30" s="15">
        <v>1.215186E-2</v>
      </c>
      <c r="S30" s="15">
        <v>-1.540088E-2</v>
      </c>
      <c r="T30" s="14"/>
      <c r="U30" s="15">
        <f t="shared" si="5"/>
        <v>-5.0040000000001195E-5</v>
      </c>
      <c r="V30" s="15">
        <f t="shared" si="6"/>
        <v>-5.7600200000000323E-3</v>
      </c>
      <c r="W30" s="15"/>
      <c r="X30" s="15"/>
      <c r="Y30" s="16">
        <f t="shared" si="0"/>
        <v>3.4833009999999998E-2</v>
      </c>
      <c r="Z30" s="16">
        <f t="shared" si="1"/>
        <v>-3.24902E-3</v>
      </c>
      <c r="AA30" s="16">
        <f t="shared" si="2"/>
        <v>4.4021490000000003E-2</v>
      </c>
      <c r="AB30" s="16">
        <f t="shared" si="3"/>
        <v>1.215186E-2</v>
      </c>
      <c r="AC30" s="17">
        <f t="shared" si="10"/>
        <v>2.0048564894899488</v>
      </c>
      <c r="AD30" s="17">
        <f t="shared" si="11"/>
        <v>2.617489664675511</v>
      </c>
      <c r="AE30" s="17">
        <f t="shared" si="12"/>
        <v>354.67120182915761</v>
      </c>
      <c r="AF30" s="17">
        <f t="shared" si="4"/>
        <v>354.25177182915763</v>
      </c>
    </row>
    <row r="31" spans="1:32" x14ac:dyDescent="0.25">
      <c r="A31" s="14">
        <v>29</v>
      </c>
      <c r="B31" s="14" t="s">
        <v>62</v>
      </c>
      <c r="C31" s="14">
        <v>270</v>
      </c>
      <c r="D31" s="14">
        <v>7</v>
      </c>
      <c r="E31" s="15">
        <v>-0.42120716000000002</v>
      </c>
      <c r="F31" s="15">
        <v>-0.41767855999999998</v>
      </c>
      <c r="G31" s="15">
        <v>-3.5285899999999999E-3</v>
      </c>
      <c r="H31" s="15">
        <v>0.61613567999999996</v>
      </c>
      <c r="I31" s="15">
        <v>0.62148568000000004</v>
      </c>
      <c r="J31" s="15">
        <v>-5.3499899999999998E-3</v>
      </c>
      <c r="K31" s="18">
        <v>24.98</v>
      </c>
      <c r="L31" s="18">
        <v>24.98</v>
      </c>
      <c r="M31" s="18">
        <v>0</v>
      </c>
      <c r="N31" s="15">
        <v>3.1546459999999998E-2</v>
      </c>
      <c r="O31" s="15">
        <v>4.6829309999999999E-2</v>
      </c>
      <c r="P31" s="15">
        <v>-1.5282850000000001E-2</v>
      </c>
      <c r="Q31" s="15">
        <v>-4.4467999999999998E-4</v>
      </c>
      <c r="R31" s="15">
        <v>9.8908299999999998E-3</v>
      </c>
      <c r="S31" s="15">
        <v>-1.0335520000000001E-2</v>
      </c>
      <c r="T31" s="14"/>
      <c r="U31" s="15">
        <f t="shared" si="5"/>
        <v>1.7643000000000242E-3</v>
      </c>
      <c r="V31" s="15">
        <f t="shared" si="6"/>
        <v>-2.6750000000000385E-3</v>
      </c>
      <c r="W31" s="15"/>
      <c r="X31" s="15"/>
      <c r="Y31" s="16">
        <f t="shared" si="0"/>
        <v>3.1546459999999998E-2</v>
      </c>
      <c r="Z31" s="16">
        <f t="shared" si="1"/>
        <v>-4.4467999999999998E-4</v>
      </c>
      <c r="AA31" s="16">
        <f t="shared" si="2"/>
        <v>4.6829309999999999E-2</v>
      </c>
      <c r="AB31" s="16">
        <f t="shared" si="3"/>
        <v>9.8908299999999998E-3</v>
      </c>
      <c r="AC31" s="17">
        <f t="shared" si="10"/>
        <v>1.8079585970673735</v>
      </c>
      <c r="AD31" s="17">
        <f t="shared" si="11"/>
        <v>2.7433636907339745</v>
      </c>
      <c r="AE31" s="17">
        <f t="shared" si="12"/>
        <v>359.19241018046284</v>
      </c>
      <c r="AF31" s="17">
        <f t="shared" si="4"/>
        <v>358.77473162046283</v>
      </c>
    </row>
    <row r="32" spans="1:32" x14ac:dyDescent="0.25">
      <c r="A32" s="14">
        <v>30</v>
      </c>
      <c r="B32" s="14" t="s">
        <v>62</v>
      </c>
      <c r="C32" s="14">
        <v>292.5</v>
      </c>
      <c r="D32" s="14">
        <v>2</v>
      </c>
      <c r="E32" s="15">
        <v>-0.40937504000000002</v>
      </c>
      <c r="F32" s="15">
        <v>-0.41074996000000003</v>
      </c>
      <c r="G32" s="15">
        <v>1.3749299999999999E-3</v>
      </c>
      <c r="H32" s="15">
        <v>0.58077515999999996</v>
      </c>
      <c r="I32" s="15">
        <v>0.59182500000000005</v>
      </c>
      <c r="J32" s="15">
        <v>-1.104987E-2</v>
      </c>
      <c r="K32" s="18">
        <v>25.71</v>
      </c>
      <c r="L32" s="18">
        <v>25.71</v>
      </c>
      <c r="M32" s="18">
        <v>0</v>
      </c>
      <c r="N32" s="15">
        <v>3.026734E-2</v>
      </c>
      <c r="O32" s="15">
        <v>4.7392579999999997E-2</v>
      </c>
      <c r="P32" s="15">
        <v>-1.712524E-2</v>
      </c>
      <c r="Q32" s="15">
        <v>1.7480499999999999E-3</v>
      </c>
      <c r="R32" s="15">
        <v>6.1462399999999999E-3</v>
      </c>
      <c r="S32" s="15">
        <v>-4.3981899999999997E-3</v>
      </c>
      <c r="T32" s="14"/>
      <c r="U32" s="15">
        <f t="shared" si="5"/>
        <v>-6.8746000000000085E-4</v>
      </c>
      <c r="V32" s="15">
        <f t="shared" si="6"/>
        <v>-5.5249200000000442E-3</v>
      </c>
      <c r="W32" s="15"/>
      <c r="X32" s="15"/>
      <c r="Y32" s="16">
        <f t="shared" si="0"/>
        <v>3.026734E-2</v>
      </c>
      <c r="Z32" s="16">
        <f t="shared" si="1"/>
        <v>1.7480499999999999E-3</v>
      </c>
      <c r="AA32" s="16">
        <f t="shared" si="2"/>
        <v>4.7392579999999997E-2</v>
      </c>
      <c r="AB32" s="16">
        <f t="shared" si="3"/>
        <v>6.1462399999999999E-3</v>
      </c>
      <c r="AC32" s="17">
        <f t="shared" si="10"/>
        <v>1.7373468379665178</v>
      </c>
      <c r="AD32" s="17">
        <f t="shared" si="11"/>
        <v>2.7391779267613834</v>
      </c>
      <c r="AE32" s="17">
        <f t="shared" si="12"/>
        <v>3.3053698640249372</v>
      </c>
      <c r="AF32" s="17">
        <f t="shared" si="4"/>
        <v>2.8946199040249372</v>
      </c>
    </row>
    <row r="33" spans="1:32" x14ac:dyDescent="0.25">
      <c r="A33" s="14">
        <v>31</v>
      </c>
      <c r="B33" s="14" t="s">
        <v>62</v>
      </c>
      <c r="C33" s="14">
        <v>315</v>
      </c>
      <c r="D33" s="14">
        <v>4</v>
      </c>
      <c r="E33" s="15">
        <v>-0.42317484</v>
      </c>
      <c r="F33" s="15">
        <v>-0.41985</v>
      </c>
      <c r="G33" s="15">
        <v>-3.3248700000000002E-3</v>
      </c>
      <c r="H33" s="15">
        <v>0.62498750000000003</v>
      </c>
      <c r="I33" s="15">
        <v>0.62557492000000003</v>
      </c>
      <c r="J33" s="15">
        <v>-5.8746000000000004E-4</v>
      </c>
      <c r="K33" s="18">
        <v>24.83</v>
      </c>
      <c r="L33" s="18">
        <v>24.84</v>
      </c>
      <c r="M33" s="18">
        <v>-0.01</v>
      </c>
      <c r="N33" s="15">
        <v>3.0379030000000001E-2</v>
      </c>
      <c r="O33" s="15">
        <v>4.8371579999999997E-2</v>
      </c>
      <c r="P33" s="15">
        <v>-1.7992560000000001E-2</v>
      </c>
      <c r="Q33" s="15">
        <v>6.2805200000000004E-3</v>
      </c>
      <c r="R33" s="15">
        <v>2.9772900000000001E-3</v>
      </c>
      <c r="S33" s="15">
        <v>3.3032199999999999E-3</v>
      </c>
      <c r="T33" s="14"/>
      <c r="U33" s="15">
        <f t="shared" si="5"/>
        <v>1.6624199999999978E-3</v>
      </c>
      <c r="V33" s="15">
        <f t="shared" si="6"/>
        <v>-2.9371000000000258E-4</v>
      </c>
      <c r="W33" s="15"/>
      <c r="X33" s="15"/>
      <c r="Y33" s="16">
        <f t="shared" si="0"/>
        <v>3.0379030000000001E-2</v>
      </c>
      <c r="Z33" s="16">
        <f t="shared" si="1"/>
        <v>6.2805200000000004E-3</v>
      </c>
      <c r="AA33" s="16">
        <f t="shared" si="2"/>
        <v>4.8371579999999997E-2</v>
      </c>
      <c r="AB33" s="16">
        <f t="shared" si="3"/>
        <v>2.9772900000000001E-3</v>
      </c>
      <c r="AC33" s="17">
        <f t="shared" si="10"/>
        <v>1.7776833893710384</v>
      </c>
      <c r="AD33" s="17">
        <f t="shared" si="11"/>
        <v>2.7778203325609705</v>
      </c>
      <c r="AE33" s="17">
        <f t="shared" si="12"/>
        <v>11.680693808246097</v>
      </c>
      <c r="AF33" s="17">
        <f t="shared" si="4"/>
        <v>11.260843808246097</v>
      </c>
    </row>
    <row r="34" spans="1:32" x14ac:dyDescent="0.25">
      <c r="A34" s="14">
        <v>32</v>
      </c>
      <c r="B34" s="14" t="s">
        <v>62</v>
      </c>
      <c r="C34" s="14">
        <v>337.5</v>
      </c>
      <c r="D34" s="14">
        <v>2</v>
      </c>
      <c r="E34" s="15">
        <v>-0.43520004000000001</v>
      </c>
      <c r="F34" s="15">
        <v>-0.42774983999999999</v>
      </c>
      <c r="G34" s="15">
        <v>-7.4501899999999998E-3</v>
      </c>
      <c r="H34" s="15">
        <v>0.66512515999999999</v>
      </c>
      <c r="I34" s="15">
        <v>0.67244992000000003</v>
      </c>
      <c r="J34" s="15">
        <v>-7.3248100000000002E-3</v>
      </c>
      <c r="K34" s="18">
        <v>23.84</v>
      </c>
      <c r="L34" s="18">
        <v>23.85</v>
      </c>
      <c r="M34" s="18">
        <v>-0.01</v>
      </c>
      <c r="N34" s="15">
        <v>3.4543459999999998E-2</v>
      </c>
      <c r="O34" s="15">
        <v>4.9229729999999999E-2</v>
      </c>
      <c r="P34" s="15">
        <v>-1.4686279999999999E-2</v>
      </c>
      <c r="Q34" s="15">
        <v>1.035034E-2</v>
      </c>
      <c r="R34" s="15">
        <v>5.3344999999999998E-4</v>
      </c>
      <c r="S34" s="15">
        <v>9.81689E-3</v>
      </c>
      <c r="T34" s="14"/>
      <c r="U34" s="15">
        <f t="shared" si="5"/>
        <v>3.725100000000009E-3</v>
      </c>
      <c r="V34" s="15">
        <f t="shared" si="6"/>
        <v>-3.6623800000000206E-3</v>
      </c>
      <c r="W34" s="15"/>
      <c r="X34" s="15"/>
      <c r="Y34" s="16">
        <f t="shared" si="0"/>
        <v>3.4543459999999998E-2</v>
      </c>
      <c r="Z34" s="16">
        <f t="shared" si="1"/>
        <v>1.035034E-2</v>
      </c>
      <c r="AA34" s="16">
        <f t="shared" si="2"/>
        <v>4.9229729999999999E-2</v>
      </c>
      <c r="AB34" s="16">
        <f t="shared" si="3"/>
        <v>5.3344999999999998E-4</v>
      </c>
      <c r="AC34" s="17">
        <f t="shared" si="10"/>
        <v>2.0665788031650765</v>
      </c>
      <c r="AD34" s="17">
        <f t="shared" si="11"/>
        <v>2.8219621342195551</v>
      </c>
      <c r="AE34" s="17">
        <f t="shared" si="12"/>
        <v>16.679919677037912</v>
      </c>
      <c r="AF34" s="17">
        <f t="shared" si="4"/>
        <v>16.252169837037911</v>
      </c>
    </row>
    <row r="37" spans="1:32" x14ac:dyDescent="0.25">
      <c r="A37">
        <v>1</v>
      </c>
      <c r="C37">
        <v>0</v>
      </c>
      <c r="K37">
        <f>(K3+K19)/2</f>
        <v>25.125</v>
      </c>
      <c r="L37">
        <f>(L3+L19)/2</f>
        <v>25.125</v>
      </c>
      <c r="M37">
        <f>K37-L37</f>
        <v>0</v>
      </c>
      <c r="U37">
        <f>(U3+U19)/2</f>
        <v>2.8152500000000052E-3</v>
      </c>
      <c r="V37">
        <f>(V3+V19)/2</f>
        <v>-5.3756999999998722E-4</v>
      </c>
      <c r="AC37">
        <f>(AC3+AC19)/2</f>
        <v>2.0630230522313449</v>
      </c>
      <c r="AD37">
        <f>(AD3+AD19)/2</f>
        <v>2.5606742335254569</v>
      </c>
    </row>
    <row r="38" spans="1:32" x14ac:dyDescent="0.25">
      <c r="A38">
        <v>2</v>
      </c>
      <c r="C38">
        <v>22.5</v>
      </c>
      <c r="K38">
        <f t="shared" ref="K38:L52" si="13">(K4+K20)/2</f>
        <v>25.145</v>
      </c>
      <c r="L38">
        <f t="shared" si="13"/>
        <v>25.145</v>
      </c>
      <c r="M38">
        <f t="shared" ref="M38:M52" si="14">K38-L38</f>
        <v>0</v>
      </c>
      <c r="U38">
        <f t="shared" ref="U38:V52" si="15">(U4+U20)/2</f>
        <v>3.6870449999999999E-3</v>
      </c>
      <c r="V38">
        <f t="shared" si="15"/>
        <v>1.3209849999999967E-3</v>
      </c>
      <c r="AC38">
        <f t="shared" ref="AC38:AD52" si="16">(AC4+AC20)/2</f>
        <v>2.2781556514969292</v>
      </c>
      <c r="AD38">
        <f t="shared" si="16"/>
        <v>2.374210112147249</v>
      </c>
    </row>
    <row r="39" spans="1:32" x14ac:dyDescent="0.25">
      <c r="A39">
        <v>3</v>
      </c>
      <c r="C39">
        <v>45</v>
      </c>
      <c r="K39">
        <f t="shared" si="13"/>
        <v>26.21</v>
      </c>
      <c r="L39">
        <f t="shared" si="13"/>
        <v>26.204999999999998</v>
      </c>
      <c r="M39">
        <f t="shared" si="14"/>
        <v>5.000000000002558E-3</v>
      </c>
      <c r="U39">
        <f t="shared" si="15"/>
        <v>1.9856749999999923E-3</v>
      </c>
      <c r="V39">
        <f t="shared" si="15"/>
        <v>2.8039499999998885E-4</v>
      </c>
      <c r="AC39">
        <f t="shared" si="16"/>
        <v>2.3690319499499681</v>
      </c>
      <c r="AD39">
        <f t="shared" si="16"/>
        <v>2.1094888210691485</v>
      </c>
    </row>
    <row r="40" spans="1:32" x14ac:dyDescent="0.25">
      <c r="A40">
        <v>4</v>
      </c>
      <c r="C40">
        <v>67.5</v>
      </c>
      <c r="K40">
        <f t="shared" si="13"/>
        <v>24.734999999999999</v>
      </c>
      <c r="L40">
        <f t="shared" si="13"/>
        <v>24.740000000000002</v>
      </c>
      <c r="M40">
        <f t="shared" si="14"/>
        <v>-5.000000000002558E-3</v>
      </c>
      <c r="U40">
        <f t="shared" si="15"/>
        <v>1.7693800000000148E-3</v>
      </c>
      <c r="V40">
        <f t="shared" si="15"/>
        <v>3.8187350000000175E-3</v>
      </c>
      <c r="AC40">
        <f t="shared" si="16"/>
        <v>2.651380496447473</v>
      </c>
      <c r="AD40">
        <f t="shared" si="16"/>
        <v>2.0546249049611478</v>
      </c>
    </row>
    <row r="41" spans="1:32" x14ac:dyDescent="0.25">
      <c r="A41">
        <v>5</v>
      </c>
      <c r="C41">
        <v>90</v>
      </c>
      <c r="K41">
        <f t="shared" si="13"/>
        <v>24.805</v>
      </c>
      <c r="L41">
        <f t="shared" si="13"/>
        <v>24.795000000000002</v>
      </c>
      <c r="M41">
        <f t="shared" si="14"/>
        <v>9.9999999999980105E-3</v>
      </c>
      <c r="U41">
        <f t="shared" si="15"/>
        <v>2.5062599999999963E-3</v>
      </c>
      <c r="V41">
        <f t="shared" si="15"/>
        <v>1.1225049999999959E-3</v>
      </c>
      <c r="AC41">
        <f t="shared" si="16"/>
        <v>2.7639200718741699</v>
      </c>
      <c r="AD41">
        <f t="shared" si="16"/>
        <v>1.8264341798895214</v>
      </c>
    </row>
    <row r="42" spans="1:32" x14ac:dyDescent="0.25">
      <c r="A42">
        <v>6</v>
      </c>
      <c r="C42">
        <v>112.5</v>
      </c>
      <c r="K42">
        <f t="shared" si="13"/>
        <v>24.71</v>
      </c>
      <c r="L42">
        <f t="shared" si="13"/>
        <v>24.689999999999998</v>
      </c>
      <c r="M42">
        <f t="shared" si="14"/>
        <v>2.0000000000003126E-2</v>
      </c>
      <c r="U42">
        <f t="shared" si="15"/>
        <v>2.5344000000000755E-4</v>
      </c>
      <c r="V42">
        <f t="shared" si="15"/>
        <v>4.2837399999999803E-3</v>
      </c>
      <c r="AC42">
        <f t="shared" si="16"/>
        <v>2.8176997798653565</v>
      </c>
      <c r="AD42">
        <f t="shared" si="16"/>
        <v>1.7949237564757301</v>
      </c>
    </row>
    <row r="43" spans="1:32" x14ac:dyDescent="0.25">
      <c r="A43">
        <v>7</v>
      </c>
      <c r="C43">
        <v>135</v>
      </c>
      <c r="K43">
        <f t="shared" si="13"/>
        <v>25.21</v>
      </c>
      <c r="L43">
        <f t="shared" si="13"/>
        <v>25.195</v>
      </c>
      <c r="M43">
        <f t="shared" si="14"/>
        <v>1.5000000000000568E-2</v>
      </c>
      <c r="U43">
        <f t="shared" si="15"/>
        <v>-3.5587799999999975E-3</v>
      </c>
      <c r="V43">
        <f t="shared" si="15"/>
        <v>2.6254500000000291E-4</v>
      </c>
      <c r="AC43">
        <f t="shared" si="16"/>
        <v>2.7805452424836323</v>
      </c>
      <c r="AD43">
        <f t="shared" si="16"/>
        <v>1.7650725895719113</v>
      </c>
    </row>
    <row r="44" spans="1:32" x14ac:dyDescent="0.25">
      <c r="A44">
        <v>8</v>
      </c>
      <c r="C44">
        <v>157.5</v>
      </c>
      <c r="K44">
        <f t="shared" si="13"/>
        <v>25.98</v>
      </c>
      <c r="L44">
        <f t="shared" si="13"/>
        <v>25.98</v>
      </c>
      <c r="M44">
        <f t="shared" si="14"/>
        <v>0</v>
      </c>
      <c r="U44">
        <f t="shared" si="15"/>
        <v>-1.9624500000000045E-3</v>
      </c>
      <c r="V44">
        <f t="shared" si="15"/>
        <v>2.3635449999999947E-3</v>
      </c>
      <c r="AC44">
        <f t="shared" si="16"/>
        <v>2.6792916671913836</v>
      </c>
      <c r="AD44">
        <f t="shared" si="16"/>
        <v>1.8513701043775583</v>
      </c>
    </row>
    <row r="45" spans="1:32" x14ac:dyDescent="0.25">
      <c r="A45">
        <v>9</v>
      </c>
      <c r="C45">
        <v>180</v>
      </c>
      <c r="K45">
        <f t="shared" si="13"/>
        <v>24.91</v>
      </c>
      <c r="L45">
        <f t="shared" si="13"/>
        <v>24.895</v>
      </c>
      <c r="M45">
        <f t="shared" si="14"/>
        <v>1.5000000000000568E-2</v>
      </c>
      <c r="U45">
        <f t="shared" si="15"/>
        <v>-2.3275250000000108E-3</v>
      </c>
      <c r="V45">
        <f t="shared" si="15"/>
        <v>-2.777509999999983E-3</v>
      </c>
      <c r="AC45">
        <f t="shared" si="16"/>
        <v>2.5445572890581447</v>
      </c>
      <c r="AD45">
        <f t="shared" si="16"/>
        <v>2.1264643069016973</v>
      </c>
    </row>
    <row r="46" spans="1:32" x14ac:dyDescent="0.25">
      <c r="A46">
        <v>10</v>
      </c>
      <c r="C46">
        <v>202.5</v>
      </c>
      <c r="K46">
        <f t="shared" si="13"/>
        <v>24.45</v>
      </c>
      <c r="L46">
        <f t="shared" si="13"/>
        <v>24.445</v>
      </c>
      <c r="M46">
        <f t="shared" si="14"/>
        <v>4.9999999999990052E-3</v>
      </c>
      <c r="U46">
        <f t="shared" si="15"/>
        <v>-4.7239349999999986E-3</v>
      </c>
      <c r="V46">
        <f t="shared" si="15"/>
        <v>2.3656300000000074E-3</v>
      </c>
      <c r="AC46">
        <f t="shared" si="16"/>
        <v>2.4151352099597529</v>
      </c>
      <c r="AD46">
        <f t="shared" si="16"/>
        <v>2.360420861239783</v>
      </c>
    </row>
    <row r="47" spans="1:32" x14ac:dyDescent="0.25">
      <c r="A47">
        <v>11</v>
      </c>
      <c r="C47">
        <v>225</v>
      </c>
      <c r="K47">
        <f t="shared" si="13"/>
        <v>25.024999999999999</v>
      </c>
      <c r="L47">
        <f t="shared" si="13"/>
        <v>25.015000000000001</v>
      </c>
      <c r="M47">
        <f t="shared" si="14"/>
        <v>9.9999999999980105E-3</v>
      </c>
      <c r="U47">
        <f t="shared" si="15"/>
        <v>-2.9006049999999867E-3</v>
      </c>
      <c r="V47">
        <f t="shared" si="15"/>
        <v>-4.8518850000000002E-3</v>
      </c>
      <c r="AC47">
        <f t="shared" si="16"/>
        <v>2.1517909598593183</v>
      </c>
      <c r="AD47">
        <f t="shared" si="16"/>
        <v>2.4671037563594447</v>
      </c>
    </row>
    <row r="48" spans="1:32" x14ac:dyDescent="0.25">
      <c r="A48">
        <v>12</v>
      </c>
      <c r="C48">
        <v>247.5</v>
      </c>
      <c r="K48">
        <f t="shared" si="13"/>
        <v>24.685000000000002</v>
      </c>
      <c r="L48">
        <f t="shared" si="13"/>
        <v>24.7</v>
      </c>
      <c r="M48">
        <f t="shared" si="14"/>
        <v>-1.4999999999997016E-2</v>
      </c>
      <c r="U48">
        <f t="shared" si="15"/>
        <v>-7.5753000000000625E-4</v>
      </c>
      <c r="V48">
        <f t="shared" si="15"/>
        <v>-6.1600450000000306E-3</v>
      </c>
      <c r="AC48">
        <f t="shared" si="16"/>
        <v>2.0068783584500922</v>
      </c>
      <c r="AD48">
        <f t="shared" si="16"/>
        <v>2.6419442440459759</v>
      </c>
    </row>
    <row r="49" spans="1:30" x14ac:dyDescent="0.25">
      <c r="A49">
        <v>13</v>
      </c>
      <c r="C49">
        <v>270</v>
      </c>
      <c r="K49">
        <f t="shared" si="13"/>
        <v>25.265000000000001</v>
      </c>
      <c r="L49">
        <f t="shared" si="13"/>
        <v>25.25</v>
      </c>
      <c r="M49">
        <f t="shared" si="14"/>
        <v>1.5000000000000568E-2</v>
      </c>
      <c r="U49">
        <f t="shared" si="15"/>
        <v>1.7921500000000062E-3</v>
      </c>
      <c r="V49">
        <f t="shared" si="15"/>
        <v>-3.5100250000000277E-3</v>
      </c>
      <c r="AC49">
        <f t="shared" si="16"/>
        <v>1.78474731079113</v>
      </c>
      <c r="AD49">
        <f t="shared" si="16"/>
        <v>2.7190608013849085</v>
      </c>
    </row>
    <row r="50" spans="1:30" x14ac:dyDescent="0.25">
      <c r="A50">
        <v>14</v>
      </c>
      <c r="C50">
        <v>292.5</v>
      </c>
      <c r="K50">
        <f t="shared" si="13"/>
        <v>24.984999999999999</v>
      </c>
      <c r="L50">
        <f t="shared" si="13"/>
        <v>24.984999999999999</v>
      </c>
      <c r="M50">
        <f t="shared" si="14"/>
        <v>0</v>
      </c>
      <c r="U50">
        <f t="shared" si="15"/>
        <v>5.3841999999999779E-4</v>
      </c>
      <c r="V50">
        <f t="shared" si="15"/>
        <v>-4.4785600000000203E-3</v>
      </c>
      <c r="AC50">
        <f t="shared" si="16"/>
        <v>1.7715212372623612</v>
      </c>
      <c r="AD50">
        <f t="shared" si="16"/>
        <v>2.8050292864286752</v>
      </c>
    </row>
    <row r="51" spans="1:30" x14ac:dyDescent="0.25">
      <c r="A51">
        <v>15</v>
      </c>
      <c r="C51">
        <v>315</v>
      </c>
      <c r="K51">
        <f t="shared" si="13"/>
        <v>24.914999999999999</v>
      </c>
      <c r="L51">
        <f t="shared" si="13"/>
        <v>24.914999999999999</v>
      </c>
      <c r="M51">
        <f t="shared" si="14"/>
        <v>0</v>
      </c>
      <c r="U51">
        <f t="shared" si="15"/>
        <v>2.2228999999999999E-3</v>
      </c>
      <c r="V51">
        <f t="shared" si="15"/>
        <v>-1.8781300000000056E-3</v>
      </c>
      <c r="AC51">
        <f t="shared" si="16"/>
        <v>1.7879948891936919</v>
      </c>
      <c r="AD51">
        <f t="shared" si="16"/>
        <v>2.7761782924098721</v>
      </c>
    </row>
    <row r="52" spans="1:30" x14ac:dyDescent="0.25">
      <c r="A52">
        <v>16</v>
      </c>
      <c r="C52">
        <v>337.5</v>
      </c>
      <c r="K52">
        <f t="shared" si="13"/>
        <v>24.535</v>
      </c>
      <c r="L52">
        <f t="shared" si="13"/>
        <v>24.53</v>
      </c>
      <c r="M52">
        <f t="shared" si="14"/>
        <v>4.9999999999990052E-3</v>
      </c>
      <c r="U52">
        <f t="shared" si="15"/>
        <v>3.1563300000000127E-3</v>
      </c>
      <c r="V52">
        <f t="shared" si="15"/>
        <v>-2.3436950000000067E-3</v>
      </c>
      <c r="AC52">
        <f t="shared" si="16"/>
        <v>1.9799898461414234</v>
      </c>
      <c r="AD52">
        <f t="shared" si="16"/>
        <v>2.788087969971401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T17-2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2026-08-02T16:49:04Z</dcterms:modified>
</cp:coreProperties>
</file>