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8\T18-1\"/>
    </mc:Choice>
  </mc:AlternateContent>
  <xr:revisionPtr revIDLastSave="0" documentId="13_ncr:1_{CFD0DD58-6DFF-4B10-B96B-7FEE068915FB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8-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10" i="2" s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AE74" i="1"/>
  <c r="AF74" i="1" s="1"/>
  <c r="AD74" i="1"/>
  <c r="AC74" i="1"/>
  <c r="AB74" i="1"/>
  <c r="AA74" i="1"/>
  <c r="Z74" i="1"/>
  <c r="Y74" i="1"/>
  <c r="AB73" i="1"/>
  <c r="AA73" i="1"/>
  <c r="AD73" i="1" s="1"/>
  <c r="Z73" i="1"/>
  <c r="Y73" i="1"/>
  <c r="AB72" i="1"/>
  <c r="AA72" i="1"/>
  <c r="AD72" i="1" s="1"/>
  <c r="Z72" i="1"/>
  <c r="Y72" i="1"/>
  <c r="AB71" i="1"/>
  <c r="AA71" i="1"/>
  <c r="AD71" i="1" s="1"/>
  <c r="Z71" i="1"/>
  <c r="Y71" i="1"/>
  <c r="AE71" i="1" s="1"/>
  <c r="AF71" i="1" s="1"/>
  <c r="AD70" i="1"/>
  <c r="AB70" i="1"/>
  <c r="AA70" i="1"/>
  <c r="Z70" i="1"/>
  <c r="Y70" i="1"/>
  <c r="AB69" i="1"/>
  <c r="AA69" i="1"/>
  <c r="AD69" i="1" s="1"/>
  <c r="Z69" i="1"/>
  <c r="AC69" i="1" s="1"/>
  <c r="Y69" i="1"/>
  <c r="AE69" i="1" s="1"/>
  <c r="AF69" i="1" s="1"/>
  <c r="AC68" i="1"/>
  <c r="AB68" i="1"/>
  <c r="AD68" i="1" s="1"/>
  <c r="AA68" i="1"/>
  <c r="Z68" i="1"/>
  <c r="Y68" i="1"/>
  <c r="AD67" i="1"/>
  <c r="AB67" i="1"/>
  <c r="AA67" i="1"/>
  <c r="Z67" i="1"/>
  <c r="Y67" i="1"/>
  <c r="AB66" i="1"/>
  <c r="AA66" i="1"/>
  <c r="AD66" i="1" s="1"/>
  <c r="Z66" i="1"/>
  <c r="AC66" i="1" s="1"/>
  <c r="Y66" i="1"/>
  <c r="AE66" i="1" s="1"/>
  <c r="AF66" i="1" s="1"/>
  <c r="AD65" i="1"/>
  <c r="AC65" i="1"/>
  <c r="AB65" i="1"/>
  <c r="AA65" i="1"/>
  <c r="Z65" i="1"/>
  <c r="Y65" i="1"/>
  <c r="AD64" i="1"/>
  <c r="AB64" i="1"/>
  <c r="AA64" i="1"/>
  <c r="Z64" i="1"/>
  <c r="Y64" i="1"/>
  <c r="AB63" i="1"/>
  <c r="AA63" i="1"/>
  <c r="AD63" i="1" s="1"/>
  <c r="Z63" i="1"/>
  <c r="AC63" i="1" s="1"/>
  <c r="Y63" i="1"/>
  <c r="AE63" i="1" s="1"/>
  <c r="AF63" i="1" s="1"/>
  <c r="AD62" i="1"/>
  <c r="AC62" i="1"/>
  <c r="AB62" i="1"/>
  <c r="AA62" i="1"/>
  <c r="Z62" i="1"/>
  <c r="Y62" i="1"/>
  <c r="AD61" i="1"/>
  <c r="AB61" i="1"/>
  <c r="AA61" i="1"/>
  <c r="Z61" i="1"/>
  <c r="Y61" i="1"/>
  <c r="AB60" i="1"/>
  <c r="AA60" i="1"/>
  <c r="AD60" i="1" s="1"/>
  <c r="Z60" i="1"/>
  <c r="AC60" i="1" s="1"/>
  <c r="Y60" i="1"/>
  <c r="AE60" i="1" s="1"/>
  <c r="AF60" i="1" s="1"/>
  <c r="AD59" i="1"/>
  <c r="AC59" i="1"/>
  <c r="AB59" i="1"/>
  <c r="AA59" i="1"/>
  <c r="Z59" i="1"/>
  <c r="Y59" i="1"/>
  <c r="AD58" i="1"/>
  <c r="AB58" i="1"/>
  <c r="AA58" i="1"/>
  <c r="Z58" i="1"/>
  <c r="Y58" i="1"/>
  <c r="AB57" i="1"/>
  <c r="AA57" i="1"/>
  <c r="AD57" i="1" s="1"/>
  <c r="Z57" i="1"/>
  <c r="AC57" i="1" s="1"/>
  <c r="Y57" i="1"/>
  <c r="AE57" i="1" s="1"/>
  <c r="AF57" i="1" s="1"/>
  <c r="AD56" i="1"/>
  <c r="AC56" i="1"/>
  <c r="AB56" i="1"/>
  <c r="AA56" i="1"/>
  <c r="Z56" i="1"/>
  <c r="Y56" i="1"/>
  <c r="AD55" i="1"/>
  <c r="AB55" i="1"/>
  <c r="AA55" i="1"/>
  <c r="Z55" i="1"/>
  <c r="Y55" i="1"/>
  <c r="AB54" i="1"/>
  <c r="AA54" i="1"/>
  <c r="AD54" i="1" s="1"/>
  <c r="Z54" i="1"/>
  <c r="AC54" i="1" s="1"/>
  <c r="Y54" i="1"/>
  <c r="AE54" i="1" s="1"/>
  <c r="AF54" i="1" s="1"/>
  <c r="AD53" i="1"/>
  <c r="AC53" i="1"/>
  <c r="AB53" i="1"/>
  <c r="AA53" i="1"/>
  <c r="Z53" i="1"/>
  <c r="Y53" i="1"/>
  <c r="AD52" i="1"/>
  <c r="AB52" i="1"/>
  <c r="AA52" i="1"/>
  <c r="Z52" i="1"/>
  <c r="Y52" i="1"/>
  <c r="AB51" i="1"/>
  <c r="AA51" i="1"/>
  <c r="AD51" i="1" s="1"/>
  <c r="Z51" i="1"/>
  <c r="AC51" i="1" s="1"/>
  <c r="Y51" i="1"/>
  <c r="AE51" i="1" s="1"/>
  <c r="AF51" i="1" s="1"/>
  <c r="AD50" i="1"/>
  <c r="AC50" i="1"/>
  <c r="AB50" i="1"/>
  <c r="AA50" i="1"/>
  <c r="Z50" i="1"/>
  <c r="Y50" i="1"/>
  <c r="AD49" i="1"/>
  <c r="AB49" i="1"/>
  <c r="AA49" i="1"/>
  <c r="Z49" i="1"/>
  <c r="Y49" i="1"/>
  <c r="AB48" i="1"/>
  <c r="AA48" i="1"/>
  <c r="AD48" i="1" s="1"/>
  <c r="Z48" i="1"/>
  <c r="AC48" i="1" s="1"/>
  <c r="Y48" i="1"/>
  <c r="AE48" i="1" s="1"/>
  <c r="AF48" i="1" s="1"/>
  <c r="AD47" i="1"/>
  <c r="AC47" i="1"/>
  <c r="AB47" i="1"/>
  <c r="AA47" i="1"/>
  <c r="Z47" i="1"/>
  <c r="Y47" i="1"/>
  <c r="AD46" i="1"/>
  <c r="AB46" i="1"/>
  <c r="AA46" i="1"/>
  <c r="Z46" i="1"/>
  <c r="Y46" i="1"/>
  <c r="AB45" i="1"/>
  <c r="AA45" i="1"/>
  <c r="AD45" i="1" s="1"/>
  <c r="Z45" i="1"/>
  <c r="AC45" i="1" s="1"/>
  <c r="Y45" i="1"/>
  <c r="AE45" i="1" s="1"/>
  <c r="AF45" i="1" s="1"/>
  <c r="AD44" i="1"/>
  <c r="AC44" i="1"/>
  <c r="AB44" i="1"/>
  <c r="AA44" i="1"/>
  <c r="Z44" i="1"/>
  <c r="Y44" i="1"/>
  <c r="AD43" i="1"/>
  <c r="AB43" i="1"/>
  <c r="AA43" i="1"/>
  <c r="Z43" i="1"/>
  <c r="Y43" i="1"/>
  <c r="AD42" i="1"/>
  <c r="AB42" i="1"/>
  <c r="AA42" i="1"/>
  <c r="Z42" i="1"/>
  <c r="AC42" i="1" s="1"/>
  <c r="Y42" i="1"/>
  <c r="AE42" i="1" s="1"/>
  <c r="AF42" i="1" s="1"/>
  <c r="AD41" i="1"/>
  <c r="AC41" i="1"/>
  <c r="AB41" i="1"/>
  <c r="AA41" i="1"/>
  <c r="Z41" i="1"/>
  <c r="Y41" i="1"/>
  <c r="AD40" i="1"/>
  <c r="AB40" i="1"/>
  <c r="AA40" i="1"/>
  <c r="Z40" i="1"/>
  <c r="Y40" i="1"/>
  <c r="AD39" i="1"/>
  <c r="AB39" i="1"/>
  <c r="AA39" i="1"/>
  <c r="Z39" i="1"/>
  <c r="AC39" i="1" s="1"/>
  <c r="Y39" i="1"/>
  <c r="AE39" i="1" s="1"/>
  <c r="AF39" i="1" s="1"/>
  <c r="AD38" i="1"/>
  <c r="AC38" i="1"/>
  <c r="AB38" i="1"/>
  <c r="AA38" i="1"/>
  <c r="Z38" i="1"/>
  <c r="Y38" i="1"/>
  <c r="AD37" i="1"/>
  <c r="AB37" i="1"/>
  <c r="AA37" i="1"/>
  <c r="Z37" i="1"/>
  <c r="Y37" i="1"/>
  <c r="AD36" i="1"/>
  <c r="AB36" i="1"/>
  <c r="AA36" i="1"/>
  <c r="Z36" i="1"/>
  <c r="AE36" i="1" s="1"/>
  <c r="AF36" i="1" s="1"/>
  <c r="Y36" i="1"/>
  <c r="AD35" i="1"/>
  <c r="AC35" i="1"/>
  <c r="AB35" i="1"/>
  <c r="AA35" i="1"/>
  <c r="Z35" i="1"/>
  <c r="Y35" i="1"/>
  <c r="V48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AF40" i="1" l="1"/>
  <c r="AF47" i="1"/>
  <c r="AF59" i="1"/>
  <c r="AF64" i="1"/>
  <c r="AF50" i="1"/>
  <c r="AF62" i="1"/>
  <c r="AF43" i="1"/>
  <c r="AF55" i="1"/>
  <c r="AC37" i="1"/>
  <c r="AC40" i="1"/>
  <c r="AC43" i="1"/>
  <c r="AC46" i="1"/>
  <c r="AC49" i="1"/>
  <c r="AC52" i="1"/>
  <c r="AC55" i="1"/>
  <c r="AC58" i="1"/>
  <c r="AC61" i="1"/>
  <c r="AC64" i="1"/>
  <c r="AC67" i="1"/>
  <c r="AC70" i="1"/>
  <c r="AC73" i="1"/>
  <c r="AE37" i="1"/>
  <c r="AF37" i="1" s="1"/>
  <c r="AE40" i="1"/>
  <c r="AE43" i="1"/>
  <c r="AE46" i="1"/>
  <c r="AF46" i="1" s="1"/>
  <c r="AE49" i="1"/>
  <c r="AF49" i="1" s="1"/>
  <c r="AE52" i="1"/>
  <c r="AF52" i="1" s="1"/>
  <c r="AE55" i="1"/>
  <c r="AE58" i="1"/>
  <c r="AF58" i="1" s="1"/>
  <c r="AE61" i="1"/>
  <c r="AF61" i="1" s="1"/>
  <c r="AE64" i="1"/>
  <c r="AE67" i="1"/>
  <c r="AF67" i="1" s="1"/>
  <c r="AE70" i="1"/>
  <c r="AF70" i="1" s="1"/>
  <c r="AE73" i="1"/>
  <c r="AF73" i="1" s="1"/>
  <c r="AC36" i="1"/>
  <c r="AC72" i="1"/>
  <c r="AE72" i="1"/>
  <c r="AF72" i="1" s="1"/>
  <c r="AC71" i="1"/>
  <c r="AE35" i="1"/>
  <c r="AF35" i="1" s="1"/>
  <c r="AE38" i="1"/>
  <c r="AF38" i="1" s="1"/>
  <c r="AE41" i="1"/>
  <c r="AF41" i="1" s="1"/>
  <c r="AE44" i="1"/>
  <c r="AF44" i="1" s="1"/>
  <c r="AE47" i="1"/>
  <c r="AE50" i="1"/>
  <c r="AE53" i="1"/>
  <c r="AF53" i="1" s="1"/>
  <c r="AE56" i="1"/>
  <c r="AF56" i="1" s="1"/>
  <c r="AE59" i="1"/>
  <c r="AE62" i="1"/>
  <c r="AE65" i="1"/>
  <c r="AF65" i="1" s="1"/>
  <c r="AE68" i="1"/>
  <c r="AF68" i="1" s="1"/>
  <c r="AE28" i="1"/>
  <c r="AF28" i="1" s="1"/>
  <c r="AD8" i="1"/>
  <c r="AD34" i="1"/>
  <c r="AD27" i="1"/>
  <c r="AD33" i="1"/>
  <c r="AD4" i="1"/>
  <c r="AC34" i="1"/>
  <c r="AD28" i="1"/>
  <c r="AD19" i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<sst xmlns="http://schemas.openxmlformats.org/spreadsheetml/2006/main" count="81" uniqueCount="65">
  <si>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</si>
  <si>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</si>
  <si>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</si>
  <si>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</si>
  <si>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</si>
  <si>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</si>
  <si>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</si>
  <si>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</si>
  <si>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</si>
  <si>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</si>
  <si>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</si>
  <si>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</si>
  <si>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</si>
  <si>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</si>
  <si>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</si>
  <si>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</si>
  <si>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</si>
  <si>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</si>
  <si>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</si>
  <si>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</si>
  <si>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</si>
  <si>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</si>
  <si>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</si>
  <si>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</si>
  <si>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</si>
  <si>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</si>
  <si>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</si>
  <si>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</si>
  <si>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</si>
  <si>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</si>
  <si>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</si>
  <si>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</si>
  <si>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</si>
  <si>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</si>
  <si>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</si>
  <si>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</si>
  <si>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</si>
  <si>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</si>
  <si>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</si>
  <si>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</si>
  <si>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</si>
  <si>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</si>
  <si>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</si>
  <si>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</si>
  <si>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</si>
  <si>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</si>
  <si>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</si>
  <si>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</si>
  <si>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</si>
  <si>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</si>
  <si>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</si>
  <si>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</si>
  <si>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</si>
  <si>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</si>
  <si>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</si>
  <si>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</si>
  <si>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</si>
  <si>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</si>
  <si>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</si>
  <si>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living room</t>
  </si>
  <si>
    <t>T18-1</t>
  </si>
  <si>
    <t>Extended azimuth Dependence Test (Randomized 360° Step Scan) bambilion points</t>
  </si>
  <si>
    <t xml:space="preserve">- Rotace ramene CW/CCW
- Náhodné azimuty pro celých 360°
- 4x různý azimut sestavy (0°-90°-180°-270°)
- Azimut ramene při startu vžy 0° (sever)
- Kalibrace nulového náklonu do 0,5° (přibližně)
- Vyměněné měřicí rameno
- Oprava xA-xC na správný směr xC-xA
</t>
  </si>
  <si>
    <t>(xC-xA)/2</t>
  </si>
  <si>
    <t>dlouhodobý test 360.py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</si>
</sst>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vertical="center" textRotation="45"/>
    </xf>
    <xf numFmtId="0" fontId="6" fillId="0" borderId="0" xfId="0" applyFont="1" applyAlignment="1">
      <alignment textRotation="90"/>
    </xf>
    <xf numFmtId="0" fontId="6" fillId="0" borderId="0" xfId="0" applyFont="1" applyAlignment="1">
      <alignment vertical="center" textRotation="135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textRotation="45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0" xfId="0" applyFont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6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'T18-1'!$U$2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'T18-1'!$C$3:$C$74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'T18-1'!$U$3:$U$74</c:f>
              <c:numCache>
                <c:formatCode>0.000000</c:formatCode>
                <c:ptCount val="72"/>
                <c:pt idx="0">
                  <c:v>8.949600000000002E-4</c:v>
                </c:pt>
                <c:pt idx="1">
                  <c:v>2.0450100000000138E-3</c:v>
                </c:pt>
                <c:pt idx="2">
                  <c:v>2.7000000000000079E-3</c:v>
                </c:pt>
                <c:pt idx="3">
                  <c:v>1.1887499999999884E-3</c:v>
                </c:pt>
                <c:pt idx="4">
                  <c:v>3.3549999999999969E-3</c:v>
                </c:pt>
                <c:pt idx="5">
                  <c:v>1.1212500000000181E-3</c:v>
                </c:pt>
                <c:pt idx="6">
                  <c:v>6.4504000000001338E-4</c:v>
                </c:pt>
                <c:pt idx="7">
                  <c:v>-1.7624999999998892E-4</c:v>
                </c:pt>
                <c:pt idx="8">
                  <c:v>2.7125000000000066E-3</c:v>
                </c:pt>
                <c:pt idx="9">
                  <c:v>2.5812900000000139E-3</c:v>
                </c:pt>
                <c:pt idx="10">
                  <c:v>3.3600000000000019E-3</c:v>
                </c:pt>
                <c:pt idx="11">
                  <c:v>2.9887399999999897E-3</c:v>
                </c:pt>
                <c:pt idx="12">
                  <c:v>1.4862199999999826E-3</c:v>
                </c:pt>
                <c:pt idx="13">
                  <c:v>5.9372999999998677E-4</c:v>
                </c:pt>
                <c:pt idx="14">
                  <c:v>2.5725000000000053E-3</c:v>
                </c:pt>
                <c:pt idx="15">
                  <c:v>2.499000000000251E-5</c:v>
                </c:pt>
                <c:pt idx="16">
                  <c:v>1.6837299999999944E-3</c:v>
                </c:pt>
                <c:pt idx="17">
                  <c:v>-7.636900000000113E-4</c:v>
                </c:pt>
                <c:pt idx="18">
                  <c:v>-9.5000000000000639E-4</c:v>
                </c:pt>
                <c:pt idx="19">
                  <c:v>-4.8747999999998459E-4</c:v>
                </c:pt>
                <c:pt idx="20">
                  <c:v>-1.7237599999999909E-3</c:v>
                </c:pt>
                <c:pt idx="21">
                  <c:v>-1.1412599999999773E-3</c:v>
                </c:pt>
                <c:pt idx="22">
                  <c:v>-1.5575199999999789E-3</c:v>
                </c:pt>
                <c:pt idx="23">
                  <c:v>-7.8246000000001259E-4</c:v>
                </c:pt>
                <c:pt idx="24">
                  <c:v>-1.4400099999999916E-3</c:v>
                </c:pt>
                <c:pt idx="25">
                  <c:v>-2.8025000000000133E-3</c:v>
                </c:pt>
                <c:pt idx="26">
                  <c:v>-4.6587200000000051E-3</c:v>
                </c:pt>
                <c:pt idx="27">
                  <c:v>-2.2724400000000144E-3</c:v>
                </c:pt>
                <c:pt idx="28">
                  <c:v>-1.0262399999999838E-3</c:v>
                </c:pt>
                <c:pt idx="29">
                  <c:v>-2.529980000000015E-3</c:v>
                </c:pt>
                <c:pt idx="30">
                  <c:v>-2.4037199999999981E-3</c:v>
                </c:pt>
                <c:pt idx="31">
                  <c:v>-2.0074799999999782E-3</c:v>
                </c:pt>
                <c:pt idx="32">
                  <c:v>-4.1911999999999783E-3</c:v>
                </c:pt>
                <c:pt idx="33">
                  <c:v>-9.2000000000000415E-4</c:v>
                </c:pt>
                <c:pt idx="34">
                  <c:v>-1.7037400000000091E-3</c:v>
                </c:pt>
                <c:pt idx="35">
                  <c:v>-1.5924800000000072E-3</c:v>
                </c:pt>
                <c:pt idx="36">
                  <c:v>-1.5625000000000222E-3</c:v>
                </c:pt>
                <c:pt idx="37">
                  <c:v>-1.1275400000000102E-3</c:v>
                </c:pt>
                <c:pt idx="38">
                  <c:v>-1.3100199999999951E-3</c:v>
                </c:pt>
                <c:pt idx="39">
                  <c:v>-2.3627999999997762E-4</c:v>
                </c:pt>
                <c:pt idx="40">
                  <c:v>1.7000000000000348E-4</c:v>
                </c:pt>
                <c:pt idx="41">
                  <c:v>-1.051300000000005E-3</c:v>
                </c:pt>
                <c:pt idx="42">
                  <c:v>-2.2637199999999968E-3</c:v>
                </c:pt>
                <c:pt idx="43">
                  <c:v>-7.8121999999999914E-4</c:v>
                </c:pt>
                <c:pt idx="44">
                  <c:v>-1.4325199999999927E-3</c:v>
                </c:pt>
                <c:pt idx="45">
                  <c:v>-2.6240000000010699E-5</c:v>
                </c:pt>
                <c:pt idx="46">
                  <c:v>-2.600199999999997E-4</c:v>
                </c:pt>
                <c:pt idx="47">
                  <c:v>-1.4004000000000794E-4</c:v>
                </c:pt>
                <c:pt idx="48">
                  <c:v>-3.3121999999999319E-4</c:v>
                </c:pt>
                <c:pt idx="49">
                  <c:v>-1.0400000000000131E-3</c:v>
                </c:pt>
                <c:pt idx="50">
                  <c:v>-2.0387800000000178E-3</c:v>
                </c:pt>
                <c:pt idx="51">
                  <c:v>-2.3724900000000049E-3</c:v>
                </c:pt>
                <c:pt idx="52">
                  <c:v>-1.7625999999998365E-4</c:v>
                </c:pt>
                <c:pt idx="53">
                  <c:v>-2.8737399999999858E-3</c:v>
                </c:pt>
                <c:pt idx="54">
                  <c:v>-2.9371999999999732E-4</c:v>
                </c:pt>
                <c:pt idx="55">
                  <c:v>1.2862399999999941E-3</c:v>
                </c:pt>
                <c:pt idx="56">
                  <c:v>2.1525000000000016E-3</c:v>
                </c:pt>
                <c:pt idx="57">
                  <c:v>-1.0650100000000051E-3</c:v>
                </c:pt>
                <c:pt idx="58">
                  <c:v>2.3862499999999787E-3</c:v>
                </c:pt>
                <c:pt idx="59">
                  <c:v>2.4986800000000031E-3</c:v>
                </c:pt>
                <c:pt idx="60">
                  <c:v>2.4037799999999943E-3</c:v>
                </c:pt>
                <c:pt idx="61">
                  <c:v>3.6787799999999926E-3</c:v>
                </c:pt>
                <c:pt idx="62">
                  <c:v>1.8137799999999871E-3</c:v>
                </c:pt>
                <c:pt idx="63">
                  <c:v>2.4837300000000173E-3</c:v>
                </c:pt>
                <c:pt idx="64">
                  <c:v>1.1925200000000025E-3</c:v>
                </c:pt>
                <c:pt idx="65">
                  <c:v>4.0500200000000153E-3</c:v>
                </c:pt>
                <c:pt idx="66">
                  <c:v>3.0299799999999877E-3</c:v>
                </c:pt>
                <c:pt idx="67">
                  <c:v>2.3112799999999989E-3</c:v>
                </c:pt>
                <c:pt idx="68">
                  <c:v>2.2262700000000024E-3</c:v>
                </c:pt>
                <c:pt idx="69">
                  <c:v>1.1399599999999954E-3</c:v>
                </c:pt>
                <c:pt idx="70">
                  <c:v>2.9662799999999878E-3</c:v>
                </c:pt>
                <c:pt idx="71">
                  <c:v>4.8062100000000052E-3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'T18-1'!$V$2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'T18-1'!$C$3:$C$74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'T18-1'!$V$3:$V$74</c:f>
              <c:numCache>
                <c:formatCode>0.000000</c:formatCode>
                <c:ptCount val="72"/>
                <c:pt idx="0">
                  <c:v>1.9374999999999254E-4</c:v>
                </c:pt>
                <c:pt idx="1">
                  <c:v>2.2799800000000148E-3</c:v>
                </c:pt>
                <c:pt idx="2">
                  <c:v>7.5199999999830958E-6</c:v>
                </c:pt>
                <c:pt idx="3">
                  <c:v>2.6436999999999711E-3</c:v>
                </c:pt>
                <c:pt idx="4">
                  <c:v>2.948729999999955E-3</c:v>
                </c:pt>
                <c:pt idx="5">
                  <c:v>2.463800000000016E-3</c:v>
                </c:pt>
                <c:pt idx="6">
                  <c:v>1.3212400000000013E-3</c:v>
                </c:pt>
                <c:pt idx="7">
                  <c:v>3.3112399999999931E-3</c:v>
                </c:pt>
                <c:pt idx="8">
                  <c:v>2.7037599999999995E-3</c:v>
                </c:pt>
                <c:pt idx="9">
                  <c:v>7.125000000000048E-4</c:v>
                </c:pt>
                <c:pt idx="10">
                  <c:v>3.1162800000000268E-3</c:v>
                </c:pt>
                <c:pt idx="11">
                  <c:v>2.313759999999998E-3</c:v>
                </c:pt>
                <c:pt idx="12">
                  <c:v>2.0574800000000004E-3</c:v>
                </c:pt>
                <c:pt idx="13">
                  <c:v>2.8087500000000265E-3</c:v>
                </c:pt>
                <c:pt idx="14">
                  <c:v>3.3674800000000338E-3</c:v>
                </c:pt>
                <c:pt idx="15">
                  <c:v>2.2700500000000234E-3</c:v>
                </c:pt>
                <c:pt idx="16">
                  <c:v>4.5324600000000159E-3</c:v>
                </c:pt>
                <c:pt idx="17">
                  <c:v>3.1862800000000413E-3</c:v>
                </c:pt>
                <c:pt idx="18">
                  <c:v>2.7787200000000123E-3</c:v>
                </c:pt>
                <c:pt idx="19">
                  <c:v>3.958819999999974E-3</c:v>
                </c:pt>
                <c:pt idx="20">
                  <c:v>2.246220000000021E-3</c:v>
                </c:pt>
                <c:pt idx="21">
                  <c:v>7.4253000000001901E-4</c:v>
                </c:pt>
                <c:pt idx="22">
                  <c:v>3.4437399999999729E-3</c:v>
                </c:pt>
                <c:pt idx="23">
                  <c:v>-2.4374999999998703E-4</c:v>
                </c:pt>
                <c:pt idx="24">
                  <c:v>2.0974800000000404E-3</c:v>
                </c:pt>
                <c:pt idx="25">
                  <c:v>2.7526000000000495E-3</c:v>
                </c:pt>
                <c:pt idx="26">
                  <c:v>1.6937399999999991E-3</c:v>
                </c:pt>
                <c:pt idx="27">
                  <c:v>5.1128999999999758E-4</c:v>
                </c:pt>
                <c:pt idx="28">
                  <c:v>1.7724799999999652E-3</c:v>
                </c:pt>
                <c:pt idx="29">
                  <c:v>7.7626000000002859E-4</c:v>
                </c:pt>
                <c:pt idx="30">
                  <c:v>1.6887999999999903E-3</c:v>
                </c:pt>
                <c:pt idx="31">
                  <c:v>-1.2837199999999882E-3</c:v>
                </c:pt>
                <c:pt idx="32">
                  <c:v>-2.4497000000001101E-4</c:v>
                </c:pt>
                <c:pt idx="33">
                  <c:v>-7.9119999999999191E-4</c:v>
                </c:pt>
                <c:pt idx="34">
                  <c:v>-1.8425000000000247E-3</c:v>
                </c:pt>
                <c:pt idx="35">
                  <c:v>-1.7874000000001056E-4</c:v>
                </c:pt>
                <c:pt idx="36">
                  <c:v>2.8759999999961039E-5</c:v>
                </c:pt>
                <c:pt idx="37">
                  <c:v>-1.6811999999999938E-3</c:v>
                </c:pt>
                <c:pt idx="38">
                  <c:v>6.2245999999999135E-4</c:v>
                </c:pt>
                <c:pt idx="39">
                  <c:v>-5.4499999999996218E-4</c:v>
                </c:pt>
                <c:pt idx="40">
                  <c:v>-2.3000200000000137E-3</c:v>
                </c:pt>
                <c:pt idx="41">
                  <c:v>-2.4367999999996837E-4</c:v>
                </c:pt>
                <c:pt idx="42">
                  <c:v>-1.4762500000000123E-3</c:v>
                </c:pt>
                <c:pt idx="43">
                  <c:v>-2.485000000000015E-3</c:v>
                </c:pt>
                <c:pt idx="44">
                  <c:v>-1.1313000000000017E-3</c:v>
                </c:pt>
                <c:pt idx="45">
                  <c:v>-2.6488000000000067E-3</c:v>
                </c:pt>
                <c:pt idx="46">
                  <c:v>-3.0225600000000075E-3</c:v>
                </c:pt>
                <c:pt idx="47">
                  <c:v>-1.9524999999999681E-3</c:v>
                </c:pt>
                <c:pt idx="48">
                  <c:v>-4.5286999999999966E-3</c:v>
                </c:pt>
                <c:pt idx="49">
                  <c:v>-2.1525400000000361E-3</c:v>
                </c:pt>
                <c:pt idx="50">
                  <c:v>-7.7249000000001455E-4</c:v>
                </c:pt>
                <c:pt idx="51">
                  <c:v>-4.9037499999999845E-3</c:v>
                </c:pt>
                <c:pt idx="52">
                  <c:v>-3.4075000000000077E-3</c:v>
                </c:pt>
                <c:pt idx="53">
                  <c:v>-1.4137799999999756E-3</c:v>
                </c:pt>
                <c:pt idx="54">
                  <c:v>-4.9812599999999874E-3</c:v>
                </c:pt>
                <c:pt idx="55">
                  <c:v>-2.9137799999999769E-3</c:v>
                </c:pt>
                <c:pt idx="56">
                  <c:v>-4.6425399999999728E-3</c:v>
                </c:pt>
                <c:pt idx="57">
                  <c:v>-2.1574500000000052E-3</c:v>
                </c:pt>
                <c:pt idx="58">
                  <c:v>-2.0275100000000101E-3</c:v>
                </c:pt>
                <c:pt idx="59">
                  <c:v>-2.8712599999999866E-3</c:v>
                </c:pt>
                <c:pt idx="60">
                  <c:v>-1.7125000000000057E-3</c:v>
                </c:pt>
                <c:pt idx="61">
                  <c:v>-2.3437299999999883E-3</c:v>
                </c:pt>
                <c:pt idx="62">
                  <c:v>-1.297500000000007E-3</c:v>
                </c:pt>
                <c:pt idx="63">
                  <c:v>-1.5024999999999622E-3</c:v>
                </c:pt>
                <c:pt idx="64">
                  <c:v>-5.1117000000000523E-4</c:v>
                </c:pt>
                <c:pt idx="65">
                  <c:v>-9.9379999999998914E-4</c:v>
                </c:pt>
                <c:pt idx="66">
                  <c:v>-1.1699900000000096E-3</c:v>
                </c:pt>
                <c:pt idx="67">
                  <c:v>-5.9499999999995667E-4</c:v>
                </c:pt>
                <c:pt idx="68">
                  <c:v>2.5879000000000874E-4</c:v>
                </c:pt>
                <c:pt idx="69">
                  <c:v>-1.3374999999998805E-4</c:v>
                </c:pt>
                <c:pt idx="70">
                  <c:v>-1.3350000000000306E-3</c:v>
                </c:pt>
                <c:pt idx="71">
                  <c:v>3.8999000000000672E-4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'T18-1'!$L$2</c15:sqref>
                        </c15:formulaRef>
                      </c:ext>
                    </c:extLst>
                    <c:strCache>
                      <c:ptCount val="1"/>
                      <c:pt idx="0">
                        <c:v>tC_prumer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'T18-1'!$C$3:$C$74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  <c:pt idx="21">
                        <c:v>105</c:v>
                      </c:pt>
                      <c:pt idx="22">
                        <c:v>110</c:v>
                      </c:pt>
                      <c:pt idx="23">
                        <c:v>115</c:v>
                      </c:pt>
                      <c:pt idx="24">
                        <c:v>120</c:v>
                      </c:pt>
                      <c:pt idx="25">
                        <c:v>125</c:v>
                      </c:pt>
                      <c:pt idx="26">
                        <c:v>130</c:v>
                      </c:pt>
                      <c:pt idx="27">
                        <c:v>135</c:v>
                      </c:pt>
                      <c:pt idx="28">
                        <c:v>140</c:v>
                      </c:pt>
                      <c:pt idx="29">
                        <c:v>145</c:v>
                      </c:pt>
                      <c:pt idx="30">
                        <c:v>150</c:v>
                      </c:pt>
                      <c:pt idx="31">
                        <c:v>155</c:v>
                      </c:pt>
                      <c:pt idx="32">
                        <c:v>160</c:v>
                      </c:pt>
                      <c:pt idx="33">
                        <c:v>165</c:v>
                      </c:pt>
                      <c:pt idx="34">
                        <c:v>170</c:v>
                      </c:pt>
                      <c:pt idx="35">
                        <c:v>175</c:v>
                      </c:pt>
                      <c:pt idx="36">
                        <c:v>180</c:v>
                      </c:pt>
                      <c:pt idx="37">
                        <c:v>185</c:v>
                      </c:pt>
                      <c:pt idx="38">
                        <c:v>190</c:v>
                      </c:pt>
                      <c:pt idx="39">
                        <c:v>195</c:v>
                      </c:pt>
                      <c:pt idx="40">
                        <c:v>200</c:v>
                      </c:pt>
                      <c:pt idx="41">
                        <c:v>205</c:v>
                      </c:pt>
                      <c:pt idx="42">
                        <c:v>210</c:v>
                      </c:pt>
                      <c:pt idx="43">
                        <c:v>215</c:v>
                      </c:pt>
                      <c:pt idx="44">
                        <c:v>220</c:v>
                      </c:pt>
                      <c:pt idx="45">
                        <c:v>225</c:v>
                      </c:pt>
                      <c:pt idx="46">
                        <c:v>230</c:v>
                      </c:pt>
                      <c:pt idx="47">
                        <c:v>235</c:v>
                      </c:pt>
                      <c:pt idx="48">
                        <c:v>240</c:v>
                      </c:pt>
                      <c:pt idx="49">
                        <c:v>245</c:v>
                      </c:pt>
                      <c:pt idx="50">
                        <c:v>250</c:v>
                      </c:pt>
                      <c:pt idx="51">
                        <c:v>255</c:v>
                      </c:pt>
                      <c:pt idx="52">
                        <c:v>260</c:v>
                      </c:pt>
                      <c:pt idx="53">
                        <c:v>265</c:v>
                      </c:pt>
                      <c:pt idx="54">
                        <c:v>270</c:v>
                      </c:pt>
                      <c:pt idx="55">
                        <c:v>275</c:v>
                      </c:pt>
                      <c:pt idx="56">
                        <c:v>280</c:v>
                      </c:pt>
                      <c:pt idx="57">
                        <c:v>285</c:v>
                      </c:pt>
                      <c:pt idx="58">
                        <c:v>290</c:v>
                      </c:pt>
                      <c:pt idx="59">
                        <c:v>295</c:v>
                      </c:pt>
                      <c:pt idx="60">
                        <c:v>300</c:v>
                      </c:pt>
                      <c:pt idx="61">
                        <c:v>305</c:v>
                      </c:pt>
                      <c:pt idx="62">
                        <c:v>310</c:v>
                      </c:pt>
                      <c:pt idx="63">
                        <c:v>315</c:v>
                      </c:pt>
                      <c:pt idx="64">
                        <c:v>320</c:v>
                      </c:pt>
                      <c:pt idx="65">
                        <c:v>325</c:v>
                      </c:pt>
                      <c:pt idx="66">
                        <c:v>330</c:v>
                      </c:pt>
                      <c:pt idx="67">
                        <c:v>335</c:v>
                      </c:pt>
                      <c:pt idx="68">
                        <c:v>340</c:v>
                      </c:pt>
                      <c:pt idx="69">
                        <c:v>345</c:v>
                      </c:pt>
                      <c:pt idx="70">
                        <c:v>350</c:v>
                      </c:pt>
                      <c:pt idx="71">
                        <c:v>355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'T18-1'!$L$3:$L$18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25.12</c:v>
                      </c:pt>
                      <c:pt idx="1">
                        <c:v>25.14</c:v>
                      </c:pt>
                      <c:pt idx="2">
                        <c:v>25.17</c:v>
                      </c:pt>
                      <c:pt idx="3">
                        <c:v>25.05</c:v>
                      </c:pt>
                      <c:pt idx="4">
                        <c:v>25.16</c:v>
                      </c:pt>
                      <c:pt idx="5">
                        <c:v>25.12</c:v>
                      </c:pt>
                      <c:pt idx="6">
                        <c:v>25.16</c:v>
                      </c:pt>
                      <c:pt idx="7">
                        <c:v>25.06</c:v>
                      </c:pt>
                      <c:pt idx="8">
                        <c:v>25.09</c:v>
                      </c:pt>
                      <c:pt idx="9">
                        <c:v>25.03</c:v>
                      </c:pt>
                      <c:pt idx="10">
                        <c:v>25.13</c:v>
                      </c:pt>
                      <c:pt idx="11">
                        <c:v>25.17</c:v>
                      </c:pt>
                      <c:pt idx="12">
                        <c:v>25.15</c:v>
                      </c:pt>
                      <c:pt idx="13">
                        <c:v>25.13</c:v>
                      </c:pt>
                      <c:pt idx="14">
                        <c:v>25.1</c:v>
                      </c:pt>
                      <c:pt idx="15">
                        <c:v>25.03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'T18-1'!$O$2</c15:sqref>
                        </c15:formulaRef>
                      </c:ext>
                    </c:extLst>
                    <c:strCache>
                      <c:ptCount val="1"/>
                      <c:pt idx="0">
                        <c:v>axC_prumer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'T18-1'!$C$3:$C$74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  <c:pt idx="21">
                        <c:v>105</c:v>
                      </c:pt>
                      <c:pt idx="22">
                        <c:v>110</c:v>
                      </c:pt>
                      <c:pt idx="23">
                        <c:v>115</c:v>
                      </c:pt>
                      <c:pt idx="24">
                        <c:v>120</c:v>
                      </c:pt>
                      <c:pt idx="25">
                        <c:v>125</c:v>
                      </c:pt>
                      <c:pt idx="26">
                        <c:v>130</c:v>
                      </c:pt>
                      <c:pt idx="27">
                        <c:v>135</c:v>
                      </c:pt>
                      <c:pt idx="28">
                        <c:v>140</c:v>
                      </c:pt>
                      <c:pt idx="29">
                        <c:v>145</c:v>
                      </c:pt>
                      <c:pt idx="30">
                        <c:v>150</c:v>
                      </c:pt>
                      <c:pt idx="31">
                        <c:v>155</c:v>
                      </c:pt>
                      <c:pt idx="32">
                        <c:v>160</c:v>
                      </c:pt>
                      <c:pt idx="33">
                        <c:v>165</c:v>
                      </c:pt>
                      <c:pt idx="34">
                        <c:v>170</c:v>
                      </c:pt>
                      <c:pt idx="35">
                        <c:v>175</c:v>
                      </c:pt>
                      <c:pt idx="36">
                        <c:v>180</c:v>
                      </c:pt>
                      <c:pt idx="37">
                        <c:v>185</c:v>
                      </c:pt>
                      <c:pt idx="38">
                        <c:v>190</c:v>
                      </c:pt>
                      <c:pt idx="39">
                        <c:v>195</c:v>
                      </c:pt>
                      <c:pt idx="40">
                        <c:v>200</c:v>
                      </c:pt>
                      <c:pt idx="41">
                        <c:v>205</c:v>
                      </c:pt>
                      <c:pt idx="42">
                        <c:v>210</c:v>
                      </c:pt>
                      <c:pt idx="43">
                        <c:v>215</c:v>
                      </c:pt>
                      <c:pt idx="44">
                        <c:v>220</c:v>
                      </c:pt>
                      <c:pt idx="45">
                        <c:v>225</c:v>
                      </c:pt>
                      <c:pt idx="46">
                        <c:v>230</c:v>
                      </c:pt>
                      <c:pt idx="47">
                        <c:v>235</c:v>
                      </c:pt>
                      <c:pt idx="48">
                        <c:v>240</c:v>
                      </c:pt>
                      <c:pt idx="49">
                        <c:v>245</c:v>
                      </c:pt>
                      <c:pt idx="50">
                        <c:v>250</c:v>
                      </c:pt>
                      <c:pt idx="51">
                        <c:v>255</c:v>
                      </c:pt>
                      <c:pt idx="52">
                        <c:v>260</c:v>
                      </c:pt>
                      <c:pt idx="53">
                        <c:v>265</c:v>
                      </c:pt>
                      <c:pt idx="54">
                        <c:v>270</c:v>
                      </c:pt>
                      <c:pt idx="55">
                        <c:v>275</c:v>
                      </c:pt>
                      <c:pt idx="56">
                        <c:v>280</c:v>
                      </c:pt>
                      <c:pt idx="57">
                        <c:v>285</c:v>
                      </c:pt>
                      <c:pt idx="58">
                        <c:v>290</c:v>
                      </c:pt>
                      <c:pt idx="59">
                        <c:v>295</c:v>
                      </c:pt>
                      <c:pt idx="60">
                        <c:v>300</c:v>
                      </c:pt>
                      <c:pt idx="61">
                        <c:v>305</c:v>
                      </c:pt>
                      <c:pt idx="62">
                        <c:v>310</c:v>
                      </c:pt>
                      <c:pt idx="63">
                        <c:v>315</c:v>
                      </c:pt>
                      <c:pt idx="64">
                        <c:v>320</c:v>
                      </c:pt>
                      <c:pt idx="65">
                        <c:v>325</c:v>
                      </c:pt>
                      <c:pt idx="66">
                        <c:v>330</c:v>
                      </c:pt>
                      <c:pt idx="67">
                        <c:v>335</c:v>
                      </c:pt>
                      <c:pt idx="68">
                        <c:v>340</c:v>
                      </c:pt>
                      <c:pt idx="69">
                        <c:v>345</c:v>
                      </c:pt>
                      <c:pt idx="70">
                        <c:v>350</c:v>
                      </c:pt>
                      <c:pt idx="71">
                        <c:v>355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'T18-1'!$O$3:$O$18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3.160205E-2</c:v>
                      </c:pt>
                      <c:pt idx="1">
                        <c:v>3.109118E-2</c:v>
                      </c:pt>
                      <c:pt idx="2">
                        <c:v>3.1581659999999998E-2</c:v>
                      </c:pt>
                      <c:pt idx="3">
                        <c:v>3.159522E-2</c:v>
                      </c:pt>
                      <c:pt idx="4">
                        <c:v>3.1178959999999999E-2</c:v>
                      </c:pt>
                      <c:pt idx="5">
                        <c:v>3.120179E-2</c:v>
                      </c:pt>
                      <c:pt idx="6">
                        <c:v>3.0903690000000001E-2</c:v>
                      </c:pt>
                      <c:pt idx="7">
                        <c:v>3.0665769999999998E-2</c:v>
                      </c:pt>
                      <c:pt idx="8">
                        <c:v>3.0990719999999999E-2</c:v>
                      </c:pt>
                      <c:pt idx="9">
                        <c:v>3.065882E-2</c:v>
                      </c:pt>
                      <c:pt idx="10">
                        <c:v>3.1337770000000001E-2</c:v>
                      </c:pt>
                      <c:pt idx="11">
                        <c:v>3.1194340000000001E-2</c:v>
                      </c:pt>
                      <c:pt idx="12">
                        <c:v>3.1761350000000001E-2</c:v>
                      </c:pt>
                      <c:pt idx="13">
                        <c:v>3.1790279999999997E-2</c:v>
                      </c:pt>
                      <c:pt idx="14">
                        <c:v>3.2333500000000001E-2</c:v>
                      </c:pt>
                      <c:pt idx="15">
                        <c:v>3.2454959999999998E-2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'T18-1'!$AC$2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'T18-1'!$C$3:$C$74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'T18-1'!$AC$3:$AC$74</c:f>
              <c:numCache>
                <c:formatCode>0.00</c:formatCode>
                <c:ptCount val="72"/>
                <c:pt idx="0">
                  <c:v>2.4866867527083238</c:v>
                </c:pt>
                <c:pt idx="1">
                  <c:v>2.4972391940469083</c:v>
                </c:pt>
                <c:pt idx="2">
                  <c:v>2.4941252918253003</c:v>
                </c:pt>
                <c:pt idx="3">
                  <c:v>2.5267593384962717</c:v>
                </c:pt>
                <c:pt idx="4">
                  <c:v>2.5191752609672609</c:v>
                </c:pt>
                <c:pt idx="5">
                  <c:v>2.5314871780082249</c:v>
                </c:pt>
                <c:pt idx="6">
                  <c:v>2.5210411639124262</c:v>
                </c:pt>
                <c:pt idx="7">
                  <c:v>2.5262295740188594</c:v>
                </c:pt>
                <c:pt idx="8">
                  <c:v>2.5082787428170281</c:v>
                </c:pt>
                <c:pt idx="9">
                  <c:v>2.5044623567369877</c:v>
                </c:pt>
                <c:pt idx="10">
                  <c:v>2.4830500774966535</c:v>
                </c:pt>
                <c:pt idx="11">
                  <c:v>2.4719513847514292</c:v>
                </c:pt>
                <c:pt idx="12">
                  <c:v>2.4485776792921103</c:v>
                </c:pt>
                <c:pt idx="13">
                  <c:v>2.424333311061547</c:v>
                </c:pt>
                <c:pt idx="14">
                  <c:v>2.4179514493780094</c:v>
                </c:pt>
                <c:pt idx="15">
                  <c:v>2.3941773539054774</c:v>
                </c:pt>
                <c:pt idx="16">
                  <c:v>2.3904671032747449</c:v>
                </c:pt>
                <c:pt idx="17">
                  <c:v>2.355050189837868</c:v>
                </c:pt>
                <c:pt idx="18">
                  <c:v>2.3115763425394662</c:v>
                </c:pt>
                <c:pt idx="19">
                  <c:v>2.3209462436184438</c:v>
                </c:pt>
                <c:pt idx="20">
                  <c:v>2.2606234900843591</c:v>
                </c:pt>
                <c:pt idx="21">
                  <c:v>2.2294901270788143</c:v>
                </c:pt>
                <c:pt idx="22">
                  <c:v>2.2022335550282164</c:v>
                </c:pt>
                <c:pt idx="23">
                  <c:v>2.1588603817525924</c:v>
                </c:pt>
                <c:pt idx="24">
                  <c:v>2.1392448266990454</c:v>
                </c:pt>
                <c:pt idx="25">
                  <c:v>2.1106584727822169</c:v>
                </c:pt>
                <c:pt idx="26">
                  <c:v>2.0993221807892857</c:v>
                </c:pt>
                <c:pt idx="27">
                  <c:v>2.0225543943139188</c:v>
                </c:pt>
                <c:pt idx="28">
                  <c:v>2.0141728486987893</c:v>
                </c:pt>
                <c:pt idx="29">
                  <c:v>1.9788180389858545</c:v>
                </c:pt>
                <c:pt idx="30">
                  <c:v>1.9372521934150471</c:v>
                </c:pt>
                <c:pt idx="31">
                  <c:v>1.9150509676016685</c:v>
                </c:pt>
                <c:pt idx="32">
                  <c:v>1.8833713160691716</c:v>
                </c:pt>
                <c:pt idx="33">
                  <c:v>1.8694751612574703</c:v>
                </c:pt>
                <c:pt idx="34">
                  <c:v>1.8436158194755703</c:v>
                </c:pt>
                <c:pt idx="35">
                  <c:v>1.8301679739186734</c:v>
                </c:pt>
                <c:pt idx="36">
                  <c:v>1.7795894815217792</c:v>
                </c:pt>
                <c:pt idx="37">
                  <c:v>1.7847978030239291</c:v>
                </c:pt>
                <c:pt idx="38">
                  <c:v>1.8100783785272869</c:v>
                </c:pt>
                <c:pt idx="39">
                  <c:v>1.7747104135006053</c:v>
                </c:pt>
                <c:pt idx="40">
                  <c:v>1.753936248581679</c:v>
                </c:pt>
                <c:pt idx="41">
                  <c:v>1.7616076880167983</c:v>
                </c:pt>
                <c:pt idx="42">
                  <c:v>1.7723749090563834</c:v>
                </c:pt>
                <c:pt idx="43">
                  <c:v>1.7655905742170015</c:v>
                </c:pt>
                <c:pt idx="44">
                  <c:v>1.7837892259242509</c:v>
                </c:pt>
                <c:pt idx="45">
                  <c:v>1.8013023911766248</c:v>
                </c:pt>
                <c:pt idx="46">
                  <c:v>1.8143210919773489</c:v>
                </c:pt>
                <c:pt idx="47">
                  <c:v>1.8335846033961551</c:v>
                </c:pt>
                <c:pt idx="48">
                  <c:v>1.8674491621928722</c:v>
                </c:pt>
                <c:pt idx="49">
                  <c:v>1.8841532296453047</c:v>
                </c:pt>
                <c:pt idx="50">
                  <c:v>1.9138669048256765</c:v>
                </c:pt>
                <c:pt idx="51">
                  <c:v>1.954655648568598</c:v>
                </c:pt>
                <c:pt idx="52">
                  <c:v>1.9704648359515642</c:v>
                </c:pt>
                <c:pt idx="53">
                  <c:v>2.0283159929581234</c:v>
                </c:pt>
                <c:pt idx="54">
                  <c:v>2.069334969355328</c:v>
                </c:pt>
                <c:pt idx="55">
                  <c:v>2.063601592428157</c:v>
                </c:pt>
                <c:pt idx="56">
                  <c:v>2.1224692695159537</c:v>
                </c:pt>
                <c:pt idx="57">
                  <c:v>2.1553410240036088</c:v>
                </c:pt>
                <c:pt idx="58">
                  <c:v>2.160712459591255</c:v>
                </c:pt>
                <c:pt idx="59">
                  <c:v>2.204281297093202</c:v>
                </c:pt>
                <c:pt idx="60">
                  <c:v>2.2359764287091184</c:v>
                </c:pt>
                <c:pt idx="61">
                  <c:v>2.2916932614175112</c:v>
                </c:pt>
                <c:pt idx="62">
                  <c:v>2.2916800293666464</c:v>
                </c:pt>
                <c:pt idx="63">
                  <c:v>2.3309369067678971</c:v>
                </c:pt>
                <c:pt idx="64">
                  <c:v>2.363986444509135</c:v>
                </c:pt>
                <c:pt idx="65">
                  <c:v>2.3816652898536192</c:v>
                </c:pt>
                <c:pt idx="66">
                  <c:v>2.3990627675820955</c:v>
                </c:pt>
                <c:pt idx="67">
                  <c:v>2.407525331998257</c:v>
                </c:pt>
                <c:pt idx="68">
                  <c:v>2.4326867321141443</c:v>
                </c:pt>
                <c:pt idx="69">
                  <c:v>2.4335670400726048</c:v>
                </c:pt>
                <c:pt idx="70">
                  <c:v>2.4809859761574056</c:v>
                </c:pt>
                <c:pt idx="71">
                  <c:v>2.4996582079213021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'T18-1'!$AD$2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'T18-1'!$C$3:$C$74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'T18-1'!$AD$3:$AD$74</c:f>
              <c:numCache>
                <c:formatCode>0.00</c:formatCode>
                <c:ptCount val="72"/>
                <c:pt idx="0">
                  <c:v>1.813585082222227</c:v>
                </c:pt>
                <c:pt idx="1">
                  <c:v>1.7859431141737985</c:v>
                </c:pt>
                <c:pt idx="2">
                  <c:v>1.8154618238013847</c:v>
                </c:pt>
                <c:pt idx="3">
                  <c:v>1.818987686966268</c:v>
                </c:pt>
                <c:pt idx="4">
                  <c:v>1.7980901315092925</c:v>
                </c:pt>
                <c:pt idx="5">
                  <c:v>1.8042090852722621</c:v>
                </c:pt>
                <c:pt idx="6">
                  <c:v>1.7929438584997726</c:v>
                </c:pt>
                <c:pt idx="7">
                  <c:v>1.7845502085143639</c:v>
                </c:pt>
                <c:pt idx="8">
                  <c:v>1.809754806369964</c:v>
                </c:pt>
                <c:pt idx="9">
                  <c:v>1.7994000759149964</c:v>
                </c:pt>
                <c:pt idx="10">
                  <c:v>1.8437022143543293</c:v>
                </c:pt>
                <c:pt idx="11">
                  <c:v>1.843978696636404</c:v>
                </c:pt>
                <c:pt idx="12">
                  <c:v>1.8820839992719254</c:v>
                </c:pt>
                <c:pt idx="13">
                  <c:v>1.8904691865335341</c:v>
                </c:pt>
                <c:pt idx="14">
                  <c:v>1.9245097970785616</c:v>
                </c:pt>
                <c:pt idx="15">
                  <c:v>1.9420835741531173</c:v>
                </c:pt>
                <c:pt idx="16">
                  <c:v>1.9936166220010036</c:v>
                </c:pt>
                <c:pt idx="17">
                  <c:v>2.0172996320229717</c:v>
                </c:pt>
                <c:pt idx="18">
                  <c:v>2.0438576150936334</c:v>
                </c:pt>
                <c:pt idx="19">
                  <c:v>2.0734559277795186</c:v>
                </c:pt>
                <c:pt idx="20">
                  <c:v>2.1242456734616457</c:v>
                </c:pt>
                <c:pt idx="21">
                  <c:v>2.1661914072010067</c:v>
                </c:pt>
                <c:pt idx="22">
                  <c:v>2.1886394148424793</c:v>
                </c:pt>
                <c:pt idx="23">
                  <c:v>2.180994269071034</c:v>
                </c:pt>
                <c:pt idx="24">
                  <c:v>2.2751127159676612</c:v>
                </c:pt>
                <c:pt idx="25">
                  <c:v>2.2841855786868575</c:v>
                </c:pt>
                <c:pt idx="26">
                  <c:v>2.2977909654370334</c:v>
                </c:pt>
                <c:pt idx="27">
                  <c:v>2.3392440619503199</c:v>
                </c:pt>
                <c:pt idx="28">
                  <c:v>2.3686655974924911</c:v>
                </c:pt>
                <c:pt idx="29">
                  <c:v>2.3859054565916509</c:v>
                </c:pt>
                <c:pt idx="30">
                  <c:v>2.419103745369473</c:v>
                </c:pt>
                <c:pt idx="31">
                  <c:v>2.4460607086332002</c:v>
                </c:pt>
                <c:pt idx="32">
                  <c:v>2.4436394472917109</c:v>
                </c:pt>
                <c:pt idx="33">
                  <c:v>2.4396460455607136</c:v>
                </c:pt>
                <c:pt idx="34">
                  <c:v>2.459281562850935</c:v>
                </c:pt>
                <c:pt idx="35">
                  <c:v>2.4865000589163135</c:v>
                </c:pt>
                <c:pt idx="36">
                  <c:v>2.4842080203137491</c:v>
                </c:pt>
                <c:pt idx="37">
                  <c:v>2.496538730644529</c:v>
                </c:pt>
                <c:pt idx="38">
                  <c:v>2.5250352308414805</c:v>
                </c:pt>
                <c:pt idx="39">
                  <c:v>2.5277797735503227</c:v>
                </c:pt>
                <c:pt idx="40">
                  <c:v>2.5358472642318675</c:v>
                </c:pt>
                <c:pt idx="41">
                  <c:v>2.5265776273654299</c:v>
                </c:pt>
                <c:pt idx="42">
                  <c:v>2.5252689589667185</c:v>
                </c:pt>
                <c:pt idx="43">
                  <c:v>2.514140073453802</c:v>
                </c:pt>
                <c:pt idx="44">
                  <c:v>2.517129035876243</c:v>
                </c:pt>
                <c:pt idx="45">
                  <c:v>2.5073042749186247</c:v>
                </c:pt>
                <c:pt idx="46">
                  <c:v>2.4809837902167966</c:v>
                </c:pt>
                <c:pt idx="47">
                  <c:v>2.4987203124068711</c:v>
                </c:pt>
                <c:pt idx="48">
                  <c:v>2.4616481959384031</c:v>
                </c:pt>
                <c:pt idx="49">
                  <c:v>2.4614603183692201</c:v>
                </c:pt>
                <c:pt idx="50">
                  <c:v>2.4500620911660742</c:v>
                </c:pt>
                <c:pt idx="51">
                  <c:v>2.4555934401013153</c:v>
                </c:pt>
                <c:pt idx="52">
                  <c:v>2.4072116502907455</c:v>
                </c:pt>
                <c:pt idx="53">
                  <c:v>2.3891051914605219</c:v>
                </c:pt>
                <c:pt idx="54">
                  <c:v>2.3918473330669889</c:v>
                </c:pt>
                <c:pt idx="55">
                  <c:v>2.3111568586968545</c:v>
                </c:pt>
                <c:pt idx="56">
                  <c:v>2.3014135803364542</c:v>
                </c:pt>
                <c:pt idx="57">
                  <c:v>2.2726932064997261</c:v>
                </c:pt>
                <c:pt idx="58">
                  <c:v>2.2614865692732633</c:v>
                </c:pt>
                <c:pt idx="59">
                  <c:v>2.2149904059704828</c:v>
                </c:pt>
                <c:pt idx="60">
                  <c:v>2.1994707673902556</c:v>
                </c:pt>
                <c:pt idx="61">
                  <c:v>2.1700376685615641</c:v>
                </c:pt>
                <c:pt idx="62">
                  <c:v>2.1190808614860317</c:v>
                </c:pt>
                <c:pt idx="63">
                  <c:v>2.0770971913390914</c:v>
                </c:pt>
                <c:pt idx="64">
                  <c:v>2.0550295501971183</c:v>
                </c:pt>
                <c:pt idx="65">
                  <c:v>2.0156084933705065</c:v>
                </c:pt>
                <c:pt idx="66">
                  <c:v>1.9782110778030753</c:v>
                </c:pt>
                <c:pt idx="67">
                  <c:v>1.9491320919187209</c:v>
                </c:pt>
                <c:pt idx="68">
                  <c:v>1.9463554832276859</c:v>
                </c:pt>
                <c:pt idx="69">
                  <c:v>1.9046015751987018</c:v>
                </c:pt>
                <c:pt idx="70">
                  <c:v>1.8796320862625946</c:v>
                </c:pt>
                <c:pt idx="71">
                  <c:v>1.8845178028769616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'T18-1'!$K$2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'T18-1'!$C$3:$C$74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'T18-1'!$K$3:$K$74</c:f>
              <c:numCache>
                <c:formatCode>0.00</c:formatCode>
                <c:ptCount val="72"/>
                <c:pt idx="0">
                  <c:v>25.12</c:v>
                </c:pt>
                <c:pt idx="1">
                  <c:v>25.14</c:v>
                </c:pt>
                <c:pt idx="2">
                  <c:v>25.17</c:v>
                </c:pt>
                <c:pt idx="3">
                  <c:v>25.05</c:v>
                </c:pt>
                <c:pt idx="4">
                  <c:v>25.16</c:v>
                </c:pt>
                <c:pt idx="5">
                  <c:v>25.14</c:v>
                </c:pt>
                <c:pt idx="6">
                  <c:v>25.16</c:v>
                </c:pt>
                <c:pt idx="7">
                  <c:v>25.06</c:v>
                </c:pt>
                <c:pt idx="8">
                  <c:v>25.09</c:v>
                </c:pt>
                <c:pt idx="9">
                  <c:v>25.01</c:v>
                </c:pt>
                <c:pt idx="10">
                  <c:v>25.12</c:v>
                </c:pt>
                <c:pt idx="11">
                  <c:v>25.17</c:v>
                </c:pt>
                <c:pt idx="12">
                  <c:v>25.14</c:v>
                </c:pt>
                <c:pt idx="13">
                  <c:v>25.13</c:v>
                </c:pt>
                <c:pt idx="14">
                  <c:v>25.12</c:v>
                </c:pt>
                <c:pt idx="15">
                  <c:v>25.04</c:v>
                </c:pt>
                <c:pt idx="16">
                  <c:v>25.14</c:v>
                </c:pt>
                <c:pt idx="17">
                  <c:v>25.1</c:v>
                </c:pt>
                <c:pt idx="18">
                  <c:v>25.04</c:v>
                </c:pt>
                <c:pt idx="19">
                  <c:v>25.03</c:v>
                </c:pt>
                <c:pt idx="20">
                  <c:v>25.1</c:v>
                </c:pt>
                <c:pt idx="21">
                  <c:v>25.12</c:v>
                </c:pt>
                <c:pt idx="22">
                  <c:v>25.16</c:v>
                </c:pt>
                <c:pt idx="23">
                  <c:v>25.14</c:v>
                </c:pt>
                <c:pt idx="24">
                  <c:v>25.01</c:v>
                </c:pt>
                <c:pt idx="25">
                  <c:v>25.14</c:v>
                </c:pt>
                <c:pt idx="26">
                  <c:v>25.16</c:v>
                </c:pt>
                <c:pt idx="27">
                  <c:v>25.06</c:v>
                </c:pt>
                <c:pt idx="28">
                  <c:v>25.1</c:v>
                </c:pt>
                <c:pt idx="29">
                  <c:v>25.16</c:v>
                </c:pt>
                <c:pt idx="30">
                  <c:v>25.03</c:v>
                </c:pt>
                <c:pt idx="31">
                  <c:v>25.03</c:v>
                </c:pt>
                <c:pt idx="32" formatCode="General">
                  <c:v>25.07</c:v>
                </c:pt>
                <c:pt idx="33" formatCode="General">
                  <c:v>25.03</c:v>
                </c:pt>
                <c:pt idx="34" formatCode="General">
                  <c:v>25.05</c:v>
                </c:pt>
                <c:pt idx="35" formatCode="General">
                  <c:v>25.11</c:v>
                </c:pt>
                <c:pt idx="36" formatCode="General">
                  <c:v>25.17</c:v>
                </c:pt>
                <c:pt idx="37" formatCode="General">
                  <c:v>25.13</c:v>
                </c:pt>
                <c:pt idx="38" formatCode="General">
                  <c:v>25.02</c:v>
                </c:pt>
                <c:pt idx="39" formatCode="General">
                  <c:v>25.09</c:v>
                </c:pt>
                <c:pt idx="40" formatCode="General">
                  <c:v>25.16</c:v>
                </c:pt>
                <c:pt idx="41" formatCode="General">
                  <c:v>25.14</c:v>
                </c:pt>
                <c:pt idx="42" formatCode="General">
                  <c:v>25.08</c:v>
                </c:pt>
                <c:pt idx="43" formatCode="General">
                  <c:v>25.15</c:v>
                </c:pt>
                <c:pt idx="44" formatCode="General">
                  <c:v>25.18</c:v>
                </c:pt>
                <c:pt idx="45" formatCode="General">
                  <c:v>25.14</c:v>
                </c:pt>
                <c:pt idx="46" formatCode="General">
                  <c:v>25.11</c:v>
                </c:pt>
                <c:pt idx="47" formatCode="General">
                  <c:v>25.03</c:v>
                </c:pt>
                <c:pt idx="48" formatCode="General">
                  <c:v>25.04</c:v>
                </c:pt>
                <c:pt idx="49" formatCode="General">
                  <c:v>25.14</c:v>
                </c:pt>
                <c:pt idx="50" formatCode="General">
                  <c:v>25.09</c:v>
                </c:pt>
                <c:pt idx="51" formatCode="General">
                  <c:v>25.05</c:v>
                </c:pt>
                <c:pt idx="52" formatCode="General">
                  <c:v>25.16</c:v>
                </c:pt>
                <c:pt idx="53" formatCode="General">
                  <c:v>25.15</c:v>
                </c:pt>
                <c:pt idx="54" formatCode="General">
                  <c:v>25.06</c:v>
                </c:pt>
                <c:pt idx="55" formatCode="General">
                  <c:v>25.11</c:v>
                </c:pt>
                <c:pt idx="56" formatCode="General">
                  <c:v>25.07</c:v>
                </c:pt>
                <c:pt idx="57" formatCode="General">
                  <c:v>25.17</c:v>
                </c:pt>
                <c:pt idx="58" formatCode="General">
                  <c:v>25.15</c:v>
                </c:pt>
                <c:pt idx="59" formatCode="General">
                  <c:v>25.03</c:v>
                </c:pt>
                <c:pt idx="60" formatCode="General">
                  <c:v>25.09</c:v>
                </c:pt>
                <c:pt idx="61" formatCode="General">
                  <c:v>25.09</c:v>
                </c:pt>
                <c:pt idx="62" formatCode="General">
                  <c:v>25.08</c:v>
                </c:pt>
                <c:pt idx="63" formatCode="General">
                  <c:v>25.17</c:v>
                </c:pt>
                <c:pt idx="64" formatCode="General">
                  <c:v>25.02</c:v>
                </c:pt>
                <c:pt idx="65" formatCode="General">
                  <c:v>25.08</c:v>
                </c:pt>
                <c:pt idx="66" formatCode="General">
                  <c:v>25.15</c:v>
                </c:pt>
                <c:pt idx="67" formatCode="General">
                  <c:v>25.02</c:v>
                </c:pt>
                <c:pt idx="68" formatCode="General">
                  <c:v>25.16</c:v>
                </c:pt>
                <c:pt idx="69" formatCode="General">
                  <c:v>25.16</c:v>
                </c:pt>
                <c:pt idx="70" formatCode="General">
                  <c:v>25.11</c:v>
                </c:pt>
                <c:pt idx="71" formatCode="General">
                  <c:v>25.02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'T18-1'!$L$2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'T18-1'!$C$3:$C$74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'T18-1'!$L$3:$L$74</c:f>
              <c:numCache>
                <c:formatCode>0.00</c:formatCode>
                <c:ptCount val="72"/>
                <c:pt idx="0">
                  <c:v>25.12</c:v>
                </c:pt>
                <c:pt idx="1">
                  <c:v>25.14</c:v>
                </c:pt>
                <c:pt idx="2">
                  <c:v>25.17</c:v>
                </c:pt>
                <c:pt idx="3">
                  <c:v>25.05</c:v>
                </c:pt>
                <c:pt idx="4">
                  <c:v>25.16</c:v>
                </c:pt>
                <c:pt idx="5">
                  <c:v>25.12</c:v>
                </c:pt>
                <c:pt idx="6">
                  <c:v>25.16</c:v>
                </c:pt>
                <c:pt idx="7">
                  <c:v>25.06</c:v>
                </c:pt>
                <c:pt idx="8">
                  <c:v>25.09</c:v>
                </c:pt>
                <c:pt idx="9">
                  <c:v>25.03</c:v>
                </c:pt>
                <c:pt idx="10">
                  <c:v>25.13</c:v>
                </c:pt>
                <c:pt idx="11">
                  <c:v>25.17</c:v>
                </c:pt>
                <c:pt idx="12">
                  <c:v>25.15</c:v>
                </c:pt>
                <c:pt idx="13">
                  <c:v>25.13</c:v>
                </c:pt>
                <c:pt idx="14">
                  <c:v>25.1</c:v>
                </c:pt>
                <c:pt idx="15">
                  <c:v>25.03</c:v>
                </c:pt>
                <c:pt idx="16">
                  <c:v>25.14</c:v>
                </c:pt>
                <c:pt idx="17">
                  <c:v>25.09</c:v>
                </c:pt>
                <c:pt idx="18">
                  <c:v>25.04</c:v>
                </c:pt>
                <c:pt idx="19">
                  <c:v>25.04</c:v>
                </c:pt>
                <c:pt idx="20">
                  <c:v>25.09</c:v>
                </c:pt>
                <c:pt idx="21">
                  <c:v>25.11</c:v>
                </c:pt>
                <c:pt idx="22">
                  <c:v>25.15</c:v>
                </c:pt>
                <c:pt idx="23">
                  <c:v>25.14</c:v>
                </c:pt>
                <c:pt idx="24">
                  <c:v>25.03</c:v>
                </c:pt>
                <c:pt idx="25">
                  <c:v>25.15</c:v>
                </c:pt>
                <c:pt idx="26">
                  <c:v>25.16</c:v>
                </c:pt>
                <c:pt idx="27">
                  <c:v>25.05</c:v>
                </c:pt>
                <c:pt idx="28">
                  <c:v>25.1</c:v>
                </c:pt>
                <c:pt idx="29">
                  <c:v>25.15</c:v>
                </c:pt>
                <c:pt idx="30">
                  <c:v>25.03</c:v>
                </c:pt>
                <c:pt idx="31">
                  <c:v>25.02</c:v>
                </c:pt>
                <c:pt idx="32" formatCode="General">
                  <c:v>25.06</c:v>
                </c:pt>
                <c:pt idx="33" formatCode="General">
                  <c:v>25.03</c:v>
                </c:pt>
                <c:pt idx="34" formatCode="General">
                  <c:v>25.04</c:v>
                </c:pt>
                <c:pt idx="35" formatCode="General">
                  <c:v>25.1</c:v>
                </c:pt>
                <c:pt idx="36" formatCode="General">
                  <c:v>25.16</c:v>
                </c:pt>
                <c:pt idx="37" formatCode="General">
                  <c:v>25.13</c:v>
                </c:pt>
                <c:pt idx="38" formatCode="General">
                  <c:v>25.03</c:v>
                </c:pt>
                <c:pt idx="39" formatCode="General">
                  <c:v>25.11</c:v>
                </c:pt>
                <c:pt idx="40" formatCode="General">
                  <c:v>25.15</c:v>
                </c:pt>
                <c:pt idx="41" formatCode="General">
                  <c:v>25.13</c:v>
                </c:pt>
                <c:pt idx="42" formatCode="General">
                  <c:v>25.08</c:v>
                </c:pt>
                <c:pt idx="43" formatCode="General">
                  <c:v>25.16</c:v>
                </c:pt>
                <c:pt idx="44" formatCode="General">
                  <c:v>25.17</c:v>
                </c:pt>
                <c:pt idx="45" formatCode="General">
                  <c:v>25.16</c:v>
                </c:pt>
                <c:pt idx="46" formatCode="General">
                  <c:v>25.1</c:v>
                </c:pt>
                <c:pt idx="47" formatCode="General">
                  <c:v>25.03</c:v>
                </c:pt>
                <c:pt idx="48" formatCode="General">
                  <c:v>25.04</c:v>
                </c:pt>
                <c:pt idx="49" formatCode="General">
                  <c:v>25.15</c:v>
                </c:pt>
                <c:pt idx="50" formatCode="General">
                  <c:v>25.08</c:v>
                </c:pt>
                <c:pt idx="51" formatCode="General">
                  <c:v>25.05</c:v>
                </c:pt>
                <c:pt idx="52" formatCode="General">
                  <c:v>25.17</c:v>
                </c:pt>
                <c:pt idx="53" formatCode="General">
                  <c:v>25.15</c:v>
                </c:pt>
                <c:pt idx="54" formatCode="General">
                  <c:v>25.06</c:v>
                </c:pt>
                <c:pt idx="55" formatCode="General">
                  <c:v>25.11</c:v>
                </c:pt>
                <c:pt idx="56" formatCode="General">
                  <c:v>25.08</c:v>
                </c:pt>
                <c:pt idx="57" formatCode="General">
                  <c:v>25.17</c:v>
                </c:pt>
                <c:pt idx="58" formatCode="General">
                  <c:v>25.18</c:v>
                </c:pt>
                <c:pt idx="59" formatCode="General">
                  <c:v>25.04</c:v>
                </c:pt>
                <c:pt idx="60" formatCode="General">
                  <c:v>25.1</c:v>
                </c:pt>
                <c:pt idx="61" formatCode="General">
                  <c:v>25.07</c:v>
                </c:pt>
                <c:pt idx="62" formatCode="General">
                  <c:v>25.07</c:v>
                </c:pt>
                <c:pt idx="63" formatCode="General">
                  <c:v>25.17</c:v>
                </c:pt>
                <c:pt idx="64" formatCode="General">
                  <c:v>25.02</c:v>
                </c:pt>
                <c:pt idx="65" formatCode="General">
                  <c:v>25.08</c:v>
                </c:pt>
                <c:pt idx="66" formatCode="General">
                  <c:v>25.16</c:v>
                </c:pt>
                <c:pt idx="67" formatCode="General">
                  <c:v>25.02</c:v>
                </c:pt>
                <c:pt idx="68" formatCode="General">
                  <c:v>25.16</c:v>
                </c:pt>
                <c:pt idx="69" formatCode="General">
                  <c:v>25.17</c:v>
                </c:pt>
                <c:pt idx="70" formatCode="General">
                  <c:v>25.11</c:v>
                </c:pt>
                <c:pt idx="71" formatCode="General">
                  <c:v>25.01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'T18-1'!$M$2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'T18-1'!$C$3:$C$74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'T18-1'!$M$3:$M$74</c:f>
              <c:numCache>
                <c:formatCode>0.00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</c:v>
                </c:pt>
                <c:pt idx="7">
                  <c:v>-0.01</c:v>
                </c:pt>
                <c:pt idx="8">
                  <c:v>0</c:v>
                </c:pt>
                <c:pt idx="9">
                  <c:v>-0.01</c:v>
                </c:pt>
                <c:pt idx="10">
                  <c:v>-0.01</c:v>
                </c:pt>
                <c:pt idx="11">
                  <c:v>0</c:v>
                </c:pt>
                <c:pt idx="12">
                  <c:v>-0.01</c:v>
                </c:pt>
                <c:pt idx="13">
                  <c:v>0</c:v>
                </c:pt>
                <c:pt idx="14">
                  <c:v>0.02</c:v>
                </c:pt>
                <c:pt idx="15">
                  <c:v>0.01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-0.01</c:v>
                </c:pt>
                <c:pt idx="20">
                  <c:v>0.01</c:v>
                </c:pt>
                <c:pt idx="21">
                  <c:v>0.01</c:v>
                </c:pt>
                <c:pt idx="22">
                  <c:v>0.02</c:v>
                </c:pt>
                <c:pt idx="23">
                  <c:v>0</c:v>
                </c:pt>
                <c:pt idx="24">
                  <c:v>-0.01</c:v>
                </c:pt>
                <c:pt idx="25">
                  <c:v>-0.01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0.01</c:v>
                </c:pt>
                <c:pt idx="35" formatCode="General">
                  <c:v>0.02</c:v>
                </c:pt>
                <c:pt idx="36" formatCode="General">
                  <c:v>0.01</c:v>
                </c:pt>
                <c:pt idx="37" formatCode="General">
                  <c:v>0</c:v>
                </c:pt>
                <c:pt idx="38" formatCode="General">
                  <c:v>-0.01</c:v>
                </c:pt>
                <c:pt idx="39" formatCode="General">
                  <c:v>-0.02</c:v>
                </c:pt>
                <c:pt idx="40" formatCode="General">
                  <c:v>0.01</c:v>
                </c:pt>
                <c:pt idx="41" formatCode="General">
                  <c:v>0.01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0.01</c:v>
                </c:pt>
                <c:pt idx="45" formatCode="General">
                  <c:v>-0.01</c:v>
                </c:pt>
                <c:pt idx="46" formatCode="General">
                  <c:v>0.01</c:v>
                </c:pt>
                <c:pt idx="47" formatCode="General">
                  <c:v>0</c:v>
                </c:pt>
                <c:pt idx="48" formatCode="General">
                  <c:v>-0.01</c:v>
                </c:pt>
                <c:pt idx="49" formatCode="General">
                  <c:v>0</c:v>
                </c:pt>
                <c:pt idx="50" formatCode="General">
                  <c:v>0.01</c:v>
                </c:pt>
                <c:pt idx="51" formatCode="General">
                  <c:v>0</c:v>
                </c:pt>
                <c:pt idx="52" formatCode="General">
                  <c:v>-0.01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0.01</c:v>
                </c:pt>
                <c:pt idx="56" formatCode="General">
                  <c:v>-0.01</c:v>
                </c:pt>
                <c:pt idx="57" formatCode="General">
                  <c:v>0</c:v>
                </c:pt>
                <c:pt idx="58" formatCode="General">
                  <c:v>-0.02</c:v>
                </c:pt>
                <c:pt idx="59" formatCode="General">
                  <c:v>-0.01</c:v>
                </c:pt>
                <c:pt idx="60" formatCode="General">
                  <c:v>-0.01</c:v>
                </c:pt>
                <c:pt idx="61" formatCode="General">
                  <c:v>0.02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-0.01</c:v>
                </c:pt>
                <c:pt idx="65" formatCode="General">
                  <c:v>-0.01</c:v>
                </c:pt>
                <c:pt idx="66" formatCode="General">
                  <c:v>0</c:v>
                </c:pt>
                <c:pt idx="67" formatCode="General">
                  <c:v>-0.01</c:v>
                </c:pt>
                <c:pt idx="68" formatCode="General">
                  <c:v>-0.01</c:v>
                </c:pt>
                <c:pt idx="69" formatCode="General">
                  <c:v>-0.01</c:v>
                </c:pt>
                <c:pt idx="70" formatCode="General">
                  <c:v>0.01</c:v>
                </c:pt>
                <c:pt idx="71" formatCode="General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55</xdr:row>
      <xdr:rowOff>0</xdr:rowOff>
    </xdr:from>
    <xdr:to>
      <xdr:col>12</xdr:col>
      <xdr:colOff>1</xdr:colOff>
      <xdr:row>84</xdr:row>
      <xdr:rowOff>200024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54</xdr:row>
      <xdr:rowOff>200024</xdr:rowOff>
    </xdr:from>
    <xdr:to>
      <xdr:col>25</xdr:col>
      <xdr:colOff>0</xdr:colOff>
      <xdr:row>83</xdr:row>
      <xdr:rowOff>200024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R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44" ht="15.75" customHeight="1" x14ac:dyDescent="0.25">
      <c r="A1" s="70" t="s">
        <v>29</v>
      </c>
      <c r="B1" s="70"/>
      <c r="C1" s="70" t="s">
        <v>60</v>
      </c>
      <c r="D1" s="70"/>
      <c r="E1" s="70" t="s">
        <v>61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AC1" s="24" t="s">
        <v>52</v>
      </c>
      <c r="AD1" s="25"/>
      <c r="AE1" s="25"/>
      <c r="AF1" s="25"/>
      <c r="AG1" s="26"/>
    </row>
    <row r="2" spans="1:44" ht="15.75" customHeigh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AC2" s="27"/>
      <c r="AD2" s="28"/>
      <c r="AE2" s="28"/>
      <c r="AF2" s="28"/>
      <c r="AG2" s="29"/>
    </row>
    <row r="4" spans="1:44" x14ac:dyDescent="0.25">
      <c r="A4" s="69" t="s">
        <v>30</v>
      </c>
      <c r="B4" s="69"/>
      <c r="C4" s="69"/>
      <c r="D4" s="69"/>
      <c r="E4" s="69"/>
      <c r="F4" s="69"/>
      <c r="G4" s="34">
        <v>0</v>
      </c>
      <c r="H4" s="35"/>
      <c r="I4" s="2" t="s">
        <v>18</v>
      </c>
      <c r="K4" s="71" t="s">
        <v>45</v>
      </c>
      <c r="L4" s="71"/>
      <c r="M4" s="71"/>
      <c r="N4" s="71"/>
      <c r="O4" s="71"/>
      <c r="P4" s="71"/>
      <c r="R4" s="71" t="s">
        <v>46</v>
      </c>
      <c r="S4" s="71"/>
      <c r="T4" s="71"/>
      <c r="U4" s="71"/>
      <c r="V4" s="71"/>
      <c r="W4" s="71"/>
      <c r="X4" s="71"/>
      <c r="Y4" s="71"/>
      <c r="AC4" s="57"/>
      <c r="AD4" s="59"/>
      <c r="AE4" s="60" t="s">
        <v>58</v>
      </c>
      <c r="AF4" s="59"/>
      <c r="AG4" s="57"/>
    </row>
    <row r="5" spans="1:44" ht="15.75" customHeight="1" x14ac:dyDescent="0.25">
      <c r="A5" s="31" t="s">
        <v>31</v>
      </c>
      <c r="B5" s="32"/>
      <c r="C5" s="32"/>
      <c r="D5" s="32"/>
      <c r="E5" s="32"/>
      <c r="F5" s="33"/>
      <c r="G5" s="34">
        <v>0</v>
      </c>
      <c r="H5" s="35"/>
      <c r="I5" s="2" t="s">
        <v>18</v>
      </c>
      <c r="K5" s="43" t="s">
        <v>62</v>
      </c>
      <c r="L5" s="44"/>
      <c r="M5" s="44"/>
      <c r="N5" s="44"/>
      <c r="O5" s="44"/>
      <c r="P5" s="45"/>
      <c r="R5" s="72" t="s">
        <v>64</v>
      </c>
      <c r="S5" s="72"/>
      <c r="T5" s="72"/>
      <c r="U5" s="72"/>
      <c r="V5" s="72"/>
      <c r="W5" s="72"/>
      <c r="X5" s="72"/>
      <c r="Y5" s="72"/>
      <c r="AC5" s="57"/>
      <c r="AD5" s="59"/>
      <c r="AE5" s="60"/>
      <c r="AF5" s="59"/>
      <c r="AG5" s="57"/>
    </row>
    <row r="6" spans="1:44" x14ac:dyDescent="0.25">
      <c r="A6" s="69" t="s">
        <v>32</v>
      </c>
      <c r="B6" s="69"/>
      <c r="C6" s="69"/>
      <c r="D6" s="69"/>
      <c r="E6" s="69"/>
      <c r="F6" s="69"/>
      <c r="G6" s="68">
        <v>0</v>
      </c>
      <c r="H6" s="68"/>
      <c r="I6" s="2" t="s">
        <v>24</v>
      </c>
      <c r="K6" s="46"/>
      <c r="L6" s="47"/>
      <c r="M6" s="47"/>
      <c r="N6" s="47"/>
      <c r="O6" s="47"/>
      <c r="P6" s="48"/>
      <c r="R6" s="72"/>
      <c r="S6" s="72"/>
      <c r="T6" s="72"/>
      <c r="U6" s="72"/>
      <c r="V6" s="72"/>
      <c r="W6" s="72"/>
      <c r="X6" s="72"/>
      <c r="Y6" s="72"/>
      <c r="AC6" s="57"/>
      <c r="AD6" s="59"/>
      <c r="AE6" s="60"/>
      <c r="AF6" s="59"/>
      <c r="AG6" s="57"/>
    </row>
    <row r="7" spans="1:44" ht="15.75" customHeight="1" x14ac:dyDescent="0.25">
      <c r="A7" s="31" t="s">
        <v>51</v>
      </c>
      <c r="B7" s="32"/>
      <c r="C7" s="32"/>
      <c r="D7" s="32"/>
      <c r="E7" s="32"/>
      <c r="F7" s="33"/>
      <c r="G7" s="34" t="s">
        <v>59</v>
      </c>
      <c r="H7" s="35"/>
      <c r="I7" s="2"/>
      <c r="K7" s="46"/>
      <c r="L7" s="47"/>
      <c r="M7" s="47"/>
      <c r="N7" s="47"/>
      <c r="O7" s="47"/>
      <c r="P7" s="48"/>
      <c r="R7" s="72"/>
      <c r="S7" s="72"/>
      <c r="T7" s="72"/>
      <c r="U7" s="72"/>
      <c r="V7" s="72"/>
      <c r="W7" s="72"/>
      <c r="X7" s="72"/>
      <c r="Y7" s="72"/>
      <c r="AC7" s="56"/>
      <c r="AD7" s="78"/>
      <c r="AE7" s="78"/>
      <c r="AF7" s="78"/>
      <c r="AG7" s="55"/>
    </row>
    <row r="8" spans="1:44" x14ac:dyDescent="0.25">
      <c r="A8" s="69" t="s">
        <v>15</v>
      </c>
      <c r="B8" s="69"/>
      <c r="C8" s="69"/>
      <c r="D8" s="69"/>
      <c r="E8" s="69"/>
      <c r="F8" s="69"/>
      <c r="G8" s="73">
        <f>360/((23*60*60)+(56*60)+4.09)</f>
        <v>4.1780746480349299E-3</v>
      </c>
      <c r="H8" s="73"/>
      <c r="I8" s="2" t="s">
        <v>16</v>
      </c>
      <c r="K8" s="46"/>
      <c r="L8" s="47"/>
      <c r="M8" s="47"/>
      <c r="N8" s="47"/>
      <c r="O8" s="47"/>
      <c r="P8" s="48"/>
      <c r="R8" s="72"/>
      <c r="S8" s="72"/>
      <c r="T8" s="72"/>
      <c r="U8" s="72"/>
      <c r="V8" s="72"/>
      <c r="W8" s="72"/>
      <c r="X8" s="72"/>
      <c r="Y8" s="72"/>
      <c r="AC8" s="56"/>
      <c r="AD8" s="78"/>
      <c r="AE8" s="78"/>
      <c r="AF8" s="78"/>
      <c r="AG8" s="55"/>
    </row>
    <row r="9" spans="1:44" x14ac:dyDescent="0.25">
      <c r="A9" s="69" t="s">
        <v>17</v>
      </c>
      <c r="B9" s="69"/>
      <c r="C9" s="69"/>
      <c r="D9" s="69"/>
      <c r="E9" s="69"/>
      <c r="F9" s="69"/>
      <c r="G9" s="68">
        <v>49</v>
      </c>
      <c r="H9" s="68"/>
      <c r="I9" s="2" t="s">
        <v>18</v>
      </c>
      <c r="K9" s="46"/>
      <c r="L9" s="47"/>
      <c r="M9" s="47"/>
      <c r="N9" s="47"/>
      <c r="O9" s="47"/>
      <c r="P9" s="48"/>
      <c r="R9" s="72"/>
      <c r="S9" s="72"/>
      <c r="T9" s="72"/>
      <c r="U9" s="72"/>
      <c r="V9" s="72"/>
      <c r="W9" s="72"/>
      <c r="X9" s="72"/>
      <c r="Y9" s="72"/>
      <c r="AC9" s="56"/>
      <c r="AD9" s="78"/>
      <c r="AE9" s="78"/>
      <c r="AF9" s="78"/>
      <c r="AG9" s="55"/>
    </row>
    <row r="10" spans="1:44" ht="15.75" customHeight="1" x14ac:dyDescent="0.25">
      <c r="A10" s="63" t="s">
        <v>19</v>
      </c>
      <c r="B10" s="64"/>
      <c r="C10" s="64"/>
      <c r="D10" s="64"/>
      <c r="E10" s="64"/>
      <c r="F10" s="65"/>
      <c r="G10" s="66">
        <f>(COS(RADIANS(G9))*G8)</f>
        <v>2.7410635966396515E-3</v>
      </c>
      <c r="H10" s="67"/>
      <c r="I10" s="3" t="s">
        <v>16</v>
      </c>
      <c r="K10" s="46"/>
      <c r="L10" s="47"/>
      <c r="M10" s="47"/>
      <c r="N10" s="47"/>
      <c r="O10" s="47"/>
      <c r="P10" s="48"/>
      <c r="R10" s="13"/>
      <c r="S10" s="13"/>
      <c r="T10" s="13"/>
      <c r="U10" s="13"/>
      <c r="V10" s="13"/>
      <c r="W10" s="13"/>
      <c r="X10" s="13"/>
      <c r="Y10" s="13"/>
      <c r="AC10" s="42" t="s">
        <v>48</v>
      </c>
      <c r="AD10" s="61"/>
      <c r="AE10" s="62" t="s">
        <v>50</v>
      </c>
      <c r="AF10" s="61"/>
      <c r="AG10" s="30" t="s">
        <v>48</v>
      </c>
      <c r="AN10" s="22"/>
      <c r="AO10" s="22"/>
      <c r="AP10" s="23"/>
      <c r="AQ10" s="22"/>
      <c r="AR10" s="22"/>
    </row>
    <row r="11" spans="1:44" ht="15.75" customHeight="1" x14ac:dyDescent="0.25">
      <c r="A11" s="69" t="s">
        <v>33</v>
      </c>
      <c r="B11" s="69"/>
      <c r="C11" s="69"/>
      <c r="D11" s="69"/>
      <c r="E11" s="69"/>
      <c r="F11" s="69"/>
      <c r="G11" s="68">
        <v>5</v>
      </c>
      <c r="H11" s="68"/>
      <c r="I11" s="2" t="s">
        <v>18</v>
      </c>
      <c r="K11" s="46"/>
      <c r="L11" s="47"/>
      <c r="M11" s="47"/>
      <c r="N11" s="47"/>
      <c r="O11" s="47"/>
      <c r="P11" s="48"/>
      <c r="R11" s="13"/>
      <c r="S11" s="13"/>
      <c r="T11" s="13"/>
      <c r="U11" s="13"/>
      <c r="V11" s="13"/>
      <c r="W11" s="13"/>
      <c r="X11" s="13"/>
      <c r="Y11" s="13"/>
      <c r="AC11" s="42"/>
      <c r="AD11" s="61"/>
      <c r="AE11" s="62"/>
      <c r="AF11" s="61"/>
      <c r="AG11" s="30"/>
      <c r="AN11" s="22"/>
      <c r="AO11" s="22"/>
      <c r="AP11" s="23"/>
      <c r="AQ11" s="22"/>
      <c r="AR11" s="22"/>
    </row>
    <row r="12" spans="1:44" ht="15.75" customHeight="1" x14ac:dyDescent="0.25">
      <c r="A12" s="31" t="s">
        <v>34</v>
      </c>
      <c r="B12" s="32"/>
      <c r="C12" s="32"/>
      <c r="D12" s="32"/>
      <c r="E12" s="32"/>
      <c r="F12" s="33"/>
      <c r="G12" s="34">
        <f>360/G11</f>
        <v>72</v>
      </c>
      <c r="H12" s="35"/>
      <c r="I12" s="2"/>
      <c r="K12" s="46"/>
      <c r="L12" s="47"/>
      <c r="M12" s="47"/>
      <c r="N12" s="47"/>
      <c r="O12" s="47"/>
      <c r="P12" s="48"/>
      <c r="R12" s="8"/>
      <c r="S12" s="8"/>
      <c r="T12" s="8"/>
      <c r="U12" s="8"/>
      <c r="V12" s="8"/>
      <c r="W12" s="8"/>
      <c r="X12" s="8"/>
      <c r="Y12" s="8"/>
      <c r="AC12" s="42"/>
      <c r="AD12" s="61"/>
      <c r="AE12" s="62"/>
      <c r="AF12" s="61"/>
      <c r="AG12" s="30"/>
      <c r="AN12" s="22"/>
      <c r="AO12" s="22"/>
      <c r="AP12" s="23"/>
      <c r="AQ12" s="22"/>
      <c r="AR12" s="22"/>
    </row>
    <row r="13" spans="1:44" ht="15.75" customHeight="1" x14ac:dyDescent="0.25">
      <c r="A13" s="69" t="s">
        <v>20</v>
      </c>
      <c r="B13" s="69"/>
      <c r="C13" s="69"/>
      <c r="D13" s="69"/>
      <c r="E13" s="69"/>
      <c r="F13" s="69"/>
      <c r="G13" s="68" t="s">
        <v>47</v>
      </c>
      <c r="H13" s="68"/>
      <c r="I13" s="2"/>
      <c r="K13" s="46"/>
      <c r="L13" s="47"/>
      <c r="M13" s="47"/>
      <c r="N13" s="47"/>
      <c r="O13" s="47"/>
      <c r="P13" s="48"/>
      <c r="R13" s="74" t="s">
        <v>25</v>
      </c>
      <c r="S13" s="74"/>
      <c r="T13" s="74" t="s">
        <v>26</v>
      </c>
      <c r="U13" s="74"/>
      <c r="V13" s="74" t="s">
        <v>27</v>
      </c>
      <c r="W13" s="74"/>
      <c r="X13" s="74" t="s">
        <v>28</v>
      </c>
      <c r="Y13" s="74"/>
      <c r="AC13" s="42" t="s">
        <v>48</v>
      </c>
      <c r="AD13" s="36"/>
      <c r="AE13" s="36" t="s">
        <v>49</v>
      </c>
      <c r="AF13" s="36"/>
      <c r="AG13" s="30" t="s">
        <v>48</v>
      </c>
      <c r="AN13" s="22"/>
      <c r="AO13" s="22"/>
      <c r="AP13" s="22"/>
      <c r="AQ13" s="22"/>
      <c r="AR13" s="22"/>
    </row>
    <row r="14" spans="1:44" ht="15.75" customHeight="1" x14ac:dyDescent="0.25">
      <c r="A14" s="31" t="s">
        <v>21</v>
      </c>
      <c r="B14" s="32"/>
      <c r="C14" s="32"/>
      <c r="D14" s="32"/>
      <c r="E14" s="32"/>
      <c r="F14" s="33"/>
      <c r="G14" s="34">
        <v>1440</v>
      </c>
      <c r="H14" s="35"/>
      <c r="I14" s="2"/>
      <c r="K14" s="46"/>
      <c r="L14" s="47"/>
      <c r="M14" s="47"/>
      <c r="N14" s="47"/>
      <c r="O14" s="47"/>
      <c r="P14" s="48"/>
      <c r="R14" s="74"/>
      <c r="S14" s="74"/>
      <c r="T14" s="74"/>
      <c r="U14" s="74"/>
      <c r="V14" s="74"/>
      <c r="W14" s="74"/>
      <c r="X14" s="74"/>
      <c r="Y14" s="74"/>
      <c r="AC14" s="42"/>
      <c r="AD14" s="37"/>
      <c r="AE14" s="37"/>
      <c r="AF14" s="37"/>
      <c r="AG14" s="30"/>
      <c r="AN14" s="22"/>
      <c r="AO14" s="22"/>
      <c r="AP14" s="22"/>
      <c r="AQ14" s="22"/>
      <c r="AR14" s="22"/>
    </row>
    <row r="15" spans="1:44" ht="15.75" customHeight="1" x14ac:dyDescent="0.25">
      <c r="A15" s="31" t="s">
        <v>22</v>
      </c>
      <c r="B15" s="32"/>
      <c r="C15" s="32"/>
      <c r="D15" s="32"/>
      <c r="E15" s="32"/>
      <c r="F15" s="33"/>
      <c r="G15" s="34">
        <v>200</v>
      </c>
      <c r="H15" s="35"/>
      <c r="I15" s="2"/>
      <c r="K15" s="46"/>
      <c r="L15" s="47"/>
      <c r="M15" s="47"/>
      <c r="N15" s="47"/>
      <c r="O15" s="47"/>
      <c r="P15" s="48"/>
      <c r="R15" s="74"/>
      <c r="S15" s="74"/>
      <c r="T15" s="74"/>
      <c r="U15" s="74"/>
      <c r="V15" s="74"/>
      <c r="W15" s="74"/>
      <c r="X15" s="74"/>
      <c r="Y15" s="74"/>
      <c r="AC15" s="42"/>
      <c r="AD15" s="38"/>
      <c r="AE15" s="38"/>
      <c r="AF15" s="38"/>
      <c r="AG15" s="30"/>
      <c r="AN15" s="22"/>
      <c r="AO15" s="22"/>
      <c r="AP15" s="22"/>
      <c r="AQ15" s="22"/>
      <c r="AR15" s="22"/>
    </row>
    <row r="16" spans="1:44" ht="15.75" customHeight="1" x14ac:dyDescent="0.25">
      <c r="A16" s="31" t="s">
        <v>23</v>
      </c>
      <c r="B16" s="32"/>
      <c r="C16" s="32"/>
      <c r="D16" s="32"/>
      <c r="E16" s="32"/>
      <c r="F16" s="33"/>
      <c r="G16" s="34">
        <v>50</v>
      </c>
      <c r="H16" s="35"/>
      <c r="I16" s="2"/>
      <c r="K16" s="46"/>
      <c r="L16" s="47"/>
      <c r="M16" s="47"/>
      <c r="N16" s="47"/>
      <c r="O16" s="47"/>
      <c r="P16" s="48"/>
      <c r="R16" s="74"/>
      <c r="S16" s="74"/>
      <c r="T16" s="74"/>
      <c r="U16" s="74"/>
      <c r="V16" s="74"/>
      <c r="W16" s="74"/>
      <c r="X16" s="74"/>
      <c r="Y16" s="74"/>
      <c r="AC16" s="42" t="s">
        <v>48</v>
      </c>
      <c r="AD16" s="39"/>
      <c r="AE16" s="36" t="s">
        <v>48</v>
      </c>
      <c r="AF16" s="36"/>
      <c r="AG16" s="30" t="s">
        <v>48</v>
      </c>
      <c r="AN16" s="22"/>
      <c r="AO16" s="19"/>
      <c r="AP16" s="22"/>
      <c r="AQ16" s="22"/>
      <c r="AR16" s="22"/>
    </row>
    <row r="17" spans="1:44" ht="15.75" customHeight="1" x14ac:dyDescent="0.25">
      <c r="A17" s="52" t="s">
        <v>36</v>
      </c>
      <c r="B17" s="53"/>
      <c r="C17" s="53"/>
      <c r="D17" s="53"/>
      <c r="E17" s="53"/>
      <c r="F17" s="54"/>
      <c r="G17" s="76">
        <v>400</v>
      </c>
      <c r="H17" s="77"/>
      <c r="I17" s="4" t="s">
        <v>18</v>
      </c>
      <c r="K17" s="46"/>
      <c r="L17" s="47"/>
      <c r="M17" s="47"/>
      <c r="N17" s="47"/>
      <c r="O17" s="47"/>
      <c r="P17" s="48"/>
      <c r="R17" s="75">
        <f>MIN('T18-1'!U3:U18)</f>
        <v>-1.7624999999998892E-4</v>
      </c>
      <c r="S17" s="75"/>
      <c r="T17" s="75">
        <f>MIN('T18-1'!V3:V18)</f>
        <v>7.5199999999830958E-6</v>
      </c>
      <c r="U17" s="75"/>
      <c r="V17" s="75">
        <f>MAX('T18-1'!U3:U18)</f>
        <v>3.3600000000000019E-3</v>
      </c>
      <c r="W17" s="75"/>
      <c r="X17" s="75">
        <f>MAX('T18-1'!V3:V18)</f>
        <v>3.3674800000000338E-3</v>
      </c>
      <c r="Y17" s="75"/>
      <c r="AC17" s="42"/>
      <c r="AD17" s="40"/>
      <c r="AE17" s="37"/>
      <c r="AF17" s="37"/>
      <c r="AG17" s="30"/>
      <c r="AN17" s="22"/>
      <c r="AO17" s="19"/>
      <c r="AP17" s="22"/>
      <c r="AQ17" s="22"/>
      <c r="AR17" s="22"/>
    </row>
    <row r="18" spans="1:44" ht="15.75" customHeight="1" x14ac:dyDescent="0.25">
      <c r="A18" s="52" t="s">
        <v>35</v>
      </c>
      <c r="B18" s="53"/>
      <c r="C18" s="53"/>
      <c r="D18" s="53"/>
      <c r="E18" s="53"/>
      <c r="F18" s="54"/>
      <c r="G18" s="76">
        <f>G14*G15*2</f>
        <v>576000</v>
      </c>
      <c r="H18" s="77"/>
      <c r="I18" s="2"/>
      <c r="K18" s="49"/>
      <c r="L18" s="50"/>
      <c r="M18" s="50"/>
      <c r="N18" s="50"/>
      <c r="O18" s="50"/>
      <c r="P18" s="51"/>
      <c r="R18" s="75"/>
      <c r="S18" s="75"/>
      <c r="T18" s="75"/>
      <c r="U18" s="75"/>
      <c r="V18" s="75"/>
      <c r="W18" s="75"/>
      <c r="X18" s="75"/>
      <c r="Y18" s="75"/>
      <c r="AC18" s="42"/>
      <c r="AD18" s="41"/>
      <c r="AE18" s="38"/>
      <c r="AF18" s="38"/>
      <c r="AG18" s="30"/>
      <c r="AN18" s="22"/>
      <c r="AO18" s="19"/>
      <c r="AP18" s="22"/>
      <c r="AQ18" s="22"/>
      <c r="AR18" s="22"/>
    </row>
    <row r="19" spans="1:44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55" t="s">
        <v>48</v>
      </c>
      <c r="AD19" s="58" t="s">
        <v>48</v>
      </c>
      <c r="AE19" s="58" t="s">
        <v>48</v>
      </c>
      <c r="AF19" s="58" t="s">
        <v>48</v>
      </c>
      <c r="AG19" s="56" t="s">
        <v>48</v>
      </c>
      <c r="AN19" s="19"/>
      <c r="AO19" s="20"/>
      <c r="AP19" s="20"/>
      <c r="AQ19" s="20"/>
      <c r="AR19" s="21"/>
    </row>
    <row r="20" spans="1:44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55"/>
      <c r="AD20" s="58"/>
      <c r="AE20" s="58"/>
      <c r="AF20" s="58"/>
      <c r="AG20" s="56"/>
      <c r="AN20" s="19"/>
      <c r="AO20" s="20"/>
      <c r="AP20" s="20"/>
      <c r="AQ20" s="20"/>
      <c r="AR20" s="21"/>
    </row>
    <row r="21" spans="1:44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55"/>
      <c r="AD21" s="58"/>
      <c r="AE21" s="58"/>
      <c r="AF21" s="58"/>
      <c r="AG21" s="56"/>
      <c r="AN21" s="19"/>
      <c r="AO21" s="20"/>
      <c r="AP21" s="20"/>
      <c r="AQ21" s="20"/>
      <c r="AR21" s="21"/>
    </row>
    <row r="22" spans="1:44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74"/>
  <sheetViews>
    <sheetView topLeftCell="A21" workbookViewId="0">
      <selection activeCell="S30" sqref="S30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57</v>
      </c>
      <c r="B2" t="s">
        <v>53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54</v>
      </c>
      <c r="L2" t="s">
        <v>55</v>
      </c>
      <c r="M2" t="s">
        <v>56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63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/>
      <c r="C3" s="14">
        <v>0</v>
      </c>
      <c r="D3" s="14"/>
      <c r="E3" s="15">
        <v>-0.43463247999999999</v>
      </c>
      <c r="F3" s="15">
        <v>-0.43284255999999999</v>
      </c>
      <c r="G3" s="15">
        <v>-1.7899299999999999E-3</v>
      </c>
      <c r="H3" s="15">
        <v>0.55447749999999996</v>
      </c>
      <c r="I3" s="15">
        <v>0.55408999999999997</v>
      </c>
      <c r="J3" s="15">
        <v>3.8748999999999999E-4</v>
      </c>
      <c r="K3" s="18">
        <v>25.12</v>
      </c>
      <c r="L3" s="18">
        <v>25.12</v>
      </c>
      <c r="M3" s="18">
        <v>0</v>
      </c>
      <c r="N3" s="15">
        <v>4.2547359999999999E-2</v>
      </c>
      <c r="O3" s="15">
        <v>3.160205E-2</v>
      </c>
      <c r="P3" s="15">
        <v>1.094532E-2</v>
      </c>
      <c r="Q3" s="15">
        <v>8.4956100000000007E-3</v>
      </c>
      <c r="R3" s="15">
        <v>1.7000699999999999E-3</v>
      </c>
      <c r="S3" s="15">
        <v>6.7955300000000001E-3</v>
      </c>
      <c r="T3" s="14"/>
      <c r="U3" s="15">
        <f>(F3-E3)/2</f>
        <v>8.949600000000002E-4</v>
      </c>
      <c r="V3" s="15">
        <f>(H3-I3)/2</f>
        <v>1.9374999999999254E-4</v>
      </c>
      <c r="W3" s="15"/>
      <c r="X3" s="15"/>
      <c r="Y3" s="16">
        <f t="shared" ref="Y3:Y34" si="0">N3</f>
        <v>4.2547359999999999E-2</v>
      </c>
      <c r="Z3" s="16">
        <f t="shared" ref="Z3:Z34" si="1">Q3</f>
        <v>8.4956100000000007E-3</v>
      </c>
      <c r="AA3" s="16">
        <f t="shared" ref="AA3:AA34" si="2">O3</f>
        <v>3.160205E-2</v>
      </c>
      <c r="AB3" s="16">
        <f t="shared" ref="AB3:AB34" si="3">R3</f>
        <v>1.7000699999999999E-3</v>
      </c>
      <c r="AC3" s="17">
        <f>IF(Y3="","",DEGREES(ASIN(SQRT(Y3^2+Z3^2))))</f>
        <v>2.4866867527083238</v>
      </c>
      <c r="AD3" s="17">
        <f>IF(AA3="","",DEGREES(ASIN(SQRT(AA3^2+AB3^2))))</f>
        <v>1.813585082222227</v>
      </c>
      <c r="AE3" s="17">
        <f>IF(Y3="","",MOD(DEGREES(ATAN2(Y3,Z3)),360))</f>
        <v>11.29198225439314</v>
      </c>
      <c r="AF3" s="17">
        <f t="shared" ref="AF3:AF34" si="4">IF(Y3="","",MOD(F3+AE3,360))</f>
        <v>10.859139694393141</v>
      </c>
    </row>
    <row r="4" spans="1:32" x14ac:dyDescent="0.25">
      <c r="A4" s="14">
        <v>2</v>
      </c>
      <c r="B4" s="14"/>
      <c r="C4" s="14">
        <v>5</v>
      </c>
      <c r="D4" s="14"/>
      <c r="E4" s="15">
        <v>-0.43672252</v>
      </c>
      <c r="F4" s="15">
        <v>-0.43263249999999998</v>
      </c>
      <c r="G4" s="15">
        <v>-4.0900099999999998E-3</v>
      </c>
      <c r="H4" s="15">
        <v>0.55638752000000002</v>
      </c>
      <c r="I4" s="15">
        <v>0.55182755999999999</v>
      </c>
      <c r="J4" s="15">
        <v>4.5599899999999999E-3</v>
      </c>
      <c r="K4" s="18">
        <v>25.14</v>
      </c>
      <c r="L4" s="18">
        <v>25.14</v>
      </c>
      <c r="M4" s="18">
        <v>0</v>
      </c>
      <c r="N4" s="15">
        <v>4.2805780000000002E-2</v>
      </c>
      <c r="O4" s="15">
        <v>3.109118E-2</v>
      </c>
      <c r="P4" s="15">
        <v>1.17146E-2</v>
      </c>
      <c r="Q4" s="15">
        <v>8.1313500000000007E-3</v>
      </c>
      <c r="R4" s="15">
        <v>2.15161E-3</v>
      </c>
      <c r="S4" s="15">
        <v>5.9797399999999999E-3</v>
      </c>
      <c r="T4" s="14"/>
      <c r="U4" s="15">
        <f t="shared" ref="U4:U67" si="5">(F4-E4)/2</f>
        <v>2.0450100000000138E-3</v>
      </c>
      <c r="V4" s="15">
        <f t="shared" ref="V4:V34" si="6">(H4-I4)/2</f>
        <v>2.2799800000000148E-3</v>
      </c>
      <c r="W4" s="15"/>
      <c r="X4" s="15"/>
      <c r="Y4" s="16">
        <f t="shared" si="0"/>
        <v>4.2805780000000002E-2</v>
      </c>
      <c r="Z4" s="16">
        <f t="shared" si="1"/>
        <v>8.1313500000000007E-3</v>
      </c>
      <c r="AA4" s="16">
        <f t="shared" si="2"/>
        <v>3.109118E-2</v>
      </c>
      <c r="AB4" s="16">
        <f t="shared" si="3"/>
        <v>2.15161E-3</v>
      </c>
      <c r="AC4" s="17">
        <f t="shared" ref="AC4:AC18" si="7">IF(Y4="","",DEGREES(ASIN(SQRT(Y4^2+Z4^2))))</f>
        <v>2.4972391940469083</v>
      </c>
      <c r="AD4" s="17">
        <f t="shared" ref="AD4:AD18" si="8">IF(AA4="","",DEGREES(ASIN(SQRT(AA4^2+AB4^2))))</f>
        <v>1.7859431141737985</v>
      </c>
      <c r="AE4" s="17">
        <f t="shared" ref="AE4:AE18" si="9">IF(Y4="","",MOD(DEGREES(ATAN2(Y4,Z4)),360))</f>
        <v>10.755708625744342</v>
      </c>
      <c r="AF4" s="17">
        <f t="shared" si="4"/>
        <v>10.323076125744342</v>
      </c>
    </row>
    <row r="5" spans="1:32" x14ac:dyDescent="0.25">
      <c r="A5" s="14">
        <v>3</v>
      </c>
      <c r="B5" s="14"/>
      <c r="C5" s="14">
        <v>10</v>
      </c>
      <c r="D5" s="14"/>
      <c r="E5" s="15">
        <v>-0.43700744000000002</v>
      </c>
      <c r="F5" s="15">
        <v>-0.43160744000000001</v>
      </c>
      <c r="G5" s="15">
        <v>-5.4000000000000003E-3</v>
      </c>
      <c r="H5" s="15">
        <v>0.55060756</v>
      </c>
      <c r="I5" s="15">
        <v>0.55059252000000003</v>
      </c>
      <c r="J5" s="15">
        <v>1.502E-5</v>
      </c>
      <c r="K5" s="18">
        <v>25.17</v>
      </c>
      <c r="L5" s="18">
        <v>25.17</v>
      </c>
      <c r="M5" s="18">
        <v>0</v>
      </c>
      <c r="N5" s="15">
        <v>4.2829590000000001E-2</v>
      </c>
      <c r="O5" s="15">
        <v>3.1581659999999998E-2</v>
      </c>
      <c r="P5" s="15">
        <v>1.124793E-2</v>
      </c>
      <c r="Q5" s="15">
        <v>7.70398E-3</v>
      </c>
      <c r="R5" s="15">
        <v>2.50037E-3</v>
      </c>
      <c r="S5" s="15">
        <v>5.20361E-3</v>
      </c>
      <c r="T5" s="14"/>
      <c r="U5" s="15">
        <f t="shared" si="5"/>
        <v>2.7000000000000079E-3</v>
      </c>
      <c r="V5" s="15">
        <f t="shared" si="6"/>
        <v>7.5199999999830958E-6</v>
      </c>
      <c r="W5" s="15"/>
      <c r="X5" s="15"/>
      <c r="Y5" s="16">
        <f t="shared" si="0"/>
        <v>4.2829590000000001E-2</v>
      </c>
      <c r="Z5" s="16">
        <f t="shared" si="1"/>
        <v>7.70398E-3</v>
      </c>
      <c r="AA5" s="16">
        <f t="shared" si="2"/>
        <v>3.1581659999999998E-2</v>
      </c>
      <c r="AB5" s="16">
        <f t="shared" si="3"/>
        <v>2.50037E-3</v>
      </c>
      <c r="AC5" s="17">
        <f t="shared" si="7"/>
        <v>2.4941252918253003</v>
      </c>
      <c r="AD5" s="17">
        <f t="shared" si="8"/>
        <v>1.8154618238013847</v>
      </c>
      <c r="AE5" s="17">
        <f t="shared" si="9"/>
        <v>10.197046080780197</v>
      </c>
      <c r="AF5" s="17">
        <f t="shared" si="4"/>
        <v>9.7654386407801965</v>
      </c>
    </row>
    <row r="6" spans="1:32" x14ac:dyDescent="0.25">
      <c r="A6" s="14">
        <v>4</v>
      </c>
      <c r="B6" s="14"/>
      <c r="C6" s="14">
        <v>15</v>
      </c>
      <c r="D6" s="14"/>
      <c r="E6" s="15">
        <v>-0.435085</v>
      </c>
      <c r="F6" s="15">
        <v>-0.43270750000000002</v>
      </c>
      <c r="G6" s="15">
        <v>-2.3775100000000002E-3</v>
      </c>
      <c r="H6" s="15">
        <v>0.56117249999999996</v>
      </c>
      <c r="I6" s="15">
        <v>0.55588510000000002</v>
      </c>
      <c r="J6" s="15">
        <v>5.2874100000000002E-3</v>
      </c>
      <c r="K6" s="18">
        <v>25.05</v>
      </c>
      <c r="L6" s="18">
        <v>25.05</v>
      </c>
      <c r="M6" s="18">
        <v>0</v>
      </c>
      <c r="N6" s="15">
        <v>4.349915E-2</v>
      </c>
      <c r="O6" s="15">
        <v>3.159522E-2</v>
      </c>
      <c r="P6" s="15">
        <v>1.190393E-2</v>
      </c>
      <c r="Q6" s="15">
        <v>7.1691899999999998E-3</v>
      </c>
      <c r="R6" s="15">
        <v>3.0489499999999999E-3</v>
      </c>
      <c r="S6" s="15">
        <v>4.1202399999999998E-3</v>
      </c>
      <c r="T6" s="14"/>
      <c r="U6" s="15">
        <f t="shared" si="5"/>
        <v>1.1887499999999884E-3</v>
      </c>
      <c r="V6" s="15">
        <f t="shared" si="6"/>
        <v>2.6436999999999711E-3</v>
      </c>
      <c r="W6" s="15"/>
      <c r="X6" s="15"/>
      <c r="Y6" s="16">
        <f t="shared" si="0"/>
        <v>4.349915E-2</v>
      </c>
      <c r="Z6" s="16">
        <f t="shared" si="1"/>
        <v>7.1691899999999998E-3</v>
      </c>
      <c r="AA6" s="16">
        <f t="shared" si="2"/>
        <v>3.159522E-2</v>
      </c>
      <c r="AB6" s="16">
        <f t="shared" si="3"/>
        <v>3.0489499999999999E-3</v>
      </c>
      <c r="AC6" s="17">
        <f t="shared" si="7"/>
        <v>2.5267593384962717</v>
      </c>
      <c r="AD6" s="17">
        <f t="shared" si="8"/>
        <v>1.818987686966268</v>
      </c>
      <c r="AE6" s="17">
        <f t="shared" si="9"/>
        <v>9.3589090324264781</v>
      </c>
      <c r="AF6" s="17">
        <f t="shared" si="4"/>
        <v>8.9262015324264787</v>
      </c>
    </row>
    <row r="7" spans="1:32" x14ac:dyDescent="0.25">
      <c r="A7" s="14">
        <v>5</v>
      </c>
      <c r="B7" s="14"/>
      <c r="C7" s="14">
        <v>20</v>
      </c>
      <c r="D7" s="14"/>
      <c r="E7" s="15">
        <v>-0.43547750000000002</v>
      </c>
      <c r="F7" s="15">
        <v>-0.42876750000000002</v>
      </c>
      <c r="G7" s="15">
        <v>-6.7099899999999999E-3</v>
      </c>
      <c r="H7" s="15">
        <v>0.55512249999999996</v>
      </c>
      <c r="I7" s="15">
        <v>0.54922504000000005</v>
      </c>
      <c r="J7" s="15">
        <v>5.8974600000000002E-3</v>
      </c>
      <c r="K7" s="18">
        <v>25.16</v>
      </c>
      <c r="L7" s="18">
        <v>25.16</v>
      </c>
      <c r="M7" s="18">
        <v>0</v>
      </c>
      <c r="N7" s="15">
        <v>4.3447260000000001E-2</v>
      </c>
      <c r="O7" s="15">
        <v>3.1178959999999999E-2</v>
      </c>
      <c r="P7" s="15">
        <v>1.2268309999999999E-2</v>
      </c>
      <c r="Q7" s="15">
        <v>6.6533199999999999E-3</v>
      </c>
      <c r="R7" s="15">
        <v>3.52368E-3</v>
      </c>
      <c r="S7" s="15">
        <v>3.1296399999999999E-3</v>
      </c>
      <c r="T7" s="14"/>
      <c r="U7" s="15">
        <f t="shared" si="5"/>
        <v>3.3549999999999969E-3</v>
      </c>
      <c r="V7" s="15">
        <f t="shared" si="6"/>
        <v>2.948729999999955E-3</v>
      </c>
      <c r="W7" s="15"/>
      <c r="X7" s="15"/>
      <c r="Y7" s="16">
        <f t="shared" si="0"/>
        <v>4.3447260000000001E-2</v>
      </c>
      <c r="Z7" s="16">
        <f t="shared" si="1"/>
        <v>6.6533199999999999E-3</v>
      </c>
      <c r="AA7" s="16">
        <f t="shared" si="2"/>
        <v>3.1178959999999999E-2</v>
      </c>
      <c r="AB7" s="16">
        <f t="shared" si="3"/>
        <v>3.52368E-3</v>
      </c>
      <c r="AC7" s="17">
        <f t="shared" si="7"/>
        <v>2.5191752609672609</v>
      </c>
      <c r="AD7" s="17">
        <f t="shared" si="8"/>
        <v>1.7980901315092925</v>
      </c>
      <c r="AE7" s="17">
        <f t="shared" si="9"/>
        <v>8.706384725369686</v>
      </c>
      <c r="AF7" s="17">
        <f t="shared" si="4"/>
        <v>8.2776172253696867</v>
      </c>
    </row>
    <row r="8" spans="1:32" x14ac:dyDescent="0.25">
      <c r="A8" s="14">
        <v>6</v>
      </c>
      <c r="B8" s="14"/>
      <c r="C8" s="14">
        <v>25</v>
      </c>
      <c r="D8" s="14"/>
      <c r="E8" s="15">
        <v>-0.43478250000000002</v>
      </c>
      <c r="F8" s="15">
        <v>-0.43253999999999998</v>
      </c>
      <c r="G8" s="15">
        <v>-2.2425100000000001E-3</v>
      </c>
      <c r="H8" s="15">
        <v>0.55743010000000004</v>
      </c>
      <c r="I8" s="15">
        <v>0.55250250000000001</v>
      </c>
      <c r="J8" s="15">
        <v>4.92758E-3</v>
      </c>
      <c r="K8" s="18">
        <v>25.14</v>
      </c>
      <c r="L8" s="18">
        <v>25.12</v>
      </c>
      <c r="M8" s="18">
        <v>0.01</v>
      </c>
      <c r="N8" s="15">
        <v>4.378663E-2</v>
      </c>
      <c r="O8" s="15">
        <v>3.120179E-2</v>
      </c>
      <c r="P8" s="15">
        <v>1.258484E-2</v>
      </c>
      <c r="Q8" s="15">
        <v>5.7948000000000001E-3</v>
      </c>
      <c r="R8" s="15">
        <v>4.2074E-3</v>
      </c>
      <c r="S8" s="15">
        <v>1.5874000000000001E-3</v>
      </c>
      <c r="T8" s="14"/>
      <c r="U8" s="15">
        <f t="shared" si="5"/>
        <v>1.1212500000000181E-3</v>
      </c>
      <c r="V8" s="15">
        <f t="shared" si="6"/>
        <v>2.463800000000016E-3</v>
      </c>
      <c r="W8" s="15"/>
      <c r="X8" s="15"/>
      <c r="Y8" s="16">
        <f t="shared" si="0"/>
        <v>4.378663E-2</v>
      </c>
      <c r="Z8" s="16">
        <f t="shared" si="1"/>
        <v>5.7948000000000001E-3</v>
      </c>
      <c r="AA8" s="16">
        <f t="shared" si="2"/>
        <v>3.120179E-2</v>
      </c>
      <c r="AB8" s="16">
        <f t="shared" si="3"/>
        <v>4.2074E-3</v>
      </c>
      <c r="AC8" s="17">
        <f t="shared" si="7"/>
        <v>2.5314871780082249</v>
      </c>
      <c r="AD8" s="17">
        <f t="shared" si="8"/>
        <v>1.8042090852722621</v>
      </c>
      <c r="AE8" s="17">
        <f t="shared" si="9"/>
        <v>7.5388159465879108</v>
      </c>
      <c r="AF8" s="17">
        <f t="shared" si="4"/>
        <v>7.1062759465879104</v>
      </c>
    </row>
    <row r="9" spans="1:32" x14ac:dyDescent="0.25">
      <c r="A9" s="14">
        <v>7</v>
      </c>
      <c r="B9" s="14"/>
      <c r="C9" s="14">
        <v>30</v>
      </c>
      <c r="D9" s="14"/>
      <c r="E9" s="15">
        <v>-0.43349752000000003</v>
      </c>
      <c r="F9" s="15">
        <v>-0.43220744</v>
      </c>
      <c r="G9" s="15">
        <v>-1.2900800000000001E-3</v>
      </c>
      <c r="H9" s="15">
        <v>0.55318752000000004</v>
      </c>
      <c r="I9" s="15">
        <v>0.55054504000000004</v>
      </c>
      <c r="J9" s="15">
        <v>2.6425099999999998E-3</v>
      </c>
      <c r="K9" s="18">
        <v>25.16</v>
      </c>
      <c r="L9" s="18">
        <v>25.16</v>
      </c>
      <c r="M9" s="18">
        <v>0</v>
      </c>
      <c r="N9" s="15">
        <v>4.3655760000000002E-2</v>
      </c>
      <c r="O9" s="15">
        <v>3.0903690000000001E-2</v>
      </c>
      <c r="P9" s="15">
        <v>1.2752070000000001E-2</v>
      </c>
      <c r="Q9" s="15">
        <v>5.38208E-3</v>
      </c>
      <c r="R9" s="15">
        <v>4.8867199999999998E-3</v>
      </c>
      <c r="S9" s="15">
        <v>4.9536000000000003E-4</v>
      </c>
      <c r="T9" s="14"/>
      <c r="U9" s="15">
        <f t="shared" si="5"/>
        <v>6.4504000000001338E-4</v>
      </c>
      <c r="V9" s="15">
        <f t="shared" si="6"/>
        <v>1.3212400000000013E-3</v>
      </c>
      <c r="W9" s="15"/>
      <c r="X9" s="15"/>
      <c r="Y9" s="16">
        <f t="shared" si="0"/>
        <v>4.3655760000000002E-2</v>
      </c>
      <c r="Z9" s="16">
        <f t="shared" si="1"/>
        <v>5.38208E-3</v>
      </c>
      <c r="AA9" s="16">
        <f t="shared" si="2"/>
        <v>3.0903690000000001E-2</v>
      </c>
      <c r="AB9" s="16">
        <f t="shared" si="3"/>
        <v>4.8867199999999998E-3</v>
      </c>
      <c r="AC9" s="17">
        <f t="shared" si="7"/>
        <v>2.5210411639124262</v>
      </c>
      <c r="AD9" s="17">
        <f t="shared" si="8"/>
        <v>1.7929438584997726</v>
      </c>
      <c r="AE9" s="17">
        <f t="shared" si="9"/>
        <v>7.0282191437294221</v>
      </c>
      <c r="AF9" s="17">
        <f t="shared" si="4"/>
        <v>6.5960117037294221</v>
      </c>
    </row>
    <row r="10" spans="1:32" x14ac:dyDescent="0.25">
      <c r="A10" s="14">
        <v>8</v>
      </c>
      <c r="B10" s="14"/>
      <c r="C10" s="14">
        <v>35</v>
      </c>
      <c r="D10" s="14"/>
      <c r="E10" s="15">
        <v>-0.43354500000000001</v>
      </c>
      <c r="F10" s="15">
        <v>-0.43389749999999999</v>
      </c>
      <c r="G10" s="15">
        <v>3.5247000000000002E-4</v>
      </c>
      <c r="H10" s="15">
        <v>0.56025004</v>
      </c>
      <c r="I10" s="15">
        <v>0.55362756000000002</v>
      </c>
      <c r="J10" s="15">
        <v>6.62249E-3</v>
      </c>
      <c r="K10" s="18">
        <v>25.06</v>
      </c>
      <c r="L10" s="18">
        <v>25.06</v>
      </c>
      <c r="M10" s="18">
        <v>-0.01</v>
      </c>
      <c r="N10" s="15">
        <v>4.3827520000000002E-2</v>
      </c>
      <c r="O10" s="15">
        <v>3.0665769999999998E-2</v>
      </c>
      <c r="P10" s="15">
        <v>1.316174E-2</v>
      </c>
      <c r="Q10" s="15">
        <v>4.6805400000000004E-3</v>
      </c>
      <c r="R10" s="15">
        <v>5.4210200000000004E-3</v>
      </c>
      <c r="S10" s="15">
        <v>-7.4047999999999996E-4</v>
      </c>
      <c r="T10" s="14"/>
      <c r="U10" s="15">
        <f t="shared" si="5"/>
        <v>-1.7624999999998892E-4</v>
      </c>
      <c r="V10" s="15">
        <f t="shared" si="6"/>
        <v>3.3112399999999931E-3</v>
      </c>
      <c r="W10" s="15"/>
      <c r="X10" s="15"/>
      <c r="Y10" s="16">
        <f t="shared" si="0"/>
        <v>4.3827520000000002E-2</v>
      </c>
      <c r="Z10" s="16">
        <f t="shared" si="1"/>
        <v>4.6805400000000004E-3</v>
      </c>
      <c r="AA10" s="16">
        <f t="shared" si="2"/>
        <v>3.0665769999999998E-2</v>
      </c>
      <c r="AB10" s="16">
        <f t="shared" si="3"/>
        <v>5.4210200000000004E-3</v>
      </c>
      <c r="AC10" s="17">
        <f t="shared" si="7"/>
        <v>2.5262295740188594</v>
      </c>
      <c r="AD10" s="17">
        <f t="shared" si="8"/>
        <v>1.7845502085143639</v>
      </c>
      <c r="AE10" s="17">
        <f t="shared" si="9"/>
        <v>6.0957724458359284</v>
      </c>
      <c r="AF10" s="17">
        <f t="shared" si="4"/>
        <v>5.6618749458359288</v>
      </c>
    </row>
    <row r="11" spans="1:32" x14ac:dyDescent="0.25">
      <c r="A11" s="14">
        <v>9</v>
      </c>
      <c r="B11" s="14"/>
      <c r="C11" s="14">
        <v>40</v>
      </c>
      <c r="D11" s="14"/>
      <c r="E11" s="15">
        <v>-0.43657499999999999</v>
      </c>
      <c r="F11" s="15">
        <v>-0.43114999999999998</v>
      </c>
      <c r="G11" s="15">
        <v>-5.4249800000000003E-3</v>
      </c>
      <c r="H11" s="15">
        <v>0.55870752000000001</v>
      </c>
      <c r="I11" s="15">
        <v>0.55330000000000001</v>
      </c>
      <c r="J11" s="15">
        <v>5.4075099999999999E-3</v>
      </c>
      <c r="K11" s="18">
        <v>25.09</v>
      </c>
      <c r="L11" s="18">
        <v>25.09</v>
      </c>
      <c r="M11" s="18">
        <v>0</v>
      </c>
      <c r="N11" s="15">
        <v>4.3567990000000001E-2</v>
      </c>
      <c r="O11" s="15">
        <v>3.0990719999999999E-2</v>
      </c>
      <c r="P11" s="15">
        <v>1.257727E-2</v>
      </c>
      <c r="Q11" s="15">
        <v>4.1346400000000002E-3</v>
      </c>
      <c r="R11" s="15">
        <v>6.0770299999999998E-3</v>
      </c>
      <c r="S11" s="15">
        <v>-1.9423800000000001E-3</v>
      </c>
      <c r="T11" s="14"/>
      <c r="U11" s="15">
        <f t="shared" si="5"/>
        <v>2.7125000000000066E-3</v>
      </c>
      <c r="V11" s="15">
        <f t="shared" si="6"/>
        <v>2.7037599999999995E-3</v>
      </c>
      <c r="W11" s="15"/>
      <c r="X11" s="15"/>
      <c r="Y11" s="16">
        <f t="shared" si="0"/>
        <v>4.3567990000000001E-2</v>
      </c>
      <c r="Z11" s="16">
        <f t="shared" si="1"/>
        <v>4.1346400000000002E-3</v>
      </c>
      <c r="AA11" s="16">
        <f t="shared" si="2"/>
        <v>3.0990719999999999E-2</v>
      </c>
      <c r="AB11" s="16">
        <f t="shared" si="3"/>
        <v>6.0770299999999998E-3</v>
      </c>
      <c r="AC11" s="17">
        <f t="shared" si="7"/>
        <v>2.5082787428170281</v>
      </c>
      <c r="AD11" s="17">
        <f t="shared" si="8"/>
        <v>1.809754806369964</v>
      </c>
      <c r="AE11" s="17">
        <f t="shared" si="9"/>
        <v>5.4211833143043338</v>
      </c>
      <c r="AF11" s="17">
        <f t="shared" si="4"/>
        <v>4.9900333143043341</v>
      </c>
    </row>
    <row r="12" spans="1:32" x14ac:dyDescent="0.25">
      <c r="A12" s="14">
        <v>10</v>
      </c>
      <c r="B12" s="14"/>
      <c r="C12" s="14">
        <v>45</v>
      </c>
      <c r="D12" s="14"/>
      <c r="E12" s="15">
        <v>-0.4348225</v>
      </c>
      <c r="F12" s="15">
        <v>-0.42965991999999997</v>
      </c>
      <c r="G12" s="15">
        <v>-5.16257E-3</v>
      </c>
      <c r="H12" s="15">
        <v>0.56083000000000005</v>
      </c>
      <c r="I12" s="15">
        <v>0.55940500000000004</v>
      </c>
      <c r="J12" s="15">
        <v>1.42497E-3</v>
      </c>
      <c r="K12" s="18">
        <v>25.01</v>
      </c>
      <c r="L12" s="18">
        <v>25.03</v>
      </c>
      <c r="M12" s="18">
        <v>-0.01</v>
      </c>
      <c r="N12" s="15">
        <v>4.3543819999999997E-2</v>
      </c>
      <c r="O12" s="15">
        <v>3.065882E-2</v>
      </c>
      <c r="P12" s="15">
        <v>1.2885010000000001E-2</v>
      </c>
      <c r="Q12" s="15">
        <v>3.65796E-3</v>
      </c>
      <c r="R12" s="15">
        <v>6.7834499999999999E-3</v>
      </c>
      <c r="S12" s="15">
        <v>-3.1254899999999999E-3</v>
      </c>
      <c r="T12" s="14"/>
      <c r="U12" s="15">
        <f t="shared" si="5"/>
        <v>2.5812900000000139E-3</v>
      </c>
      <c r="V12" s="15">
        <f t="shared" si="6"/>
        <v>7.125000000000048E-4</v>
      </c>
      <c r="W12" s="15"/>
      <c r="X12" s="15"/>
      <c r="Y12" s="16">
        <f t="shared" si="0"/>
        <v>4.3543819999999997E-2</v>
      </c>
      <c r="Z12" s="16">
        <f t="shared" si="1"/>
        <v>3.65796E-3</v>
      </c>
      <c r="AA12" s="16">
        <f t="shared" si="2"/>
        <v>3.065882E-2</v>
      </c>
      <c r="AB12" s="16">
        <f t="shared" si="3"/>
        <v>6.7834499999999999E-3</v>
      </c>
      <c r="AC12" s="17">
        <f t="shared" si="7"/>
        <v>2.5044623567369877</v>
      </c>
      <c r="AD12" s="17">
        <f t="shared" si="8"/>
        <v>1.7994000759149964</v>
      </c>
      <c r="AE12" s="17">
        <f t="shared" si="9"/>
        <v>4.8019380477290099</v>
      </c>
      <c r="AF12" s="17">
        <f t="shared" si="4"/>
        <v>4.3722781277290101</v>
      </c>
    </row>
    <row r="13" spans="1:32" x14ac:dyDescent="0.25">
      <c r="A13" s="14">
        <v>11</v>
      </c>
      <c r="B13" s="14"/>
      <c r="C13" s="14">
        <v>50</v>
      </c>
      <c r="D13" s="14"/>
      <c r="E13" s="15">
        <v>-0.43540000000000001</v>
      </c>
      <c r="F13" s="15">
        <v>-0.42868000000000001</v>
      </c>
      <c r="G13" s="15">
        <v>-6.7200100000000002E-3</v>
      </c>
      <c r="H13" s="15">
        <v>0.55715256000000002</v>
      </c>
      <c r="I13" s="15">
        <v>0.55091999999999997</v>
      </c>
      <c r="J13" s="15">
        <v>6.2325599999999998E-3</v>
      </c>
      <c r="K13" s="18">
        <v>25.12</v>
      </c>
      <c r="L13" s="18">
        <v>25.13</v>
      </c>
      <c r="M13" s="18">
        <v>-0.01</v>
      </c>
      <c r="N13" s="15">
        <v>4.3219960000000002E-2</v>
      </c>
      <c r="O13" s="15">
        <v>3.1337770000000001E-2</v>
      </c>
      <c r="P13" s="15">
        <v>1.1882200000000001E-2</v>
      </c>
      <c r="Q13" s="15">
        <v>2.9982899999999998E-3</v>
      </c>
      <c r="R13" s="15">
        <v>7.2838099999999999E-3</v>
      </c>
      <c r="S13" s="15">
        <v>-4.2855200000000001E-3</v>
      </c>
      <c r="T13" s="14"/>
      <c r="U13" s="15">
        <f t="shared" si="5"/>
        <v>3.3600000000000019E-3</v>
      </c>
      <c r="V13" s="15">
        <f t="shared" si="6"/>
        <v>3.1162800000000268E-3</v>
      </c>
      <c r="W13" s="15"/>
      <c r="X13" s="15"/>
      <c r="Y13" s="16">
        <f t="shared" si="0"/>
        <v>4.3219960000000002E-2</v>
      </c>
      <c r="Z13" s="16">
        <f t="shared" si="1"/>
        <v>2.9982899999999998E-3</v>
      </c>
      <c r="AA13" s="16">
        <f t="shared" si="2"/>
        <v>3.1337770000000001E-2</v>
      </c>
      <c r="AB13" s="16">
        <f t="shared" si="3"/>
        <v>7.2838099999999999E-3</v>
      </c>
      <c r="AC13" s="17">
        <f t="shared" si="7"/>
        <v>2.4830500774966535</v>
      </c>
      <c r="AD13" s="17">
        <f t="shared" si="8"/>
        <v>1.8437022143543293</v>
      </c>
      <c r="AE13" s="17">
        <f t="shared" si="9"/>
        <v>3.968411170875533</v>
      </c>
      <c r="AF13" s="17">
        <f t="shared" si="4"/>
        <v>3.539731170875533</v>
      </c>
    </row>
    <row r="14" spans="1:32" x14ac:dyDescent="0.25">
      <c r="A14" s="14">
        <v>12</v>
      </c>
      <c r="B14" s="14"/>
      <c r="C14" s="14">
        <v>55</v>
      </c>
      <c r="D14" s="14"/>
      <c r="E14" s="15">
        <v>-0.43580999999999998</v>
      </c>
      <c r="F14" s="15">
        <v>-0.42983252</v>
      </c>
      <c r="G14" s="15">
        <v>-5.9774800000000003E-3</v>
      </c>
      <c r="H14" s="15">
        <v>0.55669751999999995</v>
      </c>
      <c r="I14" s="15">
        <v>0.55206999999999995</v>
      </c>
      <c r="J14" s="15">
        <v>4.6275300000000004E-3</v>
      </c>
      <c r="K14" s="18">
        <v>25.17</v>
      </c>
      <c r="L14" s="18">
        <v>25.17</v>
      </c>
      <c r="M14" s="18">
        <v>0</v>
      </c>
      <c r="N14" s="15">
        <v>4.3058109999999997E-2</v>
      </c>
      <c r="O14" s="15">
        <v>3.1194340000000001E-2</v>
      </c>
      <c r="P14" s="15">
        <v>1.1863769999999999E-2</v>
      </c>
      <c r="Q14" s="15">
        <v>2.4945100000000001E-3</v>
      </c>
      <c r="R14" s="15">
        <v>7.8951400000000001E-3</v>
      </c>
      <c r="S14" s="15">
        <v>-5.40063E-3</v>
      </c>
      <c r="T14" s="14"/>
      <c r="U14" s="15">
        <f t="shared" si="5"/>
        <v>2.9887399999999897E-3</v>
      </c>
      <c r="V14" s="15">
        <f t="shared" si="6"/>
        <v>2.313759999999998E-3</v>
      </c>
      <c r="W14" s="15"/>
      <c r="X14" s="15"/>
      <c r="Y14" s="16">
        <f t="shared" si="0"/>
        <v>4.3058109999999997E-2</v>
      </c>
      <c r="Z14" s="16">
        <f t="shared" si="1"/>
        <v>2.4945100000000001E-3</v>
      </c>
      <c r="AA14" s="16">
        <f t="shared" si="2"/>
        <v>3.1194340000000001E-2</v>
      </c>
      <c r="AB14" s="16">
        <f t="shared" si="3"/>
        <v>7.8951400000000001E-3</v>
      </c>
      <c r="AC14" s="17">
        <f t="shared" si="7"/>
        <v>2.4719513847514292</v>
      </c>
      <c r="AD14" s="17">
        <f t="shared" si="8"/>
        <v>1.843978696636404</v>
      </c>
      <c r="AE14" s="17">
        <f t="shared" si="9"/>
        <v>3.3156428986541102</v>
      </c>
      <c r="AF14" s="17">
        <f t="shared" si="4"/>
        <v>2.8858103786541101</v>
      </c>
    </row>
    <row r="15" spans="1:32" x14ac:dyDescent="0.25">
      <c r="A15" s="14">
        <v>13</v>
      </c>
      <c r="B15" s="14"/>
      <c r="C15" s="14">
        <v>60</v>
      </c>
      <c r="D15" s="14"/>
      <c r="E15" s="15">
        <v>-0.43250243999999999</v>
      </c>
      <c r="F15" s="15">
        <v>-0.42953000000000002</v>
      </c>
      <c r="G15" s="15">
        <v>-2.9724500000000002E-3</v>
      </c>
      <c r="H15" s="15">
        <v>0.55620499999999995</v>
      </c>
      <c r="I15" s="15">
        <v>0.55209003999999995</v>
      </c>
      <c r="J15" s="15">
        <v>4.1149300000000002E-3</v>
      </c>
      <c r="K15" s="18">
        <v>25.14</v>
      </c>
      <c r="L15" s="18">
        <v>25.15</v>
      </c>
      <c r="M15" s="18">
        <v>-0.01</v>
      </c>
      <c r="N15" s="15">
        <v>4.2680540000000003E-2</v>
      </c>
      <c r="O15" s="15">
        <v>3.1761350000000001E-2</v>
      </c>
      <c r="P15" s="15">
        <v>1.091919E-2</v>
      </c>
      <c r="Q15" s="15">
        <v>1.89832E-3</v>
      </c>
      <c r="R15" s="15">
        <v>8.3580300000000007E-3</v>
      </c>
      <c r="S15" s="15">
        <v>-6.4597200000000004E-3</v>
      </c>
      <c r="T15" s="14"/>
      <c r="U15" s="15">
        <f t="shared" si="5"/>
        <v>1.4862199999999826E-3</v>
      </c>
      <c r="V15" s="15">
        <f t="shared" si="6"/>
        <v>2.0574800000000004E-3</v>
      </c>
      <c r="W15" s="15"/>
      <c r="X15" s="15"/>
      <c r="Y15" s="16">
        <f t="shared" si="0"/>
        <v>4.2680540000000003E-2</v>
      </c>
      <c r="Z15" s="16">
        <f t="shared" si="1"/>
        <v>1.89832E-3</v>
      </c>
      <c r="AA15" s="16">
        <f t="shared" si="2"/>
        <v>3.1761350000000001E-2</v>
      </c>
      <c r="AB15" s="16">
        <f t="shared" si="3"/>
        <v>8.3580300000000007E-3</v>
      </c>
      <c r="AC15" s="17">
        <f t="shared" si="7"/>
        <v>2.4485776792921103</v>
      </c>
      <c r="AD15" s="17">
        <f t="shared" si="8"/>
        <v>1.8820839992719254</v>
      </c>
      <c r="AE15" s="17">
        <f t="shared" si="9"/>
        <v>2.546689606003504</v>
      </c>
      <c r="AF15" s="17">
        <f t="shared" si="4"/>
        <v>2.1171596060035038</v>
      </c>
    </row>
    <row r="16" spans="1:32" x14ac:dyDescent="0.25">
      <c r="A16" s="14">
        <v>14</v>
      </c>
      <c r="B16" s="14"/>
      <c r="C16" s="14">
        <v>65</v>
      </c>
      <c r="D16" s="14"/>
      <c r="E16" s="15">
        <v>-0.43298249999999999</v>
      </c>
      <c r="F16" s="15">
        <v>-0.43179504000000002</v>
      </c>
      <c r="G16" s="15">
        <v>-1.1874699999999999E-3</v>
      </c>
      <c r="H16" s="15">
        <v>0.55767750000000005</v>
      </c>
      <c r="I16" s="15">
        <v>0.55206</v>
      </c>
      <c r="J16" s="15">
        <v>5.6175000000000001E-3</v>
      </c>
      <c r="K16" s="18">
        <v>25.13</v>
      </c>
      <c r="L16" s="18">
        <v>25.13</v>
      </c>
      <c r="M16" s="18">
        <v>0</v>
      </c>
      <c r="N16" s="15">
        <v>4.2276729999999998E-2</v>
      </c>
      <c r="O16" s="15">
        <v>3.1790279999999997E-2</v>
      </c>
      <c r="P16" s="15">
        <v>1.048645E-2</v>
      </c>
      <c r="Q16" s="15">
        <v>1.4021000000000001E-3</v>
      </c>
      <c r="R16" s="15">
        <v>8.81177E-3</v>
      </c>
      <c r="S16" s="15">
        <v>-7.4096700000000001E-3</v>
      </c>
      <c r="T16" s="14"/>
      <c r="U16" s="15">
        <f t="shared" si="5"/>
        <v>5.9372999999998677E-4</v>
      </c>
      <c r="V16" s="15">
        <f t="shared" si="6"/>
        <v>2.8087500000000265E-3</v>
      </c>
      <c r="W16" s="15"/>
      <c r="X16" s="15"/>
      <c r="Y16" s="16">
        <f t="shared" si="0"/>
        <v>4.2276729999999998E-2</v>
      </c>
      <c r="Z16" s="16">
        <f t="shared" si="1"/>
        <v>1.4021000000000001E-3</v>
      </c>
      <c r="AA16" s="16">
        <f t="shared" si="2"/>
        <v>3.1790279999999997E-2</v>
      </c>
      <c r="AB16" s="16">
        <f t="shared" si="3"/>
        <v>8.81177E-3</v>
      </c>
      <c r="AC16" s="17">
        <f t="shared" si="7"/>
        <v>2.424333311061547</v>
      </c>
      <c r="AD16" s="17">
        <f t="shared" si="8"/>
        <v>1.8904691865335341</v>
      </c>
      <c r="AE16" s="17">
        <f t="shared" si="9"/>
        <v>1.8995078017755027</v>
      </c>
      <c r="AF16" s="17">
        <f t="shared" si="4"/>
        <v>1.4677127617755028</v>
      </c>
    </row>
    <row r="17" spans="1:32" x14ac:dyDescent="0.25">
      <c r="A17" s="14">
        <v>15</v>
      </c>
      <c r="B17" s="14"/>
      <c r="C17" s="14">
        <v>70</v>
      </c>
      <c r="D17" s="14"/>
      <c r="E17" s="15">
        <v>-0.436</v>
      </c>
      <c r="F17" s="15">
        <v>-0.43085499999999999</v>
      </c>
      <c r="G17" s="15">
        <v>-5.14504E-3</v>
      </c>
      <c r="H17" s="15">
        <v>0.55956256000000004</v>
      </c>
      <c r="I17" s="15">
        <v>0.55282759999999997</v>
      </c>
      <c r="J17" s="15">
        <v>6.7349699999999998E-3</v>
      </c>
      <c r="K17" s="18">
        <v>25.12</v>
      </c>
      <c r="L17" s="18">
        <v>25.1</v>
      </c>
      <c r="M17" s="18">
        <v>0.02</v>
      </c>
      <c r="N17" s="15">
        <v>4.2176999999999999E-2</v>
      </c>
      <c r="O17" s="15">
        <v>3.2333500000000001E-2</v>
      </c>
      <c r="P17" s="15">
        <v>9.8435099999999998E-3</v>
      </c>
      <c r="Q17" s="15">
        <v>9.9303999999999994E-4</v>
      </c>
      <c r="R17" s="15">
        <v>9.0743400000000002E-3</v>
      </c>
      <c r="S17" s="15">
        <v>-8.0812999999999996E-3</v>
      </c>
      <c r="T17" s="14"/>
      <c r="U17" s="15">
        <f t="shared" si="5"/>
        <v>2.5725000000000053E-3</v>
      </c>
      <c r="V17" s="15">
        <f t="shared" si="6"/>
        <v>3.3674800000000338E-3</v>
      </c>
      <c r="W17" s="15"/>
      <c r="X17" s="15"/>
      <c r="Y17" s="16">
        <f t="shared" si="0"/>
        <v>4.2176999999999999E-2</v>
      </c>
      <c r="Z17" s="16">
        <f t="shared" si="1"/>
        <v>9.9303999999999994E-4</v>
      </c>
      <c r="AA17" s="16">
        <f t="shared" si="2"/>
        <v>3.2333500000000001E-2</v>
      </c>
      <c r="AB17" s="16">
        <f t="shared" si="3"/>
        <v>9.0743400000000002E-3</v>
      </c>
      <c r="AC17" s="17">
        <f t="shared" si="7"/>
        <v>2.4179514493780094</v>
      </c>
      <c r="AD17" s="17">
        <f t="shared" si="8"/>
        <v>1.9245097970785616</v>
      </c>
      <c r="AE17" s="17">
        <f t="shared" si="9"/>
        <v>1.3487562134015059</v>
      </c>
      <c r="AF17" s="17">
        <f t="shared" si="4"/>
        <v>0.91790121340150588</v>
      </c>
    </row>
    <row r="18" spans="1:32" x14ac:dyDescent="0.25">
      <c r="A18" s="14">
        <v>16</v>
      </c>
      <c r="B18" s="14"/>
      <c r="C18" s="14">
        <v>75</v>
      </c>
      <c r="D18" s="14"/>
      <c r="E18" s="15">
        <v>-0.43254747999999998</v>
      </c>
      <c r="F18" s="15">
        <v>-0.43249749999999998</v>
      </c>
      <c r="G18" s="15">
        <v>-4.9979999999999999E-5</v>
      </c>
      <c r="H18" s="15">
        <v>0.56215510000000002</v>
      </c>
      <c r="I18" s="15">
        <v>0.55761499999999997</v>
      </c>
      <c r="J18" s="15">
        <v>4.5401499999999997E-3</v>
      </c>
      <c r="K18" s="18">
        <v>25.04</v>
      </c>
      <c r="L18" s="18">
        <v>25.03</v>
      </c>
      <c r="M18" s="18">
        <v>0.01</v>
      </c>
      <c r="N18" s="15">
        <v>4.1770259999999997E-2</v>
      </c>
      <c r="O18" s="15">
        <v>3.2454959999999998E-2</v>
      </c>
      <c r="P18" s="15">
        <v>9.3153100000000003E-3</v>
      </c>
      <c r="Q18" s="15">
        <v>5.6775E-4</v>
      </c>
      <c r="R18" s="15">
        <v>9.7548800000000005E-3</v>
      </c>
      <c r="S18" s="15">
        <v>-9.1871299999999999E-3</v>
      </c>
      <c r="T18" s="14"/>
      <c r="U18" s="15">
        <f t="shared" si="5"/>
        <v>2.499000000000251E-5</v>
      </c>
      <c r="V18" s="15">
        <f t="shared" si="6"/>
        <v>2.2700500000000234E-3</v>
      </c>
      <c r="W18" s="15"/>
      <c r="X18" s="15"/>
      <c r="Y18" s="16">
        <f t="shared" si="0"/>
        <v>4.1770259999999997E-2</v>
      </c>
      <c r="Z18" s="16">
        <f t="shared" si="1"/>
        <v>5.6775E-4</v>
      </c>
      <c r="AA18" s="16">
        <f t="shared" si="2"/>
        <v>3.2454959999999998E-2</v>
      </c>
      <c r="AB18" s="16">
        <f t="shared" si="3"/>
        <v>9.7548800000000005E-3</v>
      </c>
      <c r="AC18" s="17">
        <f t="shared" si="7"/>
        <v>2.3941773539054774</v>
      </c>
      <c r="AD18" s="17">
        <f t="shared" si="8"/>
        <v>1.9420835741531173</v>
      </c>
      <c r="AE18" s="17">
        <f t="shared" si="9"/>
        <v>0.77872811362368644</v>
      </c>
      <c r="AF18" s="17">
        <f t="shared" si="4"/>
        <v>0.34623061362368646</v>
      </c>
    </row>
    <row r="19" spans="1:32" x14ac:dyDescent="0.25">
      <c r="A19" s="14">
        <v>17</v>
      </c>
      <c r="B19" s="14"/>
      <c r="C19" s="14">
        <v>80</v>
      </c>
      <c r="D19" s="14"/>
      <c r="E19" s="15">
        <v>-0.43715996000000001</v>
      </c>
      <c r="F19" s="15">
        <v>-0.43379250000000003</v>
      </c>
      <c r="G19" s="15">
        <v>-3.3674500000000001E-3</v>
      </c>
      <c r="H19" s="15">
        <v>0.56079508</v>
      </c>
      <c r="I19" s="15">
        <v>0.55173015999999997</v>
      </c>
      <c r="J19" s="15">
        <v>9.0649100000000007E-3</v>
      </c>
      <c r="K19" s="18">
        <v>25.14</v>
      </c>
      <c r="L19" s="18">
        <v>25.14</v>
      </c>
      <c r="M19" s="18">
        <v>0</v>
      </c>
      <c r="N19" s="15">
        <v>4.1709349999999999E-2</v>
      </c>
      <c r="O19" s="15">
        <v>3.32666E-2</v>
      </c>
      <c r="P19" s="15">
        <v>8.4427500000000006E-3</v>
      </c>
      <c r="Q19" s="15">
        <v>7.5679999999999994E-5</v>
      </c>
      <c r="R19" s="15">
        <v>1.01759E-2</v>
      </c>
      <c r="S19" s="15">
        <v>-1.010022E-2</v>
      </c>
      <c r="T19" s="14"/>
      <c r="U19" s="15">
        <f t="shared" si="5"/>
        <v>1.6837299999999944E-3</v>
      </c>
      <c r="V19" s="15">
        <f t="shared" si="6"/>
        <v>4.5324600000000159E-3</v>
      </c>
      <c r="W19" s="15"/>
      <c r="X19" s="15"/>
      <c r="Y19" s="16">
        <f t="shared" si="0"/>
        <v>4.1709349999999999E-2</v>
      </c>
      <c r="Z19" s="16">
        <f t="shared" si="1"/>
        <v>7.5679999999999994E-5</v>
      </c>
      <c r="AA19" s="16">
        <f t="shared" si="2"/>
        <v>3.32666E-2</v>
      </c>
      <c r="AB19" s="16">
        <f t="shared" si="3"/>
        <v>1.01759E-2</v>
      </c>
      <c r="AC19" s="17">
        <f t="shared" ref="AC19:AC34" si="10">IF(Y19="","",DEGREES(ASIN(SQRT(Y19^2+Z19^2))))</f>
        <v>2.3904671032747449</v>
      </c>
      <c r="AD19" s="17">
        <f t="shared" ref="AD19:AD34" si="11">IF(AA19="","",DEGREES(ASIN(SQRT(AA19^2+AB19^2))))</f>
        <v>1.9936166220010036</v>
      </c>
      <c r="AE19" s="17">
        <f t="shared" ref="AE19:AE34" si="12">IF(Y19="","",MOD(DEGREES(ATAN2(Y19,Z19)),360))</f>
        <v>0.10396085853588394</v>
      </c>
      <c r="AF19" s="17">
        <f t="shared" si="4"/>
        <v>359.67016835853588</v>
      </c>
    </row>
    <row r="20" spans="1:32" x14ac:dyDescent="0.25">
      <c r="A20" s="14">
        <v>18</v>
      </c>
      <c r="B20" s="14"/>
      <c r="C20" s="14">
        <v>85</v>
      </c>
      <c r="D20" s="14"/>
      <c r="E20" s="15">
        <v>-0.43351751999999999</v>
      </c>
      <c r="F20" s="15">
        <v>-0.43504490000000001</v>
      </c>
      <c r="G20" s="15">
        <v>1.5273999999999999E-3</v>
      </c>
      <c r="H20" s="15">
        <v>0.56087008000000005</v>
      </c>
      <c r="I20" s="15">
        <v>0.55449751999999997</v>
      </c>
      <c r="J20" s="15">
        <v>6.3725099999999996E-3</v>
      </c>
      <c r="K20" s="18">
        <v>25.1</v>
      </c>
      <c r="L20" s="18">
        <v>25.09</v>
      </c>
      <c r="M20" s="18">
        <v>0</v>
      </c>
      <c r="N20" s="15">
        <v>4.109107E-2</v>
      </c>
      <c r="O20" s="15">
        <v>3.3569950000000001E-2</v>
      </c>
      <c r="P20" s="15">
        <v>7.5211200000000001E-3</v>
      </c>
      <c r="Q20" s="15">
        <v>-2.4609000000000002E-4</v>
      </c>
      <c r="R20" s="15">
        <v>1.05918E-2</v>
      </c>
      <c r="S20" s="15">
        <v>-1.0837889999999999E-2</v>
      </c>
      <c r="T20" s="14"/>
      <c r="U20" s="15">
        <f t="shared" si="5"/>
        <v>-7.636900000000113E-4</v>
      </c>
      <c r="V20" s="15">
        <f t="shared" si="6"/>
        <v>3.1862800000000413E-3</v>
      </c>
      <c r="W20" s="15"/>
      <c r="X20" s="15"/>
      <c r="Y20" s="16">
        <f t="shared" si="0"/>
        <v>4.109107E-2</v>
      </c>
      <c r="Z20" s="16">
        <f t="shared" si="1"/>
        <v>-2.4609000000000002E-4</v>
      </c>
      <c r="AA20" s="16">
        <f t="shared" si="2"/>
        <v>3.3569950000000001E-2</v>
      </c>
      <c r="AB20" s="16">
        <f t="shared" si="3"/>
        <v>1.05918E-2</v>
      </c>
      <c r="AC20" s="17">
        <f t="shared" si="10"/>
        <v>2.355050189837868</v>
      </c>
      <c r="AD20" s="17">
        <f t="shared" si="11"/>
        <v>2.0172996320229717</v>
      </c>
      <c r="AE20" s="17">
        <f t="shared" si="12"/>
        <v>359.65686583944245</v>
      </c>
      <c r="AF20" s="17">
        <f t="shared" si="4"/>
        <v>359.22182093944247</v>
      </c>
    </row>
    <row r="21" spans="1:32" x14ac:dyDescent="0.25">
      <c r="A21" s="14">
        <v>19</v>
      </c>
      <c r="B21" s="14"/>
      <c r="C21" s="14">
        <v>90</v>
      </c>
      <c r="D21" s="14"/>
      <c r="E21" s="15">
        <v>-0.43499747999999999</v>
      </c>
      <c r="F21" s="15">
        <v>-0.43689748</v>
      </c>
      <c r="G21" s="15">
        <v>1.8999900000000001E-3</v>
      </c>
      <c r="H21" s="15">
        <v>0.56464000000000003</v>
      </c>
      <c r="I21" s="15">
        <v>0.55908256000000001</v>
      </c>
      <c r="J21" s="15">
        <v>5.5574200000000004E-3</v>
      </c>
      <c r="K21" s="18">
        <v>25.04</v>
      </c>
      <c r="L21" s="18">
        <v>25.04</v>
      </c>
      <c r="M21" s="18">
        <v>0</v>
      </c>
      <c r="N21" s="15">
        <v>4.0331539999999999E-2</v>
      </c>
      <c r="O21" s="15">
        <v>3.3959469999999999E-2</v>
      </c>
      <c r="P21" s="15">
        <v>6.3720699999999996E-3</v>
      </c>
      <c r="Q21" s="15">
        <v>-4.1491999999999999E-4</v>
      </c>
      <c r="R21" s="15">
        <v>1.089539E-2</v>
      </c>
      <c r="S21" s="15">
        <v>-1.1310300000000001E-2</v>
      </c>
      <c r="T21" s="14"/>
      <c r="U21" s="15">
        <f t="shared" si="5"/>
        <v>-9.5000000000000639E-4</v>
      </c>
      <c r="V21" s="15">
        <f t="shared" si="6"/>
        <v>2.7787200000000123E-3</v>
      </c>
      <c r="W21" s="15"/>
      <c r="X21" s="15"/>
      <c r="Y21" s="16">
        <f t="shared" si="0"/>
        <v>4.0331539999999999E-2</v>
      </c>
      <c r="Z21" s="16">
        <f t="shared" si="1"/>
        <v>-4.1491999999999999E-4</v>
      </c>
      <c r="AA21" s="16">
        <f t="shared" si="2"/>
        <v>3.3959469999999999E-2</v>
      </c>
      <c r="AB21" s="16">
        <f t="shared" si="3"/>
        <v>1.089539E-2</v>
      </c>
      <c r="AC21" s="17">
        <f t="shared" si="10"/>
        <v>2.3115763425394662</v>
      </c>
      <c r="AD21" s="17">
        <f t="shared" si="11"/>
        <v>2.0438576150936334</v>
      </c>
      <c r="AE21" s="17">
        <f t="shared" si="12"/>
        <v>359.41057727544654</v>
      </c>
      <c r="AF21" s="17">
        <f t="shared" si="4"/>
        <v>358.97367979544651</v>
      </c>
    </row>
    <row r="22" spans="1:32" x14ac:dyDescent="0.25">
      <c r="A22" s="14">
        <v>20</v>
      </c>
      <c r="B22" s="14"/>
      <c r="C22" s="14">
        <v>95</v>
      </c>
      <c r="D22" s="14"/>
      <c r="E22" s="15">
        <v>-0.43304508000000003</v>
      </c>
      <c r="F22" s="15">
        <v>-0.43402004</v>
      </c>
      <c r="G22" s="15">
        <v>9.7497999999999997E-4</v>
      </c>
      <c r="H22" s="15">
        <v>0.5648976</v>
      </c>
      <c r="I22" s="15">
        <v>0.55697996000000005</v>
      </c>
      <c r="J22" s="15">
        <v>7.9176400000000001E-3</v>
      </c>
      <c r="K22" s="18">
        <v>25.03</v>
      </c>
      <c r="L22" s="18">
        <v>25.04</v>
      </c>
      <c r="M22" s="18">
        <v>-0.01</v>
      </c>
      <c r="N22" s="15">
        <v>4.0489020000000001E-2</v>
      </c>
      <c r="O22" s="15">
        <v>3.4432980000000002E-2</v>
      </c>
      <c r="P22" s="15">
        <v>6.0560400000000004E-3</v>
      </c>
      <c r="Q22" s="15">
        <v>-8.0774000000000004E-4</v>
      </c>
      <c r="R22" s="15">
        <v>1.1109249999999999E-2</v>
      </c>
      <c r="S22" s="15">
        <v>-1.1916990000000001E-2</v>
      </c>
      <c r="T22" s="14"/>
      <c r="U22" s="15">
        <f t="shared" si="5"/>
        <v>-4.8747999999998459E-4</v>
      </c>
      <c r="V22" s="15">
        <f t="shared" si="6"/>
        <v>3.958819999999974E-3</v>
      </c>
      <c r="W22" s="15"/>
      <c r="X22" s="15"/>
      <c r="Y22" s="16">
        <f t="shared" si="0"/>
        <v>4.0489020000000001E-2</v>
      </c>
      <c r="Z22" s="16">
        <f t="shared" si="1"/>
        <v>-8.0774000000000004E-4</v>
      </c>
      <c r="AA22" s="16">
        <f t="shared" si="2"/>
        <v>3.4432980000000002E-2</v>
      </c>
      <c r="AB22" s="16">
        <f t="shared" si="3"/>
        <v>1.1109249999999999E-2</v>
      </c>
      <c r="AC22" s="17">
        <f t="shared" si="10"/>
        <v>2.3209462436184438</v>
      </c>
      <c r="AD22" s="17">
        <f t="shared" si="11"/>
        <v>2.0734559277795186</v>
      </c>
      <c r="AE22" s="17">
        <f t="shared" si="12"/>
        <v>358.85712336856261</v>
      </c>
      <c r="AF22" s="17">
        <f t="shared" si="4"/>
        <v>358.4231033285626</v>
      </c>
    </row>
    <row r="23" spans="1:32" x14ac:dyDescent="0.25">
      <c r="A23" s="14">
        <v>21</v>
      </c>
      <c r="B23" s="14"/>
      <c r="C23" s="14">
        <v>100</v>
      </c>
      <c r="D23" s="14"/>
      <c r="E23" s="15">
        <v>-0.43275244000000002</v>
      </c>
      <c r="F23" s="15">
        <v>-0.43619996</v>
      </c>
      <c r="G23" s="15">
        <v>3.4475299999999999E-3</v>
      </c>
      <c r="H23" s="15">
        <v>0.56199500000000002</v>
      </c>
      <c r="I23" s="15">
        <v>0.55750255999999998</v>
      </c>
      <c r="J23" s="15">
        <v>4.4924600000000002E-3</v>
      </c>
      <c r="K23" s="18">
        <v>25.1</v>
      </c>
      <c r="L23" s="18">
        <v>25.09</v>
      </c>
      <c r="M23" s="18">
        <v>0.01</v>
      </c>
      <c r="N23" s="15">
        <v>3.943286E-2</v>
      </c>
      <c r="O23" s="15">
        <v>3.5318000000000002E-2</v>
      </c>
      <c r="P23" s="15">
        <v>4.1148699999999996E-3</v>
      </c>
      <c r="Q23" s="15">
        <v>-9.8206000000000009E-4</v>
      </c>
      <c r="R23" s="15">
        <v>1.1250370000000001E-2</v>
      </c>
      <c r="S23" s="15">
        <v>-1.2232420000000001E-2</v>
      </c>
      <c r="T23" s="14"/>
      <c r="U23" s="15">
        <f t="shared" si="5"/>
        <v>-1.7237599999999909E-3</v>
      </c>
      <c r="V23" s="15">
        <f t="shared" si="6"/>
        <v>2.246220000000021E-3</v>
      </c>
      <c r="W23" s="15"/>
      <c r="X23" s="15"/>
      <c r="Y23" s="16">
        <f t="shared" si="0"/>
        <v>3.943286E-2</v>
      </c>
      <c r="Z23" s="16">
        <f t="shared" si="1"/>
        <v>-9.8206000000000009E-4</v>
      </c>
      <c r="AA23" s="16">
        <f t="shared" si="2"/>
        <v>3.5318000000000002E-2</v>
      </c>
      <c r="AB23" s="16">
        <f t="shared" si="3"/>
        <v>1.1250370000000001E-2</v>
      </c>
      <c r="AC23" s="17">
        <f t="shared" si="10"/>
        <v>2.2606234900843591</v>
      </c>
      <c r="AD23" s="17">
        <f t="shared" si="11"/>
        <v>2.1242456734616457</v>
      </c>
      <c r="AE23" s="17">
        <f t="shared" si="12"/>
        <v>358.57336585872645</v>
      </c>
      <c r="AF23" s="17">
        <f t="shared" si="4"/>
        <v>358.13716589872644</v>
      </c>
    </row>
    <row r="24" spans="1:32" x14ac:dyDescent="0.25">
      <c r="A24" s="14">
        <v>22</v>
      </c>
      <c r="B24" s="14"/>
      <c r="C24" s="14">
        <v>105</v>
      </c>
      <c r="D24" s="14"/>
      <c r="E24" s="15">
        <v>-0.43150500000000003</v>
      </c>
      <c r="F24" s="15">
        <v>-0.43378751999999998</v>
      </c>
      <c r="G24" s="15">
        <v>2.2824999999999998E-3</v>
      </c>
      <c r="H24" s="15">
        <v>0.55831010000000003</v>
      </c>
      <c r="I24" s="15">
        <v>0.55682503999999999</v>
      </c>
      <c r="J24" s="15">
        <v>1.4850499999999999E-3</v>
      </c>
      <c r="K24" s="18">
        <v>25.12</v>
      </c>
      <c r="L24" s="18">
        <v>25.11</v>
      </c>
      <c r="M24" s="18">
        <v>0.01</v>
      </c>
      <c r="N24" s="15">
        <v>3.8883670000000002E-2</v>
      </c>
      <c r="O24" s="15">
        <v>3.6025509999999997E-2</v>
      </c>
      <c r="P24" s="15">
        <v>2.8581600000000002E-3</v>
      </c>
      <c r="Q24" s="15">
        <v>-1.19812E-3</v>
      </c>
      <c r="R24" s="15">
        <v>1.143958E-2</v>
      </c>
      <c r="S24" s="15">
        <v>-1.26377E-2</v>
      </c>
      <c r="T24" s="14"/>
      <c r="U24" s="15">
        <f t="shared" si="5"/>
        <v>-1.1412599999999773E-3</v>
      </c>
      <c r="V24" s="15">
        <f t="shared" si="6"/>
        <v>7.4253000000001901E-4</v>
      </c>
      <c r="W24" s="15"/>
      <c r="X24" s="15"/>
      <c r="Y24" s="16">
        <f t="shared" si="0"/>
        <v>3.8883670000000002E-2</v>
      </c>
      <c r="Z24" s="16">
        <f t="shared" si="1"/>
        <v>-1.19812E-3</v>
      </c>
      <c r="AA24" s="16">
        <f t="shared" si="2"/>
        <v>3.6025509999999997E-2</v>
      </c>
      <c r="AB24" s="16">
        <f t="shared" si="3"/>
        <v>1.143958E-2</v>
      </c>
      <c r="AC24" s="17">
        <f t="shared" si="10"/>
        <v>2.2294901270788143</v>
      </c>
      <c r="AD24" s="17">
        <f t="shared" si="11"/>
        <v>2.1661914072010067</v>
      </c>
      <c r="AE24" s="17">
        <f t="shared" si="12"/>
        <v>358.23510727471614</v>
      </c>
      <c r="AF24" s="17">
        <f t="shared" si="4"/>
        <v>357.80131975471613</v>
      </c>
    </row>
    <row r="25" spans="1:32" x14ac:dyDescent="0.25">
      <c r="A25" s="14">
        <v>23</v>
      </c>
      <c r="B25" s="14"/>
      <c r="C25" s="14">
        <v>110</v>
      </c>
      <c r="D25" s="14"/>
      <c r="E25" s="15">
        <v>-0.43276244000000003</v>
      </c>
      <c r="F25" s="15">
        <v>-0.43587747999999998</v>
      </c>
      <c r="G25" s="15">
        <v>3.11503E-3</v>
      </c>
      <c r="H25" s="15">
        <v>0.55706507999999999</v>
      </c>
      <c r="I25" s="15">
        <v>0.55017760000000004</v>
      </c>
      <c r="J25" s="15">
        <v>6.8875000000000004E-3</v>
      </c>
      <c r="K25" s="18">
        <v>25.16</v>
      </c>
      <c r="L25" s="18">
        <v>25.15</v>
      </c>
      <c r="M25" s="18">
        <v>0.02</v>
      </c>
      <c r="N25" s="15">
        <v>3.8407469999999999E-2</v>
      </c>
      <c r="O25" s="15">
        <v>3.6364870000000001E-2</v>
      </c>
      <c r="P25" s="15">
        <v>2.0425999999999999E-3</v>
      </c>
      <c r="Q25" s="15">
        <v>-1.2175300000000001E-3</v>
      </c>
      <c r="R25" s="15">
        <v>1.1663939999999999E-2</v>
      </c>
      <c r="S25" s="15">
        <v>-1.2881470000000001E-2</v>
      </c>
      <c r="T25" s="14"/>
      <c r="U25" s="15">
        <f t="shared" si="5"/>
        <v>-1.5575199999999789E-3</v>
      </c>
      <c r="V25" s="15">
        <f t="shared" si="6"/>
        <v>3.4437399999999729E-3</v>
      </c>
      <c r="W25" s="15"/>
      <c r="X25" s="15"/>
      <c r="Y25" s="16">
        <f t="shared" si="0"/>
        <v>3.8407469999999999E-2</v>
      </c>
      <c r="Z25" s="16">
        <f t="shared" si="1"/>
        <v>-1.2175300000000001E-3</v>
      </c>
      <c r="AA25" s="16">
        <f t="shared" si="2"/>
        <v>3.6364870000000001E-2</v>
      </c>
      <c r="AB25" s="16">
        <f t="shared" si="3"/>
        <v>1.1663939999999999E-2</v>
      </c>
      <c r="AC25" s="17">
        <f t="shared" si="10"/>
        <v>2.2022335550282164</v>
      </c>
      <c r="AD25" s="17">
        <f t="shared" si="11"/>
        <v>2.1886394148424793</v>
      </c>
      <c r="AE25" s="17">
        <f t="shared" si="12"/>
        <v>358.18431213549991</v>
      </c>
      <c r="AF25" s="17">
        <f t="shared" si="4"/>
        <v>357.74843465549992</v>
      </c>
    </row>
    <row r="26" spans="1:32" x14ac:dyDescent="0.25">
      <c r="A26" s="14">
        <v>24</v>
      </c>
      <c r="B26" s="14"/>
      <c r="C26" s="14">
        <v>115</v>
      </c>
      <c r="D26" s="14"/>
      <c r="E26" s="15">
        <v>-0.43458999999999998</v>
      </c>
      <c r="F26" s="15">
        <v>-0.43615492</v>
      </c>
      <c r="G26" s="15">
        <v>1.56492E-3</v>
      </c>
      <c r="H26" s="15">
        <v>0.55399500000000002</v>
      </c>
      <c r="I26" s="15">
        <v>0.55448249999999999</v>
      </c>
      <c r="J26" s="15">
        <v>-4.8751000000000003E-4</v>
      </c>
      <c r="K26" s="18">
        <v>25.14</v>
      </c>
      <c r="L26" s="18">
        <v>25.14</v>
      </c>
      <c r="M26" s="18">
        <v>0</v>
      </c>
      <c r="N26" s="15">
        <v>3.7643549999999998E-2</v>
      </c>
      <c r="O26" s="15">
        <v>3.6244140000000001E-2</v>
      </c>
      <c r="P26" s="15">
        <v>1.39941E-3</v>
      </c>
      <c r="Q26" s="15">
        <v>-1.41956E-3</v>
      </c>
      <c r="R26" s="15">
        <v>1.1603759999999999E-2</v>
      </c>
      <c r="S26" s="15">
        <v>-1.302332E-2</v>
      </c>
      <c r="T26" s="14"/>
      <c r="U26" s="15">
        <f t="shared" si="5"/>
        <v>-7.8246000000001259E-4</v>
      </c>
      <c r="V26" s="15">
        <f t="shared" si="6"/>
        <v>-2.4374999999998703E-4</v>
      </c>
      <c r="W26" s="15"/>
      <c r="X26" s="15"/>
      <c r="Y26" s="16">
        <f t="shared" si="0"/>
        <v>3.7643549999999998E-2</v>
      </c>
      <c r="Z26" s="16">
        <f t="shared" si="1"/>
        <v>-1.41956E-3</v>
      </c>
      <c r="AA26" s="16">
        <f t="shared" si="2"/>
        <v>3.6244140000000001E-2</v>
      </c>
      <c r="AB26" s="16">
        <f t="shared" si="3"/>
        <v>1.1603759999999999E-2</v>
      </c>
      <c r="AC26" s="17">
        <f t="shared" si="10"/>
        <v>2.1588603817525924</v>
      </c>
      <c r="AD26" s="17">
        <f t="shared" si="11"/>
        <v>2.180994269071034</v>
      </c>
      <c r="AE26" s="17">
        <f t="shared" si="12"/>
        <v>357.84036642240693</v>
      </c>
      <c r="AF26" s="17">
        <f t="shared" si="4"/>
        <v>357.40421150240695</v>
      </c>
    </row>
    <row r="27" spans="1:32" x14ac:dyDescent="0.25">
      <c r="A27" s="14">
        <v>25</v>
      </c>
      <c r="B27" s="14"/>
      <c r="C27" s="14">
        <v>120</v>
      </c>
      <c r="D27" s="14"/>
      <c r="E27" s="15">
        <v>-0.43237750000000003</v>
      </c>
      <c r="F27" s="15">
        <v>-0.43525752000000001</v>
      </c>
      <c r="G27" s="15">
        <v>2.8800399999999999E-3</v>
      </c>
      <c r="H27" s="15">
        <v>0.56492748000000004</v>
      </c>
      <c r="I27" s="15">
        <v>0.56073251999999996</v>
      </c>
      <c r="J27" s="15">
        <v>4.1949200000000004E-3</v>
      </c>
      <c r="K27" s="18">
        <v>25.01</v>
      </c>
      <c r="L27" s="18">
        <v>25.03</v>
      </c>
      <c r="M27" s="18">
        <v>-0.01</v>
      </c>
      <c r="N27" s="15">
        <v>3.7305169999999999E-2</v>
      </c>
      <c r="O27" s="15">
        <v>3.7952760000000002E-2</v>
      </c>
      <c r="P27" s="15">
        <v>-6.4758999999999997E-4</v>
      </c>
      <c r="Q27" s="15">
        <v>-1.31079E-3</v>
      </c>
      <c r="R27" s="15">
        <v>1.16405E-2</v>
      </c>
      <c r="S27" s="15">
        <v>-1.2951290000000001E-2</v>
      </c>
      <c r="T27" s="14"/>
      <c r="U27" s="15">
        <f t="shared" si="5"/>
        <v>-1.4400099999999916E-3</v>
      </c>
      <c r="V27" s="15">
        <f t="shared" si="6"/>
        <v>2.0974800000000404E-3</v>
      </c>
      <c r="W27" s="15"/>
      <c r="X27" s="15"/>
      <c r="Y27" s="16">
        <f t="shared" si="0"/>
        <v>3.7305169999999999E-2</v>
      </c>
      <c r="Z27" s="16">
        <f t="shared" si="1"/>
        <v>-1.31079E-3</v>
      </c>
      <c r="AA27" s="16">
        <f t="shared" si="2"/>
        <v>3.7952760000000002E-2</v>
      </c>
      <c r="AB27" s="16">
        <f t="shared" si="3"/>
        <v>1.16405E-2</v>
      </c>
      <c r="AC27" s="17">
        <f t="shared" si="10"/>
        <v>2.1392448266990454</v>
      </c>
      <c r="AD27" s="17">
        <f t="shared" si="11"/>
        <v>2.2751127159676612</v>
      </c>
      <c r="AE27" s="17">
        <f t="shared" si="12"/>
        <v>357.98762878476504</v>
      </c>
      <c r="AF27" s="17">
        <f t="shared" si="4"/>
        <v>357.55237126476504</v>
      </c>
    </row>
    <row r="28" spans="1:32" x14ac:dyDescent="0.25">
      <c r="A28" s="14">
        <v>26</v>
      </c>
      <c r="B28" s="14"/>
      <c r="C28" s="14">
        <v>125</v>
      </c>
      <c r="D28" s="14"/>
      <c r="E28" s="15">
        <v>-0.4293825</v>
      </c>
      <c r="F28" s="15">
        <v>-0.43498750000000003</v>
      </c>
      <c r="G28" s="15">
        <v>5.6049799999999999E-3</v>
      </c>
      <c r="H28" s="15">
        <v>0.55641510000000005</v>
      </c>
      <c r="I28" s="15">
        <v>0.55090989999999995</v>
      </c>
      <c r="J28" s="15">
        <v>5.5052E-3</v>
      </c>
      <c r="K28" s="18">
        <v>25.14</v>
      </c>
      <c r="L28" s="18">
        <v>25.15</v>
      </c>
      <c r="M28" s="18">
        <v>-0.01</v>
      </c>
      <c r="N28" s="15">
        <v>3.6805060000000001E-2</v>
      </c>
      <c r="O28" s="15">
        <v>3.811353E-2</v>
      </c>
      <c r="P28" s="15">
        <v>-1.3084699999999999E-3</v>
      </c>
      <c r="Q28" s="15">
        <v>-1.3444799999999999E-3</v>
      </c>
      <c r="R28" s="15">
        <v>1.165588E-2</v>
      </c>
      <c r="S28" s="15">
        <v>-1.3000370000000001E-2</v>
      </c>
      <c r="T28" s="14"/>
      <c r="U28" s="15">
        <f t="shared" si="5"/>
        <v>-2.8025000000000133E-3</v>
      </c>
      <c r="V28" s="15">
        <f t="shared" si="6"/>
        <v>2.7526000000000495E-3</v>
      </c>
      <c r="W28" s="15"/>
      <c r="X28" s="15"/>
      <c r="Y28" s="16">
        <f t="shared" si="0"/>
        <v>3.6805060000000001E-2</v>
      </c>
      <c r="Z28" s="16">
        <f t="shared" si="1"/>
        <v>-1.3444799999999999E-3</v>
      </c>
      <c r="AA28" s="16">
        <f t="shared" si="2"/>
        <v>3.811353E-2</v>
      </c>
      <c r="AB28" s="16">
        <f t="shared" si="3"/>
        <v>1.165588E-2</v>
      </c>
      <c r="AC28" s="17">
        <f t="shared" si="10"/>
        <v>2.1106584727822169</v>
      </c>
      <c r="AD28" s="17">
        <f t="shared" si="11"/>
        <v>2.2841855786868575</v>
      </c>
      <c r="AE28" s="17">
        <f t="shared" si="12"/>
        <v>357.90792917721564</v>
      </c>
      <c r="AF28" s="17">
        <f t="shared" si="4"/>
        <v>357.47294167721566</v>
      </c>
    </row>
    <row r="29" spans="1:32" x14ac:dyDescent="0.25">
      <c r="A29" s="14">
        <v>27</v>
      </c>
      <c r="B29" s="14"/>
      <c r="C29" s="14">
        <v>130</v>
      </c>
      <c r="D29" s="14"/>
      <c r="E29" s="15">
        <v>-0.42928252</v>
      </c>
      <c r="F29" s="15">
        <v>-0.43859996000000001</v>
      </c>
      <c r="G29" s="15">
        <v>9.3174599999999996E-3</v>
      </c>
      <c r="H29" s="15">
        <v>0.55500256000000003</v>
      </c>
      <c r="I29" s="15">
        <v>0.55161508000000004</v>
      </c>
      <c r="J29" s="15">
        <v>3.3875099999999998E-3</v>
      </c>
      <c r="K29" s="18">
        <v>25.16</v>
      </c>
      <c r="L29" s="18">
        <v>25.16</v>
      </c>
      <c r="M29" s="18">
        <v>0</v>
      </c>
      <c r="N29" s="15">
        <v>3.6607779999999999E-2</v>
      </c>
      <c r="O29" s="15">
        <v>3.8355340000000002E-2</v>
      </c>
      <c r="P29" s="15">
        <v>-1.74756E-3</v>
      </c>
      <c r="Q29" s="15">
        <v>-1.3287399999999999E-3</v>
      </c>
      <c r="R29" s="15">
        <v>1.167639E-2</v>
      </c>
      <c r="S29" s="15">
        <v>-1.300513E-2</v>
      </c>
      <c r="T29" s="14"/>
      <c r="U29" s="15">
        <f t="shared" si="5"/>
        <v>-4.6587200000000051E-3</v>
      </c>
      <c r="V29" s="15">
        <f t="shared" si="6"/>
        <v>1.6937399999999991E-3</v>
      </c>
      <c r="W29" s="15"/>
      <c r="X29" s="15"/>
      <c r="Y29" s="16">
        <f t="shared" si="0"/>
        <v>3.6607779999999999E-2</v>
      </c>
      <c r="Z29" s="16">
        <f t="shared" si="1"/>
        <v>-1.3287399999999999E-3</v>
      </c>
      <c r="AA29" s="16">
        <f t="shared" si="2"/>
        <v>3.8355340000000002E-2</v>
      </c>
      <c r="AB29" s="16">
        <f t="shared" si="3"/>
        <v>1.167639E-2</v>
      </c>
      <c r="AC29" s="17">
        <f t="shared" si="10"/>
        <v>2.0993221807892857</v>
      </c>
      <c r="AD29" s="17">
        <f t="shared" si="11"/>
        <v>2.2977909654370334</v>
      </c>
      <c r="AE29" s="17">
        <f t="shared" si="12"/>
        <v>357.9212673500229</v>
      </c>
      <c r="AF29" s="17">
        <f t="shared" si="4"/>
        <v>357.48266739002293</v>
      </c>
    </row>
    <row r="30" spans="1:32" x14ac:dyDescent="0.25">
      <c r="A30" s="14">
        <v>28</v>
      </c>
      <c r="B30" s="14"/>
      <c r="C30" s="14">
        <v>135</v>
      </c>
      <c r="D30" s="14"/>
      <c r="E30" s="15">
        <v>-0.43047755999999998</v>
      </c>
      <c r="F30" s="15">
        <v>-0.43502244000000001</v>
      </c>
      <c r="G30" s="15">
        <v>4.5448800000000003E-3</v>
      </c>
      <c r="H30" s="15">
        <v>0.56158507999999996</v>
      </c>
      <c r="I30" s="15">
        <v>0.56056249999999996</v>
      </c>
      <c r="J30" s="15">
        <v>1.0225799999999999E-3</v>
      </c>
      <c r="K30" s="18">
        <v>25.06</v>
      </c>
      <c r="L30" s="18">
        <v>25.05</v>
      </c>
      <c r="M30" s="18">
        <v>0</v>
      </c>
      <c r="N30" s="15">
        <v>3.527661E-2</v>
      </c>
      <c r="O30" s="15">
        <v>3.9131590000000001E-2</v>
      </c>
      <c r="P30" s="15">
        <v>-3.85498E-3</v>
      </c>
      <c r="Q30" s="15">
        <v>-1.07227E-3</v>
      </c>
      <c r="R30" s="15">
        <v>1.16051E-2</v>
      </c>
      <c r="S30" s="15">
        <v>-1.267737E-2</v>
      </c>
      <c r="T30" s="14"/>
      <c r="U30" s="15">
        <f t="shared" si="5"/>
        <v>-2.2724400000000144E-3</v>
      </c>
      <c r="V30" s="15">
        <f t="shared" si="6"/>
        <v>5.1128999999999758E-4</v>
      </c>
      <c r="W30" s="15"/>
      <c r="X30" s="15"/>
      <c r="Y30" s="16">
        <f t="shared" si="0"/>
        <v>3.527661E-2</v>
      </c>
      <c r="Z30" s="16">
        <f t="shared" si="1"/>
        <v>-1.07227E-3</v>
      </c>
      <c r="AA30" s="16">
        <f t="shared" si="2"/>
        <v>3.9131590000000001E-2</v>
      </c>
      <c r="AB30" s="16">
        <f t="shared" si="3"/>
        <v>1.16051E-2</v>
      </c>
      <c r="AC30" s="17">
        <f t="shared" si="10"/>
        <v>2.0225543943139188</v>
      </c>
      <c r="AD30" s="17">
        <f t="shared" si="11"/>
        <v>2.3392440619503199</v>
      </c>
      <c r="AE30" s="17">
        <f t="shared" si="12"/>
        <v>358.25897003279044</v>
      </c>
      <c r="AF30" s="17">
        <f t="shared" si="4"/>
        <v>357.82394759279043</v>
      </c>
    </row>
    <row r="31" spans="1:32" x14ac:dyDescent="0.25">
      <c r="A31" s="14">
        <v>29</v>
      </c>
      <c r="B31" s="14"/>
      <c r="C31" s="14">
        <v>140</v>
      </c>
      <c r="D31" s="14"/>
      <c r="E31" s="15">
        <v>-0.43180748000000002</v>
      </c>
      <c r="F31" s="15">
        <v>-0.43385995999999999</v>
      </c>
      <c r="G31" s="15">
        <v>2.05252E-3</v>
      </c>
      <c r="H31" s="15">
        <v>0.55775251999999997</v>
      </c>
      <c r="I31" s="15">
        <v>0.55420756000000004</v>
      </c>
      <c r="J31" s="15">
        <v>3.54499E-3</v>
      </c>
      <c r="K31" s="18">
        <v>25.1</v>
      </c>
      <c r="L31" s="18">
        <v>25.1</v>
      </c>
      <c r="M31" s="18">
        <v>0</v>
      </c>
      <c r="N31" s="15">
        <v>3.5133060000000001E-2</v>
      </c>
      <c r="O31" s="15">
        <v>3.9703130000000003E-2</v>
      </c>
      <c r="P31" s="15">
        <v>-4.5700699999999999E-3</v>
      </c>
      <c r="Q31" s="15">
        <v>-9.7937000000000002E-4</v>
      </c>
      <c r="R31" s="15">
        <v>1.1479E-2</v>
      </c>
      <c r="S31" s="15">
        <v>-1.245837E-2</v>
      </c>
      <c r="T31" s="14"/>
      <c r="U31" s="15">
        <f t="shared" si="5"/>
        <v>-1.0262399999999838E-3</v>
      </c>
      <c r="V31" s="15">
        <f t="shared" si="6"/>
        <v>1.7724799999999652E-3</v>
      </c>
      <c r="W31" s="15"/>
      <c r="X31" s="15"/>
      <c r="Y31" s="16">
        <f t="shared" si="0"/>
        <v>3.5133060000000001E-2</v>
      </c>
      <c r="Z31" s="16">
        <f t="shared" si="1"/>
        <v>-9.7937000000000002E-4</v>
      </c>
      <c r="AA31" s="16">
        <f t="shared" si="2"/>
        <v>3.9703130000000003E-2</v>
      </c>
      <c r="AB31" s="16">
        <f t="shared" si="3"/>
        <v>1.1479E-2</v>
      </c>
      <c r="AC31" s="17">
        <f t="shared" si="10"/>
        <v>2.0141728486987893</v>
      </c>
      <c r="AD31" s="17">
        <f t="shared" si="11"/>
        <v>2.3686655974924911</v>
      </c>
      <c r="AE31" s="17">
        <f t="shared" si="12"/>
        <v>358.40323502907086</v>
      </c>
      <c r="AF31" s="17">
        <f t="shared" si="4"/>
        <v>357.96937506907085</v>
      </c>
    </row>
    <row r="32" spans="1:32" x14ac:dyDescent="0.25">
      <c r="A32" s="14">
        <v>30</v>
      </c>
      <c r="B32" s="14"/>
      <c r="C32" s="14">
        <v>145</v>
      </c>
      <c r="D32" s="14"/>
      <c r="E32" s="15">
        <v>-0.42971999999999999</v>
      </c>
      <c r="F32" s="15">
        <v>-0.43477996000000002</v>
      </c>
      <c r="G32" s="15">
        <v>5.0599900000000003E-3</v>
      </c>
      <c r="H32" s="15">
        <v>0.55594500000000002</v>
      </c>
      <c r="I32" s="15">
        <v>0.55439247999999997</v>
      </c>
      <c r="J32" s="15">
        <v>1.5525199999999999E-3</v>
      </c>
      <c r="K32" s="18">
        <v>25.16</v>
      </c>
      <c r="L32" s="18">
        <v>25.15</v>
      </c>
      <c r="M32" s="18">
        <v>0</v>
      </c>
      <c r="N32" s="15">
        <v>3.4520629999999997E-2</v>
      </c>
      <c r="O32" s="15">
        <v>4.0117060000000003E-2</v>
      </c>
      <c r="P32" s="15">
        <v>-5.5964400000000003E-3</v>
      </c>
      <c r="Q32" s="15">
        <v>-8.0542000000000005E-4</v>
      </c>
      <c r="R32" s="15">
        <v>1.11206E-2</v>
      </c>
      <c r="S32" s="15">
        <v>-1.1926020000000001E-2</v>
      </c>
      <c r="T32" s="14"/>
      <c r="U32" s="15">
        <f t="shared" si="5"/>
        <v>-2.529980000000015E-3</v>
      </c>
      <c r="V32" s="15">
        <f t="shared" si="6"/>
        <v>7.7626000000002859E-4</v>
      </c>
      <c r="W32" s="15"/>
      <c r="X32" s="15"/>
      <c r="Y32" s="16">
        <f t="shared" si="0"/>
        <v>3.4520629999999997E-2</v>
      </c>
      <c r="Z32" s="16">
        <f t="shared" si="1"/>
        <v>-8.0542000000000005E-4</v>
      </c>
      <c r="AA32" s="16">
        <f t="shared" si="2"/>
        <v>4.0117060000000003E-2</v>
      </c>
      <c r="AB32" s="16">
        <f t="shared" si="3"/>
        <v>1.11206E-2</v>
      </c>
      <c r="AC32" s="17">
        <f t="shared" si="10"/>
        <v>1.9788180389858545</v>
      </c>
      <c r="AD32" s="17">
        <f t="shared" si="11"/>
        <v>2.3859054565916509</v>
      </c>
      <c r="AE32" s="17">
        <f t="shared" si="12"/>
        <v>358.66344281986795</v>
      </c>
      <c r="AF32" s="17">
        <f t="shared" si="4"/>
        <v>358.22866285986794</v>
      </c>
    </row>
    <row r="33" spans="1:32" x14ac:dyDescent="0.25">
      <c r="A33" s="14">
        <v>31</v>
      </c>
      <c r="B33" s="14"/>
      <c r="C33" s="14">
        <v>150</v>
      </c>
      <c r="D33" s="14"/>
      <c r="E33" s="15">
        <v>-0.43135995999999999</v>
      </c>
      <c r="F33" s="15">
        <v>-0.43616739999999998</v>
      </c>
      <c r="G33" s="15">
        <v>4.8074700000000003E-3</v>
      </c>
      <c r="H33" s="15">
        <v>0.56247510000000001</v>
      </c>
      <c r="I33" s="15">
        <v>0.55909750000000003</v>
      </c>
      <c r="J33" s="15">
        <v>3.3775599999999999E-3</v>
      </c>
      <c r="K33" s="18">
        <v>25.03</v>
      </c>
      <c r="L33" s="18">
        <v>25.03</v>
      </c>
      <c r="M33" s="18">
        <v>0</v>
      </c>
      <c r="N33" s="15">
        <v>3.3802850000000002E-2</v>
      </c>
      <c r="O33" s="15">
        <v>4.0754150000000003E-2</v>
      </c>
      <c r="P33" s="15">
        <v>-6.9512899999999997E-3</v>
      </c>
      <c r="Q33" s="15">
        <v>-3.8013000000000001E-4</v>
      </c>
      <c r="R33" s="15">
        <v>1.0985470000000001E-2</v>
      </c>
      <c r="S33" s="15">
        <v>-1.13656E-2</v>
      </c>
      <c r="T33" s="14"/>
      <c r="U33" s="15">
        <f t="shared" si="5"/>
        <v>-2.4037199999999981E-3</v>
      </c>
      <c r="V33" s="15">
        <f t="shared" si="6"/>
        <v>1.6887999999999903E-3</v>
      </c>
      <c r="W33" s="15"/>
      <c r="X33" s="15"/>
      <c r="Y33" s="16">
        <f t="shared" si="0"/>
        <v>3.3802850000000002E-2</v>
      </c>
      <c r="Z33" s="16">
        <f t="shared" si="1"/>
        <v>-3.8013000000000001E-4</v>
      </c>
      <c r="AA33" s="16">
        <f t="shared" si="2"/>
        <v>4.0754150000000003E-2</v>
      </c>
      <c r="AB33" s="16">
        <f t="shared" si="3"/>
        <v>1.0985470000000001E-2</v>
      </c>
      <c r="AC33" s="17">
        <f t="shared" si="10"/>
        <v>1.9372521934150471</v>
      </c>
      <c r="AD33" s="17">
        <f t="shared" si="11"/>
        <v>2.419103745369473</v>
      </c>
      <c r="AE33" s="17">
        <f t="shared" si="12"/>
        <v>359.35570738463036</v>
      </c>
      <c r="AF33" s="17">
        <f t="shared" si="4"/>
        <v>358.91953998463038</v>
      </c>
    </row>
    <row r="34" spans="1:32" x14ac:dyDescent="0.25">
      <c r="A34" s="14">
        <v>32</v>
      </c>
      <c r="B34" s="14"/>
      <c r="C34" s="14">
        <v>155</v>
      </c>
      <c r="D34" s="14"/>
      <c r="E34" s="15">
        <v>-0.43166500000000002</v>
      </c>
      <c r="F34" s="15">
        <v>-0.43567995999999998</v>
      </c>
      <c r="G34" s="15">
        <v>4.0149699999999997E-3</v>
      </c>
      <c r="H34" s="15">
        <v>0.55957259999999998</v>
      </c>
      <c r="I34" s="15">
        <v>0.56214003999999995</v>
      </c>
      <c r="J34" s="15">
        <v>-2.5674700000000001E-3</v>
      </c>
      <c r="K34" s="18">
        <v>25.03</v>
      </c>
      <c r="L34" s="18">
        <v>25.02</v>
      </c>
      <c r="M34" s="18">
        <v>0.01</v>
      </c>
      <c r="N34" s="15">
        <v>3.3417599999999999E-2</v>
      </c>
      <c r="O34" s="15">
        <v>4.1323369999999998E-2</v>
      </c>
      <c r="P34" s="15">
        <v>-7.9057599999999995E-3</v>
      </c>
      <c r="Q34" s="15">
        <v>-9.0210000000000005E-5</v>
      </c>
      <c r="R34" s="15">
        <v>1.067066E-2</v>
      </c>
      <c r="S34" s="15">
        <v>-1.0760870000000001E-2</v>
      </c>
      <c r="T34" s="14"/>
      <c r="U34" s="15">
        <f t="shared" si="5"/>
        <v>-2.0074799999999782E-3</v>
      </c>
      <c r="V34" s="15">
        <f t="shared" si="6"/>
        <v>-1.2837199999999882E-3</v>
      </c>
      <c r="W34" s="15"/>
      <c r="X34" s="15"/>
      <c r="Y34" s="16">
        <f t="shared" si="0"/>
        <v>3.3417599999999999E-2</v>
      </c>
      <c r="Z34" s="16">
        <f t="shared" si="1"/>
        <v>-9.0210000000000005E-5</v>
      </c>
      <c r="AA34" s="16">
        <f t="shared" si="2"/>
        <v>4.1323369999999998E-2</v>
      </c>
      <c r="AB34" s="16">
        <f t="shared" si="3"/>
        <v>1.067066E-2</v>
      </c>
      <c r="AC34" s="17">
        <f t="shared" si="10"/>
        <v>1.9150509676016685</v>
      </c>
      <c r="AD34" s="17">
        <f t="shared" si="11"/>
        <v>2.4460607086332002</v>
      </c>
      <c r="AE34" s="17">
        <f t="shared" si="12"/>
        <v>359.84533180973551</v>
      </c>
      <c r="AF34" s="17">
        <f t="shared" si="4"/>
        <v>359.4096518497355</v>
      </c>
    </row>
    <row r="35" spans="1:32" x14ac:dyDescent="0.25">
      <c r="A35" s="14">
        <v>33</v>
      </c>
      <c r="C35">
        <v>160</v>
      </c>
      <c r="E35">
        <v>-0.42909000000000003</v>
      </c>
      <c r="F35">
        <v>-0.43747239999999998</v>
      </c>
      <c r="G35">
        <v>8.38238E-3</v>
      </c>
      <c r="H35">
        <v>0.56019010000000002</v>
      </c>
      <c r="I35">
        <v>0.56068004000000005</v>
      </c>
      <c r="J35">
        <v>-4.8994999999999996E-4</v>
      </c>
      <c r="K35">
        <v>25.07</v>
      </c>
      <c r="L35">
        <v>25.06</v>
      </c>
      <c r="M35">
        <v>0</v>
      </c>
      <c r="N35">
        <v>3.2864379999999999E-2</v>
      </c>
      <c r="O35">
        <v>4.142419E-2</v>
      </c>
      <c r="P35">
        <v>-8.5598099999999993E-3</v>
      </c>
      <c r="Q35">
        <v>2.1923999999999999E-4</v>
      </c>
      <c r="R35">
        <v>1.0095460000000001E-2</v>
      </c>
      <c r="S35">
        <v>-9.8762199999999998E-3</v>
      </c>
      <c r="U35" s="15">
        <f t="shared" si="5"/>
        <v>-4.1911999999999783E-3</v>
      </c>
      <c r="V35" s="15">
        <f t="shared" ref="V35:V74" si="13">(H35-I35)/2</f>
        <v>-2.4497000000001101E-4</v>
      </c>
      <c r="Y35" s="16">
        <f t="shared" ref="Y35:Y74" si="14">N35</f>
        <v>3.2864379999999999E-2</v>
      </c>
      <c r="Z35" s="16">
        <f t="shared" ref="Z35:Z74" si="15">Q35</f>
        <v>2.1923999999999999E-4</v>
      </c>
      <c r="AA35" s="16">
        <f t="shared" ref="AA35:AA74" si="16">O35</f>
        <v>4.142419E-2</v>
      </c>
      <c r="AB35" s="16">
        <f t="shared" ref="AB35:AB74" si="17">R35</f>
        <v>1.0095460000000001E-2</v>
      </c>
      <c r="AC35" s="17">
        <f t="shared" ref="AC35:AC74" si="18">IF(Y35="","",DEGREES(ASIN(SQRT(Y35^2+Z35^2))))</f>
        <v>1.8833713160691716</v>
      </c>
      <c r="AD35" s="17">
        <f t="shared" ref="AD35:AD74" si="19">IF(AA35="","",DEGREES(ASIN(SQRT(AA35^2+AB35^2))))</f>
        <v>2.4436394472917109</v>
      </c>
      <c r="AE35" s="17">
        <f t="shared" ref="AE35:AE74" si="20">IF(Y35="","",MOD(DEGREES(ATAN2(Y35,Z35)),360))</f>
        <v>0.38221747569258718</v>
      </c>
      <c r="AF35" s="17">
        <f t="shared" ref="AF35:AF74" si="21">IF(Y35="","",MOD(F35+AE35,360))</f>
        <v>359.94474507569259</v>
      </c>
    </row>
    <row r="36" spans="1:32" x14ac:dyDescent="0.25">
      <c r="A36" s="14">
        <v>34</v>
      </c>
      <c r="C36">
        <v>165</v>
      </c>
      <c r="E36">
        <v>-0.43349500000000002</v>
      </c>
      <c r="F36">
        <v>-0.43533500000000003</v>
      </c>
      <c r="G36">
        <v>1.8400000000000001E-3</v>
      </c>
      <c r="H36">
        <v>0.55995760000000006</v>
      </c>
      <c r="I36">
        <v>0.56154000000000004</v>
      </c>
      <c r="J36">
        <v>-1.58238E-3</v>
      </c>
      <c r="K36">
        <v>25.03</v>
      </c>
      <c r="L36">
        <v>25.03</v>
      </c>
      <c r="M36">
        <v>0</v>
      </c>
      <c r="N36">
        <v>3.261646E-2</v>
      </c>
      <c r="O36">
        <v>4.1381830000000001E-2</v>
      </c>
      <c r="P36">
        <v>-8.7653699999999998E-3</v>
      </c>
      <c r="Q36">
        <v>6.3843000000000005E-4</v>
      </c>
      <c r="R36">
        <v>9.9746100000000001E-3</v>
      </c>
      <c r="S36">
        <v>-9.3361799999999995E-3</v>
      </c>
      <c r="U36" s="15">
        <f t="shared" si="5"/>
        <v>-9.2000000000000415E-4</v>
      </c>
      <c r="V36" s="15">
        <f t="shared" si="13"/>
        <v>-7.9119999999999191E-4</v>
      </c>
      <c r="Y36" s="16">
        <f t="shared" si="14"/>
        <v>3.261646E-2</v>
      </c>
      <c r="Z36" s="16">
        <f t="shared" si="15"/>
        <v>6.3843000000000005E-4</v>
      </c>
      <c r="AA36" s="16">
        <f t="shared" si="16"/>
        <v>4.1381830000000001E-2</v>
      </c>
      <c r="AB36" s="16">
        <f t="shared" si="17"/>
        <v>9.9746100000000001E-3</v>
      </c>
      <c r="AC36" s="17">
        <f t="shared" si="18"/>
        <v>1.8694751612574703</v>
      </c>
      <c r="AD36" s="17">
        <f t="shared" si="19"/>
        <v>2.4396460455607136</v>
      </c>
      <c r="AE36" s="17">
        <f t="shared" si="20"/>
        <v>1.1213563325784497</v>
      </c>
      <c r="AF36" s="17">
        <f t="shared" si="21"/>
        <v>0.68602133257844966</v>
      </c>
    </row>
    <row r="37" spans="1:32" x14ac:dyDescent="0.25">
      <c r="A37" s="14">
        <v>35</v>
      </c>
      <c r="C37">
        <v>170</v>
      </c>
      <c r="E37">
        <v>-0.43128</v>
      </c>
      <c r="F37">
        <v>-0.43468748000000001</v>
      </c>
      <c r="G37">
        <v>3.4074800000000001E-3</v>
      </c>
      <c r="H37">
        <v>0.55854749999999997</v>
      </c>
      <c r="I37">
        <v>0.56223250000000002</v>
      </c>
      <c r="J37">
        <v>-3.6849999999999999E-3</v>
      </c>
      <c r="K37">
        <v>25.05</v>
      </c>
      <c r="L37">
        <v>25.04</v>
      </c>
      <c r="M37">
        <v>0.01</v>
      </c>
      <c r="N37">
        <v>3.2154660000000002E-2</v>
      </c>
      <c r="O37">
        <v>4.1810670000000001E-2</v>
      </c>
      <c r="P37">
        <v>-9.6560099999999996E-3</v>
      </c>
      <c r="Q37">
        <v>1.0443099999999999E-3</v>
      </c>
      <c r="R37">
        <v>9.6479500000000006E-3</v>
      </c>
      <c r="S37">
        <v>-8.6036399999999992E-3</v>
      </c>
      <c r="U37" s="15">
        <f t="shared" si="5"/>
        <v>-1.7037400000000091E-3</v>
      </c>
      <c r="V37" s="15">
        <f t="shared" si="13"/>
        <v>-1.8425000000000247E-3</v>
      </c>
      <c r="Y37" s="16">
        <f t="shared" si="14"/>
        <v>3.2154660000000002E-2</v>
      </c>
      <c r="Z37" s="16">
        <f t="shared" si="15"/>
        <v>1.0443099999999999E-3</v>
      </c>
      <c r="AA37" s="16">
        <f t="shared" si="16"/>
        <v>4.1810670000000001E-2</v>
      </c>
      <c r="AB37" s="16">
        <f t="shared" si="17"/>
        <v>9.6479500000000006E-3</v>
      </c>
      <c r="AC37" s="17">
        <f t="shared" si="18"/>
        <v>1.8436158194755703</v>
      </c>
      <c r="AD37" s="17">
        <f t="shared" si="19"/>
        <v>2.459281562850935</v>
      </c>
      <c r="AE37" s="17">
        <f t="shared" si="20"/>
        <v>1.8601823478781809</v>
      </c>
      <c r="AF37" s="17">
        <f t="shared" si="21"/>
        <v>1.4254948678781809</v>
      </c>
    </row>
    <row r="38" spans="1:32" x14ac:dyDescent="0.25">
      <c r="A38" s="14">
        <v>36</v>
      </c>
      <c r="C38">
        <v>175</v>
      </c>
      <c r="E38">
        <v>-0.43274499999999999</v>
      </c>
      <c r="F38">
        <v>-0.43592996000000001</v>
      </c>
      <c r="G38">
        <v>3.1849700000000001E-3</v>
      </c>
      <c r="H38">
        <v>0.55748752000000001</v>
      </c>
      <c r="I38">
        <v>0.55784500000000004</v>
      </c>
      <c r="J38">
        <v>-3.5744999999999999E-4</v>
      </c>
      <c r="K38">
        <v>25.11</v>
      </c>
      <c r="L38">
        <v>25.1</v>
      </c>
      <c r="M38">
        <v>0.02</v>
      </c>
      <c r="N38">
        <v>3.1905639999999999E-2</v>
      </c>
      <c r="O38">
        <v>4.2427369999999999E-2</v>
      </c>
      <c r="P38">
        <v>-1.052172E-2</v>
      </c>
      <c r="Q38">
        <v>1.4155299999999999E-3</v>
      </c>
      <c r="R38">
        <v>9.0603000000000003E-3</v>
      </c>
      <c r="S38">
        <v>-7.6447800000000003E-3</v>
      </c>
      <c r="U38" s="15">
        <f t="shared" si="5"/>
        <v>-1.5924800000000072E-3</v>
      </c>
      <c r="V38" s="15">
        <f t="shared" si="13"/>
        <v>-1.7874000000001056E-4</v>
      </c>
      <c r="Y38" s="16">
        <f t="shared" si="14"/>
        <v>3.1905639999999999E-2</v>
      </c>
      <c r="Z38" s="16">
        <f t="shared" si="15"/>
        <v>1.4155299999999999E-3</v>
      </c>
      <c r="AA38" s="16">
        <f t="shared" si="16"/>
        <v>4.2427369999999999E-2</v>
      </c>
      <c r="AB38" s="16">
        <f t="shared" si="17"/>
        <v>9.0603000000000003E-3</v>
      </c>
      <c r="AC38" s="17">
        <f t="shared" si="18"/>
        <v>1.8301679739186734</v>
      </c>
      <c r="AD38" s="17">
        <f t="shared" si="19"/>
        <v>2.4865000589163135</v>
      </c>
      <c r="AE38" s="17">
        <f t="shared" si="20"/>
        <v>2.5403265317162229</v>
      </c>
      <c r="AF38" s="17">
        <f t="shared" si="21"/>
        <v>2.1043965717162227</v>
      </c>
    </row>
    <row r="39" spans="1:32" x14ac:dyDescent="0.25">
      <c r="A39" s="14">
        <v>37</v>
      </c>
      <c r="C39">
        <v>180</v>
      </c>
      <c r="E39">
        <v>-0.43093495999999998</v>
      </c>
      <c r="F39">
        <v>-0.43405996000000002</v>
      </c>
      <c r="G39">
        <v>3.1249799999999999E-3</v>
      </c>
      <c r="H39">
        <v>0.55266755999999995</v>
      </c>
      <c r="I39">
        <v>0.55261004000000002</v>
      </c>
      <c r="J39">
        <v>5.7519999999999998E-5</v>
      </c>
      <c r="K39">
        <v>25.17</v>
      </c>
      <c r="L39">
        <v>25.16</v>
      </c>
      <c r="M39">
        <v>0.01</v>
      </c>
      <c r="N39">
        <v>3.1001219999999999E-2</v>
      </c>
      <c r="O39">
        <v>4.2494869999999997E-2</v>
      </c>
      <c r="P39">
        <v>-1.1493649999999999E-2</v>
      </c>
      <c r="Q39">
        <v>1.8217800000000001E-3</v>
      </c>
      <c r="R39">
        <v>8.5375999999999994E-3</v>
      </c>
      <c r="S39">
        <v>-6.7158199999999999E-3</v>
      </c>
      <c r="U39" s="15">
        <f t="shared" si="5"/>
        <v>-1.5625000000000222E-3</v>
      </c>
      <c r="V39" s="15">
        <f t="shared" si="13"/>
        <v>2.8759999999961039E-5</v>
      </c>
      <c r="Y39" s="16">
        <f t="shared" si="14"/>
        <v>3.1001219999999999E-2</v>
      </c>
      <c r="Z39" s="16">
        <f t="shared" si="15"/>
        <v>1.8217800000000001E-3</v>
      </c>
      <c r="AA39" s="16">
        <f t="shared" si="16"/>
        <v>4.2494869999999997E-2</v>
      </c>
      <c r="AB39" s="16">
        <f t="shared" si="17"/>
        <v>8.5375999999999994E-3</v>
      </c>
      <c r="AC39" s="17">
        <f t="shared" si="18"/>
        <v>1.7795894815217792</v>
      </c>
      <c r="AD39" s="17">
        <f t="shared" si="19"/>
        <v>2.4842080203137491</v>
      </c>
      <c r="AE39" s="17">
        <f t="shared" si="20"/>
        <v>3.3631063996090735</v>
      </c>
      <c r="AF39" s="17">
        <f t="shared" si="21"/>
        <v>2.9290464396090736</v>
      </c>
    </row>
    <row r="40" spans="1:32" x14ac:dyDescent="0.25">
      <c r="A40" s="14">
        <v>38</v>
      </c>
      <c r="C40">
        <v>185</v>
      </c>
      <c r="E40">
        <v>-0.43400995999999997</v>
      </c>
      <c r="F40">
        <v>-0.43626503999999999</v>
      </c>
      <c r="G40">
        <v>2.25508E-3</v>
      </c>
      <c r="H40">
        <v>0.56102510000000005</v>
      </c>
      <c r="I40">
        <v>0.56438750000000004</v>
      </c>
      <c r="J40">
        <v>-3.3624200000000001E-3</v>
      </c>
      <c r="K40">
        <v>25.13</v>
      </c>
      <c r="L40">
        <v>25.13</v>
      </c>
      <c r="M40">
        <v>0</v>
      </c>
      <c r="N40">
        <v>3.1065309999999999E-2</v>
      </c>
      <c r="O40">
        <v>4.2778570000000002E-2</v>
      </c>
      <c r="P40">
        <v>-1.171326E-2</v>
      </c>
      <c r="Q40">
        <v>2.2343799999999998E-3</v>
      </c>
      <c r="R40">
        <v>8.2087400000000008E-3</v>
      </c>
      <c r="S40">
        <v>-5.9743699999999997E-3</v>
      </c>
      <c r="U40" s="15">
        <f t="shared" si="5"/>
        <v>-1.1275400000000102E-3</v>
      </c>
      <c r="V40" s="15">
        <f t="shared" si="13"/>
        <v>-1.6811999999999938E-3</v>
      </c>
      <c r="Y40" s="16">
        <f t="shared" si="14"/>
        <v>3.1065309999999999E-2</v>
      </c>
      <c r="Z40" s="16">
        <f t="shared" si="15"/>
        <v>2.2343799999999998E-3</v>
      </c>
      <c r="AA40" s="16">
        <f t="shared" si="16"/>
        <v>4.2778570000000002E-2</v>
      </c>
      <c r="AB40" s="16">
        <f t="shared" si="17"/>
        <v>8.2087400000000008E-3</v>
      </c>
      <c r="AC40" s="17">
        <f t="shared" si="18"/>
        <v>1.7847978030239291</v>
      </c>
      <c r="AD40" s="17">
        <f t="shared" si="19"/>
        <v>2.496538730644529</v>
      </c>
      <c r="AE40" s="17">
        <f t="shared" si="20"/>
        <v>4.1139285644067467</v>
      </c>
      <c r="AF40" s="17">
        <f t="shared" si="21"/>
        <v>3.6776635244067468</v>
      </c>
    </row>
    <row r="41" spans="1:32" x14ac:dyDescent="0.25">
      <c r="A41" s="14">
        <v>39</v>
      </c>
      <c r="C41">
        <v>190</v>
      </c>
      <c r="E41">
        <v>-0.43294243999999998</v>
      </c>
      <c r="F41">
        <v>-0.43556247999999997</v>
      </c>
      <c r="G41">
        <v>2.6200099999999999E-3</v>
      </c>
      <c r="H41">
        <v>0.56251499999999999</v>
      </c>
      <c r="I41">
        <v>0.56127008</v>
      </c>
      <c r="J41">
        <v>1.24496E-3</v>
      </c>
      <c r="K41">
        <v>25.02</v>
      </c>
      <c r="L41">
        <v>25.03</v>
      </c>
      <c r="M41">
        <v>-0.01</v>
      </c>
      <c r="N41">
        <v>3.1464480000000003E-2</v>
      </c>
      <c r="O41">
        <v>4.3349119999999998E-2</v>
      </c>
      <c r="P41">
        <v>-1.188465E-2</v>
      </c>
      <c r="Q41">
        <v>2.7745399999999998E-3</v>
      </c>
      <c r="R41">
        <v>7.8598599999999998E-3</v>
      </c>
      <c r="S41">
        <v>-5.0853299999999999E-3</v>
      </c>
      <c r="U41" s="15">
        <f t="shared" si="5"/>
        <v>-1.3100199999999951E-3</v>
      </c>
      <c r="V41" s="15">
        <f t="shared" si="13"/>
        <v>6.2245999999999135E-4</v>
      </c>
      <c r="Y41" s="16">
        <f t="shared" si="14"/>
        <v>3.1464480000000003E-2</v>
      </c>
      <c r="Z41" s="16">
        <f t="shared" si="15"/>
        <v>2.7745399999999998E-3</v>
      </c>
      <c r="AA41" s="16">
        <f t="shared" si="16"/>
        <v>4.3349119999999998E-2</v>
      </c>
      <c r="AB41" s="16">
        <f t="shared" si="17"/>
        <v>7.8598599999999998E-3</v>
      </c>
      <c r="AC41" s="17">
        <f t="shared" si="18"/>
        <v>1.8100783785272869</v>
      </c>
      <c r="AD41" s="17">
        <f t="shared" si="19"/>
        <v>2.5250352308414805</v>
      </c>
      <c r="AE41" s="17">
        <f t="shared" si="20"/>
        <v>5.039311300501649</v>
      </c>
      <c r="AF41" s="17">
        <f t="shared" si="21"/>
        <v>4.6037488205016492</v>
      </c>
    </row>
    <row r="42" spans="1:32" x14ac:dyDescent="0.25">
      <c r="A42" s="14">
        <v>40</v>
      </c>
      <c r="C42">
        <v>195</v>
      </c>
      <c r="E42">
        <v>-0.43318240000000002</v>
      </c>
      <c r="F42">
        <v>-0.43365495999999998</v>
      </c>
      <c r="G42">
        <v>4.7255000000000002E-4</v>
      </c>
      <c r="H42">
        <v>0.55469250000000003</v>
      </c>
      <c r="I42">
        <v>0.55578249999999996</v>
      </c>
      <c r="J42">
        <v>-1.0899900000000001E-3</v>
      </c>
      <c r="K42">
        <v>25.09</v>
      </c>
      <c r="L42">
        <v>25.11</v>
      </c>
      <c r="M42">
        <v>-0.02</v>
      </c>
      <c r="N42">
        <v>3.0775759999999999E-2</v>
      </c>
      <c r="O42">
        <v>4.3524779999999999E-2</v>
      </c>
      <c r="P42">
        <v>-1.274902E-2</v>
      </c>
      <c r="Q42">
        <v>3.4594700000000001E-3</v>
      </c>
      <c r="R42">
        <v>7.1229199999999996E-3</v>
      </c>
      <c r="S42">
        <v>-3.66345E-3</v>
      </c>
      <c r="U42" s="15">
        <f t="shared" si="5"/>
        <v>-2.3627999999997762E-4</v>
      </c>
      <c r="V42" s="15">
        <f t="shared" si="13"/>
        <v>-5.4499999999996218E-4</v>
      </c>
      <c r="Y42" s="16">
        <f t="shared" si="14"/>
        <v>3.0775759999999999E-2</v>
      </c>
      <c r="Z42" s="16">
        <f t="shared" si="15"/>
        <v>3.4594700000000001E-3</v>
      </c>
      <c r="AA42" s="16">
        <f t="shared" si="16"/>
        <v>4.3524779999999999E-2</v>
      </c>
      <c r="AB42" s="16">
        <f t="shared" si="17"/>
        <v>7.1229199999999996E-3</v>
      </c>
      <c r="AC42" s="17">
        <f t="shared" si="18"/>
        <v>1.7747104135006053</v>
      </c>
      <c r="AD42" s="17">
        <f t="shared" si="19"/>
        <v>2.5277797735503227</v>
      </c>
      <c r="AE42" s="17">
        <f t="shared" si="20"/>
        <v>6.4136335030521652</v>
      </c>
      <c r="AF42" s="17">
        <f t="shared" si="21"/>
        <v>5.979978543052165</v>
      </c>
    </row>
    <row r="43" spans="1:32" x14ac:dyDescent="0.25">
      <c r="A43" s="14">
        <v>41</v>
      </c>
      <c r="C43">
        <v>200</v>
      </c>
      <c r="E43">
        <v>-0.43264000000000002</v>
      </c>
      <c r="F43">
        <v>-0.43230000000000002</v>
      </c>
      <c r="G43">
        <v>-3.4001000000000002E-4</v>
      </c>
      <c r="H43">
        <v>0.55135000000000001</v>
      </c>
      <c r="I43">
        <v>0.55595004000000003</v>
      </c>
      <c r="J43">
        <v>-4.6000499999999996E-3</v>
      </c>
      <c r="K43">
        <v>25.16</v>
      </c>
      <c r="L43">
        <v>25.15</v>
      </c>
      <c r="M43">
        <v>0.01</v>
      </c>
      <c r="N43">
        <v>3.0355710000000001E-2</v>
      </c>
      <c r="O43">
        <v>4.3762210000000003E-2</v>
      </c>
      <c r="P43">
        <v>-1.340649E-2</v>
      </c>
      <c r="Q43">
        <v>3.9154100000000002E-3</v>
      </c>
      <c r="R43">
        <v>6.5145300000000001E-3</v>
      </c>
      <c r="S43">
        <v>-2.5991199999999999E-3</v>
      </c>
      <c r="U43" s="15">
        <f t="shared" si="5"/>
        <v>1.7000000000000348E-4</v>
      </c>
      <c r="V43" s="15">
        <f t="shared" si="13"/>
        <v>-2.3000200000000137E-3</v>
      </c>
      <c r="Y43" s="16">
        <f t="shared" si="14"/>
        <v>3.0355710000000001E-2</v>
      </c>
      <c r="Z43" s="16">
        <f t="shared" si="15"/>
        <v>3.9154100000000002E-3</v>
      </c>
      <c r="AA43" s="16">
        <f t="shared" si="16"/>
        <v>4.3762210000000003E-2</v>
      </c>
      <c r="AB43" s="16">
        <f t="shared" si="17"/>
        <v>6.5145300000000001E-3</v>
      </c>
      <c r="AC43" s="17">
        <f t="shared" si="18"/>
        <v>1.753936248581679</v>
      </c>
      <c r="AD43" s="17">
        <f t="shared" si="19"/>
        <v>2.5358472642318675</v>
      </c>
      <c r="AE43" s="17">
        <f t="shared" si="20"/>
        <v>7.349676538522516</v>
      </c>
      <c r="AF43" s="17">
        <f t="shared" si="21"/>
        <v>6.9173765385225163</v>
      </c>
    </row>
    <row r="44" spans="1:32" x14ac:dyDescent="0.25">
      <c r="A44" s="14">
        <v>42</v>
      </c>
      <c r="C44">
        <v>205</v>
      </c>
      <c r="E44">
        <v>-0.43042248</v>
      </c>
      <c r="F44">
        <v>-0.43252508000000001</v>
      </c>
      <c r="G44">
        <v>2.1025800000000002E-3</v>
      </c>
      <c r="H44">
        <v>0.55378260000000001</v>
      </c>
      <c r="I44">
        <v>0.55426995999999995</v>
      </c>
      <c r="J44">
        <v>-4.8738999999999998E-4</v>
      </c>
      <c r="K44">
        <v>25.14</v>
      </c>
      <c r="L44">
        <v>25.13</v>
      </c>
      <c r="M44">
        <v>0.01</v>
      </c>
      <c r="N44">
        <v>3.0393679999999999E-2</v>
      </c>
      <c r="O44">
        <v>4.3672610000000001E-2</v>
      </c>
      <c r="P44">
        <v>-1.327893E-2</v>
      </c>
      <c r="Q44">
        <v>4.6080299999999999E-3</v>
      </c>
      <c r="R44">
        <v>5.9997599999999998E-3</v>
      </c>
      <c r="S44">
        <v>-1.3917199999999999E-3</v>
      </c>
      <c r="U44" s="15">
        <f t="shared" si="5"/>
        <v>-1.051300000000005E-3</v>
      </c>
      <c r="V44" s="15">
        <f t="shared" si="13"/>
        <v>-2.4367999999996837E-4</v>
      </c>
      <c r="Y44" s="16">
        <f t="shared" si="14"/>
        <v>3.0393679999999999E-2</v>
      </c>
      <c r="Z44" s="16">
        <f t="shared" si="15"/>
        <v>4.6080299999999999E-3</v>
      </c>
      <c r="AA44" s="16">
        <f t="shared" si="16"/>
        <v>4.3672610000000001E-2</v>
      </c>
      <c r="AB44" s="16">
        <f t="shared" si="17"/>
        <v>5.9997599999999998E-3</v>
      </c>
      <c r="AC44" s="17">
        <f t="shared" si="18"/>
        <v>1.7616076880167983</v>
      </c>
      <c r="AD44" s="17">
        <f t="shared" si="19"/>
        <v>2.5265776273654299</v>
      </c>
      <c r="AE44" s="17">
        <f t="shared" si="20"/>
        <v>8.6210419745510336</v>
      </c>
      <c r="AF44" s="17">
        <f t="shared" si="21"/>
        <v>8.188516894551034</v>
      </c>
    </row>
    <row r="45" spans="1:32" x14ac:dyDescent="0.25">
      <c r="A45" s="14">
        <v>43</v>
      </c>
      <c r="C45">
        <v>210</v>
      </c>
      <c r="E45">
        <v>-0.43095248000000003</v>
      </c>
      <c r="F45">
        <v>-0.43547992000000002</v>
      </c>
      <c r="G45">
        <v>4.5274800000000004E-3</v>
      </c>
      <c r="H45">
        <v>0.55745999999999996</v>
      </c>
      <c r="I45">
        <v>0.56041249999999998</v>
      </c>
      <c r="J45">
        <v>-2.9525200000000001E-3</v>
      </c>
      <c r="K45">
        <v>25.08</v>
      </c>
      <c r="L45">
        <v>25.08</v>
      </c>
      <c r="M45">
        <v>0</v>
      </c>
      <c r="N45">
        <v>3.0495120000000001E-2</v>
      </c>
      <c r="O45">
        <v>4.375134E-2</v>
      </c>
      <c r="P45">
        <v>-1.3256220000000001E-2</v>
      </c>
      <c r="Q45">
        <v>5.1615000000000003E-3</v>
      </c>
      <c r="R45">
        <v>5.2060500000000003E-3</v>
      </c>
      <c r="S45">
        <v>-4.456E-5</v>
      </c>
      <c r="U45" s="15">
        <f t="shared" si="5"/>
        <v>-2.2637199999999968E-3</v>
      </c>
      <c r="V45" s="15">
        <f t="shared" si="13"/>
        <v>-1.4762500000000123E-3</v>
      </c>
      <c r="Y45" s="16">
        <f t="shared" si="14"/>
        <v>3.0495120000000001E-2</v>
      </c>
      <c r="Z45" s="16">
        <f t="shared" si="15"/>
        <v>5.1615000000000003E-3</v>
      </c>
      <c r="AA45" s="16">
        <f t="shared" si="16"/>
        <v>4.375134E-2</v>
      </c>
      <c r="AB45" s="16">
        <f t="shared" si="17"/>
        <v>5.2060500000000003E-3</v>
      </c>
      <c r="AC45" s="17">
        <f t="shared" si="18"/>
        <v>1.7723749090563834</v>
      </c>
      <c r="AD45" s="17">
        <f t="shared" si="19"/>
        <v>2.5252689589667185</v>
      </c>
      <c r="AE45" s="17">
        <f t="shared" si="20"/>
        <v>9.6066423386956039</v>
      </c>
      <c r="AF45" s="17">
        <f t="shared" si="21"/>
        <v>9.1711624186956033</v>
      </c>
    </row>
    <row r="46" spans="1:32" x14ac:dyDescent="0.25">
      <c r="A46" s="14">
        <v>44</v>
      </c>
      <c r="C46">
        <v>215</v>
      </c>
      <c r="E46">
        <v>-0.43191004</v>
      </c>
      <c r="F46">
        <v>-0.43347247999999999</v>
      </c>
      <c r="G46">
        <v>1.5624499999999999E-3</v>
      </c>
      <c r="H46">
        <v>0.54961249999999995</v>
      </c>
      <c r="I46">
        <v>0.55458249999999998</v>
      </c>
      <c r="J46">
        <v>-4.9699499999999999E-3</v>
      </c>
      <c r="K46">
        <v>25.15</v>
      </c>
      <c r="L46">
        <v>25.16</v>
      </c>
      <c r="M46">
        <v>0</v>
      </c>
      <c r="N46">
        <v>3.0261719999999999E-2</v>
      </c>
      <c r="O46">
        <v>4.361951E-2</v>
      </c>
      <c r="P46">
        <v>-1.335779E-2</v>
      </c>
      <c r="Q46">
        <v>5.7891899999999996E-3</v>
      </c>
      <c r="R46">
        <v>4.6431900000000002E-3</v>
      </c>
      <c r="S46">
        <v>1.1460000000000001E-3</v>
      </c>
      <c r="U46" s="15">
        <f t="shared" si="5"/>
        <v>-7.8121999999999914E-4</v>
      </c>
      <c r="V46" s="15">
        <f t="shared" si="13"/>
        <v>-2.485000000000015E-3</v>
      </c>
      <c r="Y46" s="16">
        <f t="shared" si="14"/>
        <v>3.0261719999999999E-2</v>
      </c>
      <c r="Z46" s="16">
        <f t="shared" si="15"/>
        <v>5.7891899999999996E-3</v>
      </c>
      <c r="AA46" s="16">
        <f t="shared" si="16"/>
        <v>4.361951E-2</v>
      </c>
      <c r="AB46" s="16">
        <f t="shared" si="17"/>
        <v>4.6431900000000002E-3</v>
      </c>
      <c r="AC46" s="17">
        <f t="shared" si="18"/>
        <v>1.7655905742170015</v>
      </c>
      <c r="AD46" s="17">
        <f t="shared" si="19"/>
        <v>2.514140073453802</v>
      </c>
      <c r="AE46" s="17">
        <f t="shared" si="20"/>
        <v>10.830063819650666</v>
      </c>
      <c r="AF46" s="17">
        <f t="shared" si="21"/>
        <v>10.396591339650666</v>
      </c>
    </row>
    <row r="47" spans="1:32" x14ac:dyDescent="0.25">
      <c r="A47" s="14">
        <v>45</v>
      </c>
      <c r="C47">
        <v>220</v>
      </c>
      <c r="E47">
        <v>-0.43070491999999999</v>
      </c>
      <c r="F47">
        <v>-0.43356995999999998</v>
      </c>
      <c r="G47">
        <v>2.8650500000000001E-3</v>
      </c>
      <c r="H47">
        <v>0.55175008000000003</v>
      </c>
      <c r="I47">
        <v>0.55401268000000004</v>
      </c>
      <c r="J47">
        <v>-2.2625900000000001E-3</v>
      </c>
      <c r="K47">
        <v>25.18</v>
      </c>
      <c r="L47">
        <v>25.17</v>
      </c>
      <c r="M47">
        <v>0.01</v>
      </c>
      <c r="N47">
        <v>3.0487790000000001E-2</v>
      </c>
      <c r="O47">
        <v>4.3737060000000001E-2</v>
      </c>
      <c r="P47">
        <v>-1.324927E-2</v>
      </c>
      <c r="Q47">
        <v>6.2805200000000004E-3</v>
      </c>
      <c r="R47">
        <v>3.9831500000000004E-3</v>
      </c>
      <c r="S47">
        <v>2.29736E-3</v>
      </c>
      <c r="U47" s="15">
        <f t="shared" si="5"/>
        <v>-1.4325199999999927E-3</v>
      </c>
      <c r="V47" s="15">
        <f t="shared" si="13"/>
        <v>-1.1313000000000017E-3</v>
      </c>
      <c r="Y47" s="16">
        <f t="shared" si="14"/>
        <v>3.0487790000000001E-2</v>
      </c>
      <c r="Z47" s="16">
        <f t="shared" si="15"/>
        <v>6.2805200000000004E-3</v>
      </c>
      <c r="AA47" s="16">
        <f t="shared" si="16"/>
        <v>4.3737060000000001E-2</v>
      </c>
      <c r="AB47" s="16">
        <f t="shared" si="17"/>
        <v>3.9831500000000004E-3</v>
      </c>
      <c r="AC47" s="17">
        <f t="shared" si="18"/>
        <v>1.7837892259242509</v>
      </c>
      <c r="AD47" s="17">
        <f t="shared" si="19"/>
        <v>2.517129035876243</v>
      </c>
      <c r="AE47" s="17">
        <f t="shared" si="20"/>
        <v>11.640163992935603</v>
      </c>
      <c r="AF47" s="17">
        <f t="shared" si="21"/>
        <v>11.206594032935604</v>
      </c>
    </row>
    <row r="48" spans="1:32" x14ac:dyDescent="0.25">
      <c r="A48" s="14">
        <v>46</v>
      </c>
      <c r="C48">
        <v>225</v>
      </c>
      <c r="E48">
        <v>-0.43068995999999998</v>
      </c>
      <c r="F48">
        <v>-0.43074244</v>
      </c>
      <c r="G48">
        <v>5.2479999999999999E-5</v>
      </c>
      <c r="H48">
        <v>0.55257500000000004</v>
      </c>
      <c r="I48">
        <v>0.55787260000000005</v>
      </c>
      <c r="J48">
        <v>-5.2976000000000004E-3</v>
      </c>
      <c r="K48">
        <v>25.14</v>
      </c>
      <c r="L48">
        <v>25.16</v>
      </c>
      <c r="M48">
        <v>-0.01</v>
      </c>
      <c r="N48">
        <v>3.0694829999999999E-2</v>
      </c>
      <c r="O48">
        <v>4.3610839999999998E-2</v>
      </c>
      <c r="P48">
        <v>-1.291601E-2</v>
      </c>
      <c r="Q48">
        <v>6.7742899999999997E-3</v>
      </c>
      <c r="R48">
        <v>3.44568E-3</v>
      </c>
      <c r="S48">
        <v>3.3286100000000001E-3</v>
      </c>
      <c r="U48" s="15">
        <f t="shared" si="5"/>
        <v>-2.6240000000010699E-5</v>
      </c>
      <c r="V48" s="15">
        <f>(H48-I48)/2</f>
        <v>-2.6488000000000067E-3</v>
      </c>
      <c r="Y48" s="16">
        <f t="shared" si="14"/>
        <v>3.0694829999999999E-2</v>
      </c>
      <c r="Z48" s="16">
        <f t="shared" si="15"/>
        <v>6.7742899999999997E-3</v>
      </c>
      <c r="AA48" s="16">
        <f t="shared" si="16"/>
        <v>4.3610839999999998E-2</v>
      </c>
      <c r="AB48" s="16">
        <f t="shared" si="17"/>
        <v>3.44568E-3</v>
      </c>
      <c r="AC48" s="17">
        <f t="shared" si="18"/>
        <v>1.8013023911766248</v>
      </c>
      <c r="AD48" s="17">
        <f t="shared" si="19"/>
        <v>2.5073042749186247</v>
      </c>
      <c r="AE48" s="17">
        <f t="shared" si="20"/>
        <v>12.445563401564979</v>
      </c>
      <c r="AF48" s="17">
        <f t="shared" si="21"/>
        <v>12.014820961564979</v>
      </c>
    </row>
    <row r="49" spans="1:32" x14ac:dyDescent="0.25">
      <c r="A49" s="14">
        <v>47</v>
      </c>
      <c r="C49">
        <v>230</v>
      </c>
      <c r="E49">
        <v>-0.43227996000000002</v>
      </c>
      <c r="F49">
        <v>-0.43280000000000002</v>
      </c>
      <c r="G49">
        <v>5.2002000000000005E-4</v>
      </c>
      <c r="H49">
        <v>0.55291504000000002</v>
      </c>
      <c r="I49">
        <v>0.55896016000000004</v>
      </c>
      <c r="J49">
        <v>-6.0451000000000003E-3</v>
      </c>
      <c r="K49">
        <v>25.11</v>
      </c>
      <c r="L49">
        <v>25.1</v>
      </c>
      <c r="M49">
        <v>0.01</v>
      </c>
      <c r="N49">
        <v>3.0758299999999999E-2</v>
      </c>
      <c r="O49">
        <v>4.3182499999999999E-2</v>
      </c>
      <c r="P49">
        <v>-1.24242E-2</v>
      </c>
      <c r="Q49">
        <v>7.5046399999999999E-3</v>
      </c>
      <c r="R49">
        <v>3.0175800000000002E-3</v>
      </c>
      <c r="S49">
        <v>4.4870600000000002E-3</v>
      </c>
      <c r="U49" s="15">
        <f t="shared" si="5"/>
        <v>-2.600199999999997E-4</v>
      </c>
      <c r="V49" s="15">
        <f t="shared" si="13"/>
        <v>-3.0225600000000075E-3</v>
      </c>
      <c r="Y49" s="16">
        <f t="shared" si="14"/>
        <v>3.0758299999999999E-2</v>
      </c>
      <c r="Z49" s="16">
        <f t="shared" si="15"/>
        <v>7.5046399999999999E-3</v>
      </c>
      <c r="AA49" s="16">
        <f t="shared" si="16"/>
        <v>4.3182499999999999E-2</v>
      </c>
      <c r="AB49" s="16">
        <f t="shared" si="17"/>
        <v>3.0175800000000002E-3</v>
      </c>
      <c r="AC49" s="17">
        <f t="shared" si="18"/>
        <v>1.8143210919773489</v>
      </c>
      <c r="AD49" s="17">
        <f t="shared" si="19"/>
        <v>2.4809837902167966</v>
      </c>
      <c r="AE49" s="17">
        <f t="shared" si="20"/>
        <v>13.711559634879928</v>
      </c>
      <c r="AF49" s="17">
        <f t="shared" si="21"/>
        <v>13.278759634879927</v>
      </c>
    </row>
    <row r="50" spans="1:32" x14ac:dyDescent="0.25">
      <c r="A50" s="14">
        <v>48</v>
      </c>
      <c r="C50">
        <v>235</v>
      </c>
      <c r="E50">
        <v>-0.43445244</v>
      </c>
      <c r="F50">
        <v>-0.43473252000000001</v>
      </c>
      <c r="G50">
        <v>2.8007999999999999E-4</v>
      </c>
      <c r="H50">
        <v>0.55719008000000003</v>
      </c>
      <c r="I50">
        <v>0.56109507999999997</v>
      </c>
      <c r="J50">
        <v>-3.9050000000000001E-3</v>
      </c>
      <c r="K50">
        <v>25.03</v>
      </c>
      <c r="L50">
        <v>25.03</v>
      </c>
      <c r="M50">
        <v>0</v>
      </c>
      <c r="N50">
        <v>3.095666E-2</v>
      </c>
      <c r="O50">
        <v>4.3531010000000002E-2</v>
      </c>
      <c r="P50">
        <v>-1.257435E-2</v>
      </c>
      <c r="Q50">
        <v>8.0913100000000009E-3</v>
      </c>
      <c r="R50">
        <v>2.3991699999999999E-3</v>
      </c>
      <c r="S50">
        <v>5.69214E-3</v>
      </c>
      <c r="U50" s="15">
        <f t="shared" si="5"/>
        <v>-1.4004000000000794E-4</v>
      </c>
      <c r="V50" s="15">
        <f t="shared" si="13"/>
        <v>-1.9524999999999681E-3</v>
      </c>
      <c r="Y50" s="16">
        <f t="shared" si="14"/>
        <v>3.095666E-2</v>
      </c>
      <c r="Z50" s="16">
        <f t="shared" si="15"/>
        <v>8.0913100000000009E-3</v>
      </c>
      <c r="AA50" s="16">
        <f t="shared" si="16"/>
        <v>4.3531010000000002E-2</v>
      </c>
      <c r="AB50" s="16">
        <f t="shared" si="17"/>
        <v>2.3991699999999999E-3</v>
      </c>
      <c r="AC50" s="17">
        <f t="shared" si="18"/>
        <v>1.8335846033961551</v>
      </c>
      <c r="AD50" s="17">
        <f t="shared" si="19"/>
        <v>2.4987203124068711</v>
      </c>
      <c r="AE50" s="17">
        <f t="shared" si="20"/>
        <v>14.648007235815935</v>
      </c>
      <c r="AF50" s="17">
        <f t="shared" si="21"/>
        <v>14.213274715815935</v>
      </c>
    </row>
    <row r="51" spans="1:32" x14ac:dyDescent="0.25">
      <c r="A51" s="14">
        <v>49</v>
      </c>
      <c r="C51">
        <v>240</v>
      </c>
      <c r="E51">
        <v>-0.43075247999999999</v>
      </c>
      <c r="F51">
        <v>-0.43141491999999998</v>
      </c>
      <c r="G51">
        <v>6.6248000000000001E-4</v>
      </c>
      <c r="H51">
        <v>0.55476760000000003</v>
      </c>
      <c r="I51">
        <v>0.56382500000000002</v>
      </c>
      <c r="J51">
        <v>-9.0574000000000002E-3</v>
      </c>
      <c r="K51">
        <v>25.04</v>
      </c>
      <c r="L51">
        <v>25.04</v>
      </c>
      <c r="M51">
        <v>-0.01</v>
      </c>
      <c r="N51">
        <v>3.1432500000000002E-2</v>
      </c>
      <c r="O51">
        <v>4.2905890000000002E-2</v>
      </c>
      <c r="P51">
        <v>-1.147339E-2</v>
      </c>
      <c r="Q51">
        <v>8.5985100000000002E-3</v>
      </c>
      <c r="R51">
        <v>1.9603300000000001E-3</v>
      </c>
      <c r="S51">
        <v>6.6381799999999996E-3</v>
      </c>
      <c r="U51" s="15">
        <f t="shared" si="5"/>
        <v>-3.3121999999999319E-4</v>
      </c>
      <c r="V51" s="15">
        <f t="shared" si="13"/>
        <v>-4.5286999999999966E-3</v>
      </c>
      <c r="Y51" s="16">
        <f t="shared" si="14"/>
        <v>3.1432500000000002E-2</v>
      </c>
      <c r="Z51" s="16">
        <f t="shared" si="15"/>
        <v>8.5985100000000002E-3</v>
      </c>
      <c r="AA51" s="16">
        <f t="shared" si="16"/>
        <v>4.2905890000000002E-2</v>
      </c>
      <c r="AB51" s="16">
        <f t="shared" si="17"/>
        <v>1.9603300000000001E-3</v>
      </c>
      <c r="AC51" s="17">
        <f t="shared" si="18"/>
        <v>1.8674491621928722</v>
      </c>
      <c r="AD51" s="17">
        <f t="shared" si="19"/>
        <v>2.4616481959384031</v>
      </c>
      <c r="AE51" s="17">
        <f t="shared" si="20"/>
        <v>15.299238629186183</v>
      </c>
      <c r="AF51" s="17">
        <f t="shared" si="21"/>
        <v>14.867823709186183</v>
      </c>
    </row>
    <row r="52" spans="1:32" x14ac:dyDescent="0.25">
      <c r="A52" s="14">
        <v>50</v>
      </c>
      <c r="C52">
        <v>245</v>
      </c>
      <c r="E52">
        <v>-0.43156499999999998</v>
      </c>
      <c r="F52">
        <v>-0.433645</v>
      </c>
      <c r="G52">
        <v>2.0800200000000001E-3</v>
      </c>
      <c r="H52">
        <v>0.55016491999999995</v>
      </c>
      <c r="I52">
        <v>0.55447000000000002</v>
      </c>
      <c r="J52">
        <v>-4.3050600000000003E-3</v>
      </c>
      <c r="K52">
        <v>25.14</v>
      </c>
      <c r="L52">
        <v>25.15</v>
      </c>
      <c r="M52">
        <v>0</v>
      </c>
      <c r="N52">
        <v>3.1669919999999997E-2</v>
      </c>
      <c r="O52">
        <v>4.2926270000000002E-2</v>
      </c>
      <c r="P52">
        <v>-1.125635E-2</v>
      </c>
      <c r="Q52">
        <v>8.8333700000000001E-3</v>
      </c>
      <c r="R52">
        <v>1.3461899999999999E-3</v>
      </c>
      <c r="S52">
        <v>7.4871800000000004E-3</v>
      </c>
      <c r="U52" s="15">
        <f t="shared" si="5"/>
        <v>-1.0400000000000131E-3</v>
      </c>
      <c r="V52" s="15">
        <f t="shared" si="13"/>
        <v>-2.1525400000000361E-3</v>
      </c>
      <c r="Y52" s="16">
        <f t="shared" si="14"/>
        <v>3.1669919999999997E-2</v>
      </c>
      <c r="Z52" s="16">
        <f t="shared" si="15"/>
        <v>8.8333700000000001E-3</v>
      </c>
      <c r="AA52" s="16">
        <f t="shared" si="16"/>
        <v>4.2926270000000002E-2</v>
      </c>
      <c r="AB52" s="16">
        <f t="shared" si="17"/>
        <v>1.3461899999999999E-3</v>
      </c>
      <c r="AC52" s="17">
        <f t="shared" si="18"/>
        <v>1.8841532296453047</v>
      </c>
      <c r="AD52" s="17">
        <f t="shared" si="19"/>
        <v>2.4614603183692201</v>
      </c>
      <c r="AE52" s="17">
        <f t="shared" si="20"/>
        <v>15.584842734048223</v>
      </c>
      <c r="AF52" s="17">
        <f t="shared" si="21"/>
        <v>15.151197734048223</v>
      </c>
    </row>
    <row r="53" spans="1:32" x14ac:dyDescent="0.25">
      <c r="A53" s="14">
        <v>51</v>
      </c>
      <c r="C53">
        <v>250</v>
      </c>
      <c r="E53">
        <v>-0.43085247999999998</v>
      </c>
      <c r="F53">
        <v>-0.43493004000000002</v>
      </c>
      <c r="G53">
        <v>4.0775500000000001E-3</v>
      </c>
      <c r="H53">
        <v>0.55814251999999998</v>
      </c>
      <c r="I53">
        <v>0.5596875</v>
      </c>
      <c r="J53">
        <v>-1.54495E-3</v>
      </c>
      <c r="K53">
        <v>25.09</v>
      </c>
      <c r="L53">
        <v>25.08</v>
      </c>
      <c r="M53">
        <v>0.01</v>
      </c>
      <c r="N53">
        <v>3.1987790000000002E-2</v>
      </c>
      <c r="O53">
        <v>4.273681E-2</v>
      </c>
      <c r="P53">
        <v>-1.074902E-2</v>
      </c>
      <c r="Q53">
        <v>9.5992400000000002E-3</v>
      </c>
      <c r="R53">
        <v>1.0047599999999999E-3</v>
      </c>
      <c r="S53">
        <v>8.5944799999999998E-3</v>
      </c>
      <c r="U53" s="15">
        <f t="shared" si="5"/>
        <v>-2.0387800000000178E-3</v>
      </c>
      <c r="V53" s="15">
        <f t="shared" si="13"/>
        <v>-7.7249000000001455E-4</v>
      </c>
      <c r="Y53" s="16">
        <f t="shared" si="14"/>
        <v>3.1987790000000002E-2</v>
      </c>
      <c r="Z53" s="16">
        <f t="shared" si="15"/>
        <v>9.5992400000000002E-3</v>
      </c>
      <c r="AA53" s="16">
        <f t="shared" si="16"/>
        <v>4.273681E-2</v>
      </c>
      <c r="AB53" s="16">
        <f t="shared" si="17"/>
        <v>1.0047599999999999E-3</v>
      </c>
      <c r="AC53" s="17">
        <f t="shared" si="18"/>
        <v>1.9138669048256765</v>
      </c>
      <c r="AD53" s="17">
        <f t="shared" si="19"/>
        <v>2.4500620911660742</v>
      </c>
      <c r="AE53" s="17">
        <f t="shared" si="20"/>
        <v>16.704014560279763</v>
      </c>
      <c r="AF53" s="17">
        <f t="shared" si="21"/>
        <v>16.269084520279762</v>
      </c>
    </row>
    <row r="54" spans="1:32" x14ac:dyDescent="0.25">
      <c r="A54" s="14">
        <v>52</v>
      </c>
      <c r="C54">
        <v>255</v>
      </c>
      <c r="E54">
        <v>-0.43219249999999998</v>
      </c>
      <c r="F54">
        <v>-0.43693747999999999</v>
      </c>
      <c r="G54">
        <v>4.7449800000000002E-3</v>
      </c>
      <c r="H54">
        <v>0.55588749999999998</v>
      </c>
      <c r="I54">
        <v>0.56569499999999995</v>
      </c>
      <c r="J54">
        <v>-9.8074700000000004E-3</v>
      </c>
      <c r="K54">
        <v>25.05</v>
      </c>
      <c r="L54">
        <v>25.05</v>
      </c>
      <c r="M54">
        <v>0</v>
      </c>
      <c r="N54">
        <v>3.2631460000000001E-2</v>
      </c>
      <c r="O54">
        <v>4.28435E-2</v>
      </c>
      <c r="P54">
        <v>-1.021203E-2</v>
      </c>
      <c r="Q54">
        <v>9.9288299999999996E-3</v>
      </c>
      <c r="R54">
        <v>3.6694000000000001E-4</v>
      </c>
      <c r="S54">
        <v>9.56189E-3</v>
      </c>
      <c r="U54" s="15">
        <f t="shared" si="5"/>
        <v>-2.3724900000000049E-3</v>
      </c>
      <c r="V54" s="15">
        <f t="shared" si="13"/>
        <v>-4.9037499999999845E-3</v>
      </c>
      <c r="Y54" s="16">
        <f t="shared" si="14"/>
        <v>3.2631460000000001E-2</v>
      </c>
      <c r="Z54" s="16">
        <f t="shared" si="15"/>
        <v>9.9288299999999996E-3</v>
      </c>
      <c r="AA54" s="16">
        <f t="shared" si="16"/>
        <v>4.28435E-2</v>
      </c>
      <c r="AB54" s="16">
        <f t="shared" si="17"/>
        <v>3.6694000000000001E-4</v>
      </c>
      <c r="AC54" s="17">
        <f t="shared" si="18"/>
        <v>1.954655648568598</v>
      </c>
      <c r="AD54" s="17">
        <f t="shared" si="19"/>
        <v>2.4555934401013153</v>
      </c>
      <c r="AE54" s="17">
        <f t="shared" si="20"/>
        <v>16.923521348868217</v>
      </c>
      <c r="AF54" s="17">
        <f t="shared" si="21"/>
        <v>16.486583868868216</v>
      </c>
    </row>
    <row r="55" spans="1:32" x14ac:dyDescent="0.25">
      <c r="A55" s="14">
        <v>53</v>
      </c>
      <c r="C55">
        <v>260</v>
      </c>
      <c r="E55">
        <v>-0.43238744000000001</v>
      </c>
      <c r="F55">
        <v>-0.43273995999999998</v>
      </c>
      <c r="G55">
        <v>3.5252999999999999E-4</v>
      </c>
      <c r="H55">
        <v>0.55174749999999995</v>
      </c>
      <c r="I55">
        <v>0.55856249999999996</v>
      </c>
      <c r="J55">
        <v>-6.8150199999999998E-3</v>
      </c>
      <c r="K55">
        <v>25.16</v>
      </c>
      <c r="L55">
        <v>25.17</v>
      </c>
      <c r="M55">
        <v>-0.01</v>
      </c>
      <c r="N55">
        <v>3.2827639999999998E-2</v>
      </c>
      <c r="O55">
        <v>4.20011E-2</v>
      </c>
      <c r="P55">
        <v>-9.1734599999999996E-3</v>
      </c>
      <c r="Q55">
        <v>1.022876E-2</v>
      </c>
      <c r="R55">
        <v>1.6138E-4</v>
      </c>
      <c r="S55">
        <v>1.0067380000000001E-2</v>
      </c>
      <c r="U55" s="15">
        <f t="shared" si="5"/>
        <v>-1.7625999999998365E-4</v>
      </c>
      <c r="V55" s="15">
        <f t="shared" si="13"/>
        <v>-3.4075000000000077E-3</v>
      </c>
      <c r="Y55" s="16">
        <f t="shared" si="14"/>
        <v>3.2827639999999998E-2</v>
      </c>
      <c r="Z55" s="16">
        <f t="shared" si="15"/>
        <v>1.022876E-2</v>
      </c>
      <c r="AA55" s="16">
        <f t="shared" si="16"/>
        <v>4.20011E-2</v>
      </c>
      <c r="AB55" s="16">
        <f t="shared" si="17"/>
        <v>1.6138E-4</v>
      </c>
      <c r="AC55" s="17">
        <f t="shared" si="18"/>
        <v>1.9704648359515642</v>
      </c>
      <c r="AD55" s="17">
        <f t="shared" si="19"/>
        <v>2.4072116502907455</v>
      </c>
      <c r="AE55" s="17">
        <f t="shared" si="20"/>
        <v>17.306504977113562</v>
      </c>
      <c r="AF55" s="17">
        <f t="shared" si="21"/>
        <v>16.873765017113563</v>
      </c>
    </row>
    <row r="56" spans="1:32" x14ac:dyDescent="0.25">
      <c r="A56" s="14">
        <v>54</v>
      </c>
      <c r="C56">
        <v>265</v>
      </c>
      <c r="E56">
        <v>-0.43001748000000001</v>
      </c>
      <c r="F56">
        <v>-0.43576495999999998</v>
      </c>
      <c r="G56">
        <v>5.7475E-3</v>
      </c>
      <c r="H56">
        <v>0.55287500000000001</v>
      </c>
      <c r="I56">
        <v>0.55570255999999996</v>
      </c>
      <c r="J56">
        <v>-2.8275800000000001E-3</v>
      </c>
      <c r="K56">
        <v>25.15</v>
      </c>
      <c r="L56">
        <v>25.15</v>
      </c>
      <c r="M56">
        <v>0</v>
      </c>
      <c r="N56">
        <v>3.3774409999999998E-2</v>
      </c>
      <c r="O56">
        <v>4.1684699999999998E-2</v>
      </c>
      <c r="P56">
        <v>-7.9102800000000004E-3</v>
      </c>
      <c r="Q56">
        <v>1.058215E-2</v>
      </c>
      <c r="R56">
        <v>-2.8430000000000003E-4</v>
      </c>
      <c r="S56">
        <v>1.086645E-2</v>
      </c>
      <c r="U56" s="15">
        <f t="shared" si="5"/>
        <v>-2.8737399999999858E-3</v>
      </c>
      <c r="V56" s="15">
        <f t="shared" si="13"/>
        <v>-1.4137799999999756E-3</v>
      </c>
      <c r="Y56" s="16">
        <f t="shared" si="14"/>
        <v>3.3774409999999998E-2</v>
      </c>
      <c r="Z56" s="16">
        <f t="shared" si="15"/>
        <v>1.058215E-2</v>
      </c>
      <c r="AA56" s="16">
        <f t="shared" si="16"/>
        <v>4.1684699999999998E-2</v>
      </c>
      <c r="AB56" s="16">
        <f t="shared" si="17"/>
        <v>-2.8430000000000003E-4</v>
      </c>
      <c r="AC56" s="17">
        <f t="shared" si="18"/>
        <v>2.0283159929581234</v>
      </c>
      <c r="AD56" s="17">
        <f t="shared" si="19"/>
        <v>2.3891051914605219</v>
      </c>
      <c r="AE56" s="17">
        <f t="shared" si="20"/>
        <v>17.39674286887637</v>
      </c>
      <c r="AF56" s="17">
        <f t="shared" si="21"/>
        <v>16.960977908876369</v>
      </c>
    </row>
    <row r="57" spans="1:32" x14ac:dyDescent="0.25">
      <c r="A57" s="14">
        <v>55</v>
      </c>
      <c r="C57">
        <v>270</v>
      </c>
      <c r="E57">
        <v>-0.43430247999999999</v>
      </c>
      <c r="F57">
        <v>-0.43488991999999999</v>
      </c>
      <c r="G57">
        <v>5.8746000000000004E-4</v>
      </c>
      <c r="H57">
        <v>0.55339499999999997</v>
      </c>
      <c r="I57">
        <v>0.56335751999999994</v>
      </c>
      <c r="J57">
        <v>-9.9625600000000005E-3</v>
      </c>
      <c r="K57">
        <v>25.06</v>
      </c>
      <c r="L57">
        <v>25.06</v>
      </c>
      <c r="M57">
        <v>0</v>
      </c>
      <c r="N57">
        <v>3.4355589999999998E-2</v>
      </c>
      <c r="O57">
        <v>4.1731079999999997E-2</v>
      </c>
      <c r="P57">
        <v>-7.3754900000000002E-3</v>
      </c>
      <c r="Q57">
        <v>1.111499E-2</v>
      </c>
      <c r="R57">
        <v>-4.4823999999999998E-4</v>
      </c>
      <c r="S57">
        <v>1.1563230000000001E-2</v>
      </c>
      <c r="U57" s="15">
        <f t="shared" si="5"/>
        <v>-2.9371999999999732E-4</v>
      </c>
      <c r="V57" s="15">
        <f t="shared" si="13"/>
        <v>-4.9812599999999874E-3</v>
      </c>
      <c r="Y57" s="16">
        <f t="shared" si="14"/>
        <v>3.4355589999999998E-2</v>
      </c>
      <c r="Z57" s="16">
        <f t="shared" si="15"/>
        <v>1.111499E-2</v>
      </c>
      <c r="AA57" s="16">
        <f t="shared" si="16"/>
        <v>4.1731079999999997E-2</v>
      </c>
      <c r="AB57" s="16">
        <f t="shared" si="17"/>
        <v>-4.4823999999999998E-4</v>
      </c>
      <c r="AC57" s="17">
        <f t="shared" si="18"/>
        <v>2.069334969355328</v>
      </c>
      <c r="AD57" s="17">
        <f t="shared" si="19"/>
        <v>2.3918473330669889</v>
      </c>
      <c r="AE57" s="17">
        <f t="shared" si="20"/>
        <v>17.927838504306393</v>
      </c>
      <c r="AF57" s="17">
        <f t="shared" si="21"/>
        <v>17.492948584306394</v>
      </c>
    </row>
    <row r="58" spans="1:32" x14ac:dyDescent="0.25">
      <c r="A58" s="14">
        <v>56</v>
      </c>
      <c r="C58">
        <v>275</v>
      </c>
      <c r="E58">
        <v>-0.43602995999999999</v>
      </c>
      <c r="F58">
        <v>-0.43345748000000001</v>
      </c>
      <c r="G58">
        <v>-2.5725100000000001E-3</v>
      </c>
      <c r="H58">
        <v>0.55347000000000002</v>
      </c>
      <c r="I58">
        <v>0.55929755999999997</v>
      </c>
      <c r="J58">
        <v>-5.8275499999999999E-3</v>
      </c>
      <c r="K58">
        <v>25.11</v>
      </c>
      <c r="L58">
        <v>25.11</v>
      </c>
      <c r="M58">
        <v>0.01</v>
      </c>
      <c r="N58">
        <v>3.4261109999999997E-2</v>
      </c>
      <c r="O58">
        <v>4.0317869999999999E-2</v>
      </c>
      <c r="P58">
        <v>-6.0567599999999996E-3</v>
      </c>
      <c r="Q58">
        <v>1.1082150000000001E-2</v>
      </c>
      <c r="R58">
        <v>-8.2739E-4</v>
      </c>
      <c r="S58">
        <v>1.190955E-2</v>
      </c>
      <c r="U58" s="15">
        <f t="shared" si="5"/>
        <v>1.2862399999999941E-3</v>
      </c>
      <c r="V58" s="15">
        <f t="shared" si="13"/>
        <v>-2.9137799999999769E-3</v>
      </c>
      <c r="Y58" s="16">
        <f t="shared" si="14"/>
        <v>3.4261109999999997E-2</v>
      </c>
      <c r="Z58" s="16">
        <f t="shared" si="15"/>
        <v>1.1082150000000001E-2</v>
      </c>
      <c r="AA58" s="16">
        <f t="shared" si="16"/>
        <v>4.0317869999999999E-2</v>
      </c>
      <c r="AB58" s="16">
        <f t="shared" si="17"/>
        <v>-8.2739E-4</v>
      </c>
      <c r="AC58" s="17">
        <f t="shared" si="18"/>
        <v>2.063601592428157</v>
      </c>
      <c r="AD58" s="17">
        <f t="shared" si="19"/>
        <v>2.3111568586968545</v>
      </c>
      <c r="AE58" s="17">
        <f t="shared" si="20"/>
        <v>17.924397276255736</v>
      </c>
      <c r="AF58" s="17">
        <f t="shared" si="21"/>
        <v>17.490939796255734</v>
      </c>
    </row>
    <row r="59" spans="1:32" x14ac:dyDescent="0.25">
      <c r="A59" s="14">
        <v>57</v>
      </c>
      <c r="C59">
        <v>280</v>
      </c>
      <c r="E59">
        <v>-0.43413499999999999</v>
      </c>
      <c r="F59">
        <v>-0.42982999999999999</v>
      </c>
      <c r="G59">
        <v>-4.3050299999999996E-3</v>
      </c>
      <c r="H59">
        <v>0.55296252000000001</v>
      </c>
      <c r="I59">
        <v>0.56224759999999996</v>
      </c>
      <c r="J59">
        <v>-9.2850299999999997E-3</v>
      </c>
      <c r="K59">
        <v>25.07</v>
      </c>
      <c r="L59">
        <v>25.08</v>
      </c>
      <c r="M59">
        <v>-0.01</v>
      </c>
      <c r="N59">
        <v>3.5177489999999999E-2</v>
      </c>
      <c r="O59">
        <v>4.0140870000000002E-2</v>
      </c>
      <c r="P59">
        <v>-4.9633799999999999E-3</v>
      </c>
      <c r="Q59">
        <v>1.1583619999999999E-2</v>
      </c>
      <c r="R59">
        <v>-1.1182900000000001E-3</v>
      </c>
      <c r="S59">
        <v>1.27019E-2</v>
      </c>
      <c r="U59" s="15">
        <f t="shared" si="5"/>
        <v>2.1525000000000016E-3</v>
      </c>
      <c r="V59" s="15">
        <f t="shared" si="13"/>
        <v>-4.6425399999999728E-3</v>
      </c>
      <c r="Y59" s="16">
        <f t="shared" si="14"/>
        <v>3.5177489999999999E-2</v>
      </c>
      <c r="Z59" s="16">
        <f t="shared" si="15"/>
        <v>1.1583619999999999E-2</v>
      </c>
      <c r="AA59" s="16">
        <f t="shared" si="16"/>
        <v>4.0140870000000002E-2</v>
      </c>
      <c r="AB59" s="16">
        <f t="shared" si="17"/>
        <v>-1.1182900000000001E-3</v>
      </c>
      <c r="AC59" s="17">
        <f t="shared" si="18"/>
        <v>2.1224692695159537</v>
      </c>
      <c r="AD59" s="17">
        <f t="shared" si="19"/>
        <v>2.3014135803364542</v>
      </c>
      <c r="AE59" s="17">
        <f t="shared" si="20"/>
        <v>18.226232921542039</v>
      </c>
      <c r="AF59" s="17">
        <f t="shared" si="21"/>
        <v>17.79640292154204</v>
      </c>
    </row>
    <row r="60" spans="1:32" x14ac:dyDescent="0.25">
      <c r="A60" s="14">
        <v>58</v>
      </c>
      <c r="C60">
        <v>285</v>
      </c>
      <c r="E60">
        <v>-0.43201748000000001</v>
      </c>
      <c r="F60">
        <v>-0.43414750000000002</v>
      </c>
      <c r="G60">
        <v>2.1300300000000002E-3</v>
      </c>
      <c r="H60">
        <v>0.55341019999999996</v>
      </c>
      <c r="I60">
        <v>0.55772509999999997</v>
      </c>
      <c r="J60">
        <v>-4.3149E-3</v>
      </c>
      <c r="K60">
        <v>25.17</v>
      </c>
      <c r="L60">
        <v>25.17</v>
      </c>
      <c r="M60">
        <v>0</v>
      </c>
      <c r="N60">
        <v>3.5826169999999997E-2</v>
      </c>
      <c r="O60">
        <v>3.9638180000000002E-2</v>
      </c>
      <c r="P60">
        <v>-3.8120099999999998E-3</v>
      </c>
      <c r="Q60">
        <v>1.144189E-2</v>
      </c>
      <c r="R60">
        <v>-1.1745600000000001E-3</v>
      </c>
      <c r="S60">
        <v>1.261645E-2</v>
      </c>
      <c r="U60" s="15">
        <f t="shared" si="5"/>
        <v>-1.0650100000000051E-3</v>
      </c>
      <c r="V60" s="15">
        <f t="shared" si="13"/>
        <v>-2.1574500000000052E-3</v>
      </c>
      <c r="Y60" s="16">
        <f t="shared" si="14"/>
        <v>3.5826169999999997E-2</v>
      </c>
      <c r="Z60" s="16">
        <f t="shared" si="15"/>
        <v>1.144189E-2</v>
      </c>
      <c r="AA60" s="16">
        <f t="shared" si="16"/>
        <v>3.9638180000000002E-2</v>
      </c>
      <c r="AB60" s="16">
        <f t="shared" si="17"/>
        <v>-1.1745600000000001E-3</v>
      </c>
      <c r="AC60" s="17">
        <f t="shared" si="18"/>
        <v>2.1553410240036088</v>
      </c>
      <c r="AD60" s="17">
        <f t="shared" si="19"/>
        <v>2.2726932064997261</v>
      </c>
      <c r="AE60" s="17">
        <f t="shared" si="20"/>
        <v>17.712047157938311</v>
      </c>
      <c r="AF60" s="17">
        <f t="shared" si="21"/>
        <v>17.27789965793831</v>
      </c>
    </row>
    <row r="61" spans="1:32" x14ac:dyDescent="0.25">
      <c r="A61" s="14">
        <v>59</v>
      </c>
      <c r="C61">
        <v>290</v>
      </c>
      <c r="E61">
        <v>-0.43639499999999998</v>
      </c>
      <c r="F61">
        <v>-0.43162250000000002</v>
      </c>
      <c r="G61">
        <v>-4.77248E-3</v>
      </c>
      <c r="H61">
        <v>0.55008007999999997</v>
      </c>
      <c r="I61">
        <v>0.55413509999999999</v>
      </c>
      <c r="J61">
        <v>-4.0550200000000003E-3</v>
      </c>
      <c r="K61">
        <v>25.15</v>
      </c>
      <c r="L61">
        <v>25.18</v>
      </c>
      <c r="M61">
        <v>-0.02</v>
      </c>
      <c r="N61">
        <v>3.5895879999999998E-2</v>
      </c>
      <c r="O61">
        <v>3.9431399999999998E-2</v>
      </c>
      <c r="P61">
        <v>-3.5355199999999999E-3</v>
      </c>
      <c r="Q61">
        <v>1.1531370000000001E-2</v>
      </c>
      <c r="R61">
        <v>-1.50574E-3</v>
      </c>
      <c r="S61">
        <v>1.3037109999999999E-2</v>
      </c>
      <c r="U61" s="15">
        <f t="shared" si="5"/>
        <v>2.3862499999999787E-3</v>
      </c>
      <c r="V61" s="15">
        <f t="shared" si="13"/>
        <v>-2.0275100000000101E-3</v>
      </c>
      <c r="Y61" s="16">
        <f t="shared" si="14"/>
        <v>3.5895879999999998E-2</v>
      </c>
      <c r="Z61" s="16">
        <f t="shared" si="15"/>
        <v>1.1531370000000001E-2</v>
      </c>
      <c r="AA61" s="16">
        <f t="shared" si="16"/>
        <v>3.9431399999999998E-2</v>
      </c>
      <c r="AB61" s="16">
        <f t="shared" si="17"/>
        <v>-1.50574E-3</v>
      </c>
      <c r="AC61" s="17">
        <f t="shared" si="18"/>
        <v>2.160712459591255</v>
      </c>
      <c r="AD61" s="17">
        <f t="shared" si="19"/>
        <v>2.2614865692732633</v>
      </c>
      <c r="AE61" s="17">
        <f t="shared" si="20"/>
        <v>17.809352595689798</v>
      </c>
      <c r="AF61" s="17">
        <f t="shared" si="21"/>
        <v>17.377730095689799</v>
      </c>
    </row>
    <row r="62" spans="1:32" x14ac:dyDescent="0.25">
      <c r="A62" s="14">
        <v>60</v>
      </c>
      <c r="C62">
        <v>295</v>
      </c>
      <c r="E62">
        <v>-0.43548744</v>
      </c>
      <c r="F62">
        <v>-0.43049008</v>
      </c>
      <c r="G62">
        <v>-4.9973700000000001E-3</v>
      </c>
      <c r="H62">
        <v>0.55779252000000001</v>
      </c>
      <c r="I62">
        <v>0.56353503999999999</v>
      </c>
      <c r="J62">
        <v>-5.7424900000000003E-3</v>
      </c>
      <c r="K62">
        <v>25.03</v>
      </c>
      <c r="L62">
        <v>25.04</v>
      </c>
      <c r="M62">
        <v>-0.01</v>
      </c>
      <c r="N62">
        <v>3.6627319999999998E-2</v>
      </c>
      <c r="O62">
        <v>3.862293E-2</v>
      </c>
      <c r="P62">
        <v>-1.9956100000000001E-3</v>
      </c>
      <c r="Q62">
        <v>1.173889E-2</v>
      </c>
      <c r="R62">
        <v>-1.42603E-3</v>
      </c>
      <c r="S62">
        <v>1.316492E-2</v>
      </c>
      <c r="U62" s="15">
        <f t="shared" si="5"/>
        <v>2.4986800000000031E-3</v>
      </c>
      <c r="V62" s="15">
        <f t="shared" si="13"/>
        <v>-2.8712599999999866E-3</v>
      </c>
      <c r="Y62" s="16">
        <f t="shared" si="14"/>
        <v>3.6627319999999998E-2</v>
      </c>
      <c r="Z62" s="16">
        <f t="shared" si="15"/>
        <v>1.173889E-2</v>
      </c>
      <c r="AA62" s="16">
        <f t="shared" si="16"/>
        <v>3.862293E-2</v>
      </c>
      <c r="AB62" s="16">
        <f t="shared" si="17"/>
        <v>-1.42603E-3</v>
      </c>
      <c r="AC62" s="17">
        <f t="shared" si="18"/>
        <v>2.204281297093202</v>
      </c>
      <c r="AD62" s="17">
        <f t="shared" si="19"/>
        <v>2.2149904059704828</v>
      </c>
      <c r="AE62" s="17">
        <f t="shared" si="20"/>
        <v>17.77041912094915</v>
      </c>
      <c r="AF62" s="17">
        <f t="shared" si="21"/>
        <v>17.339929040949151</v>
      </c>
    </row>
    <row r="63" spans="1:32" x14ac:dyDescent="0.25">
      <c r="A63" s="14">
        <v>61</v>
      </c>
      <c r="C63">
        <v>300</v>
      </c>
      <c r="E63">
        <v>-0.43693248000000001</v>
      </c>
      <c r="F63">
        <v>-0.43212492000000002</v>
      </c>
      <c r="G63">
        <v>-4.80753E-3</v>
      </c>
      <c r="H63">
        <v>0.55311250000000001</v>
      </c>
      <c r="I63">
        <v>0.55653750000000002</v>
      </c>
      <c r="J63">
        <v>-3.4250000000000001E-3</v>
      </c>
      <c r="K63">
        <v>25.09</v>
      </c>
      <c r="L63">
        <v>25.1</v>
      </c>
      <c r="M63">
        <v>-0.01</v>
      </c>
      <c r="N63">
        <v>3.7215940000000003E-2</v>
      </c>
      <c r="O63">
        <v>3.834021E-2</v>
      </c>
      <c r="P63">
        <v>-1.1242699999999999E-3</v>
      </c>
      <c r="Q63">
        <v>1.171167E-2</v>
      </c>
      <c r="R63">
        <v>-1.7156999999999999E-3</v>
      </c>
      <c r="S63">
        <v>1.3427369999999999E-2</v>
      </c>
      <c r="U63" s="15">
        <f t="shared" si="5"/>
        <v>2.4037799999999943E-3</v>
      </c>
      <c r="V63" s="15">
        <f t="shared" si="13"/>
        <v>-1.7125000000000057E-3</v>
      </c>
      <c r="Y63" s="16">
        <f t="shared" si="14"/>
        <v>3.7215940000000003E-2</v>
      </c>
      <c r="Z63" s="16">
        <f t="shared" si="15"/>
        <v>1.171167E-2</v>
      </c>
      <c r="AA63" s="16">
        <f t="shared" si="16"/>
        <v>3.834021E-2</v>
      </c>
      <c r="AB63" s="16">
        <f t="shared" si="17"/>
        <v>-1.7156999999999999E-3</v>
      </c>
      <c r="AC63" s="17">
        <f t="shared" si="18"/>
        <v>2.2359764287091184</v>
      </c>
      <c r="AD63" s="17">
        <f t="shared" si="19"/>
        <v>2.1994707673902556</v>
      </c>
      <c r="AE63" s="17">
        <f t="shared" si="20"/>
        <v>17.468527842448129</v>
      </c>
      <c r="AF63" s="17">
        <f t="shared" si="21"/>
        <v>17.036402922448129</v>
      </c>
    </row>
    <row r="64" spans="1:32" x14ac:dyDescent="0.25">
      <c r="A64" s="14">
        <v>62</v>
      </c>
      <c r="C64">
        <v>305</v>
      </c>
      <c r="E64">
        <v>-0.43725248</v>
      </c>
      <c r="F64">
        <v>-0.42989492000000001</v>
      </c>
      <c r="G64">
        <v>-7.3575400000000001E-3</v>
      </c>
      <c r="H64">
        <v>0.55492010000000003</v>
      </c>
      <c r="I64">
        <v>0.55960756</v>
      </c>
      <c r="J64">
        <v>-4.6874899999999999E-3</v>
      </c>
      <c r="K64">
        <v>25.09</v>
      </c>
      <c r="L64">
        <v>25.07</v>
      </c>
      <c r="M64">
        <v>0.02</v>
      </c>
      <c r="N64">
        <v>3.8234499999999998E-2</v>
      </c>
      <c r="O64">
        <v>3.7832879999999999E-2</v>
      </c>
      <c r="P64">
        <v>4.0161999999999999E-4</v>
      </c>
      <c r="Q64">
        <v>1.170801E-2</v>
      </c>
      <c r="R64">
        <v>-1.5653100000000001E-3</v>
      </c>
      <c r="S64">
        <v>1.327332E-2</v>
      </c>
      <c r="U64" s="15">
        <f t="shared" si="5"/>
        <v>3.6787799999999926E-3</v>
      </c>
      <c r="V64" s="15">
        <f t="shared" si="13"/>
        <v>-2.3437299999999883E-3</v>
      </c>
      <c r="Y64" s="16">
        <f t="shared" si="14"/>
        <v>3.8234499999999998E-2</v>
      </c>
      <c r="Z64" s="16">
        <f t="shared" si="15"/>
        <v>1.170801E-2</v>
      </c>
      <c r="AA64" s="16">
        <f t="shared" si="16"/>
        <v>3.7832879999999999E-2</v>
      </c>
      <c r="AB64" s="16">
        <f t="shared" si="17"/>
        <v>-1.5653100000000001E-3</v>
      </c>
      <c r="AC64" s="17">
        <f t="shared" si="18"/>
        <v>2.2916932614175112</v>
      </c>
      <c r="AD64" s="17">
        <f t="shared" si="19"/>
        <v>2.1700376685615641</v>
      </c>
      <c r="AE64" s="17">
        <f t="shared" si="20"/>
        <v>17.025418557848848</v>
      </c>
      <c r="AF64" s="17">
        <f t="shared" si="21"/>
        <v>16.595523637848849</v>
      </c>
    </row>
    <row r="65" spans="1:32" x14ac:dyDescent="0.25">
      <c r="A65" s="14">
        <v>63</v>
      </c>
      <c r="C65">
        <v>310</v>
      </c>
      <c r="E65">
        <v>-0.43603999999999998</v>
      </c>
      <c r="F65">
        <v>-0.43241244000000001</v>
      </c>
      <c r="G65">
        <v>-3.6275399999999998E-3</v>
      </c>
      <c r="H65">
        <v>0.55617499999999997</v>
      </c>
      <c r="I65">
        <v>0.55876999999999999</v>
      </c>
      <c r="J65">
        <v>-2.59501E-3</v>
      </c>
      <c r="K65">
        <v>25.08</v>
      </c>
      <c r="L65">
        <v>25.07</v>
      </c>
      <c r="M65">
        <v>0</v>
      </c>
      <c r="N65">
        <v>3.8204219999999997E-2</v>
      </c>
      <c r="O65">
        <v>3.6950440000000001E-2</v>
      </c>
      <c r="P65">
        <v>1.2537799999999999E-3</v>
      </c>
      <c r="Q65">
        <v>1.1805660000000001E-2</v>
      </c>
      <c r="R65">
        <v>-1.3881799999999999E-3</v>
      </c>
      <c r="S65">
        <v>1.319385E-2</v>
      </c>
      <c r="U65" s="15">
        <f t="shared" si="5"/>
        <v>1.8137799999999871E-3</v>
      </c>
      <c r="V65" s="15">
        <f t="shared" si="13"/>
        <v>-1.297500000000007E-3</v>
      </c>
      <c r="Y65" s="16">
        <f t="shared" si="14"/>
        <v>3.8204219999999997E-2</v>
      </c>
      <c r="Z65" s="16">
        <f t="shared" si="15"/>
        <v>1.1805660000000001E-2</v>
      </c>
      <c r="AA65" s="16">
        <f t="shared" si="16"/>
        <v>3.6950440000000001E-2</v>
      </c>
      <c r="AB65" s="16">
        <f t="shared" si="17"/>
        <v>-1.3881799999999999E-3</v>
      </c>
      <c r="AC65" s="17">
        <f t="shared" si="18"/>
        <v>2.2916800293666464</v>
      </c>
      <c r="AD65" s="17">
        <f t="shared" si="19"/>
        <v>2.1190808614860317</v>
      </c>
      <c r="AE65" s="17">
        <f t="shared" si="20"/>
        <v>17.17191020953582</v>
      </c>
      <c r="AF65" s="17">
        <f t="shared" si="21"/>
        <v>16.73949776953582</v>
      </c>
    </row>
    <row r="66" spans="1:32" x14ac:dyDescent="0.25">
      <c r="A66" s="14">
        <v>64</v>
      </c>
      <c r="C66">
        <v>315</v>
      </c>
      <c r="E66">
        <v>-0.43577250000000001</v>
      </c>
      <c r="F66">
        <v>-0.43080503999999997</v>
      </c>
      <c r="G66">
        <v>-4.9674799999999998E-3</v>
      </c>
      <c r="H66">
        <v>0.55295000000000005</v>
      </c>
      <c r="I66">
        <v>0.55595499999999998</v>
      </c>
      <c r="J66">
        <v>-3.00497E-3</v>
      </c>
      <c r="K66">
        <v>25.17</v>
      </c>
      <c r="L66">
        <v>25.17</v>
      </c>
      <c r="M66">
        <v>0</v>
      </c>
      <c r="N66">
        <v>3.9022340000000003E-2</v>
      </c>
      <c r="O66">
        <v>3.6215450000000003E-2</v>
      </c>
      <c r="P66">
        <v>2.8068799999999999E-3</v>
      </c>
      <c r="Q66">
        <v>1.14635E-2</v>
      </c>
      <c r="R66">
        <v>-1.4444600000000001E-3</v>
      </c>
      <c r="S66">
        <v>1.290796E-2</v>
      </c>
      <c r="U66" s="15">
        <f t="shared" si="5"/>
        <v>2.4837300000000173E-3</v>
      </c>
      <c r="V66" s="15">
        <f t="shared" si="13"/>
        <v>-1.5024999999999622E-3</v>
      </c>
      <c r="Y66" s="16">
        <f t="shared" si="14"/>
        <v>3.9022340000000003E-2</v>
      </c>
      <c r="Z66" s="16">
        <f t="shared" si="15"/>
        <v>1.14635E-2</v>
      </c>
      <c r="AA66" s="16">
        <f t="shared" si="16"/>
        <v>3.6215450000000003E-2</v>
      </c>
      <c r="AB66" s="16">
        <f t="shared" si="17"/>
        <v>-1.4444600000000001E-3</v>
      </c>
      <c r="AC66" s="17">
        <f t="shared" si="18"/>
        <v>2.3309369067678971</v>
      </c>
      <c r="AD66" s="17">
        <f t="shared" si="19"/>
        <v>2.0770971913390914</v>
      </c>
      <c r="AE66" s="17">
        <f t="shared" si="20"/>
        <v>16.371080323276043</v>
      </c>
      <c r="AF66" s="17">
        <f t="shared" si="21"/>
        <v>15.940275283276044</v>
      </c>
    </row>
    <row r="67" spans="1:32" x14ac:dyDescent="0.25">
      <c r="A67" s="14">
        <v>65</v>
      </c>
      <c r="C67">
        <v>320</v>
      </c>
      <c r="E67">
        <v>-0.43452748000000002</v>
      </c>
      <c r="F67">
        <v>-0.43214244000000002</v>
      </c>
      <c r="G67">
        <v>-2.3850199999999998E-3</v>
      </c>
      <c r="H67">
        <v>0.5600501</v>
      </c>
      <c r="I67">
        <v>0.56107244000000001</v>
      </c>
      <c r="J67">
        <v>-1.0223999999999999E-3</v>
      </c>
      <c r="K67">
        <v>25.02</v>
      </c>
      <c r="L67">
        <v>25.02</v>
      </c>
      <c r="M67">
        <v>-0.01</v>
      </c>
      <c r="N67">
        <v>3.9602900000000003E-2</v>
      </c>
      <c r="O67">
        <v>3.583691E-2</v>
      </c>
      <c r="P67">
        <v>3.7659899999999999E-3</v>
      </c>
      <c r="Q67">
        <v>1.1531619999999999E-2</v>
      </c>
      <c r="R67">
        <v>-1.26819E-3</v>
      </c>
      <c r="S67">
        <v>1.27998E-2</v>
      </c>
      <c r="U67" s="15">
        <f t="shared" si="5"/>
        <v>1.1925200000000025E-3</v>
      </c>
      <c r="V67" s="15">
        <f t="shared" si="13"/>
        <v>-5.1117000000000523E-4</v>
      </c>
      <c r="Y67" s="16">
        <f t="shared" si="14"/>
        <v>3.9602900000000003E-2</v>
      </c>
      <c r="Z67" s="16">
        <f t="shared" si="15"/>
        <v>1.1531619999999999E-2</v>
      </c>
      <c r="AA67" s="16">
        <f t="shared" si="16"/>
        <v>3.583691E-2</v>
      </c>
      <c r="AB67" s="16">
        <f t="shared" si="17"/>
        <v>-1.26819E-3</v>
      </c>
      <c r="AC67" s="17">
        <f t="shared" si="18"/>
        <v>2.363986444509135</v>
      </c>
      <c r="AD67" s="17">
        <f t="shared" si="19"/>
        <v>2.0550295501971183</v>
      </c>
      <c r="AE67" s="17">
        <f t="shared" si="20"/>
        <v>16.234566957054692</v>
      </c>
      <c r="AF67" s="17">
        <f t="shared" si="21"/>
        <v>15.802424517054693</v>
      </c>
    </row>
    <row r="68" spans="1:32" x14ac:dyDescent="0.25">
      <c r="A68" s="14">
        <v>66</v>
      </c>
      <c r="C68">
        <v>325</v>
      </c>
      <c r="E68">
        <v>-0.43603500000000001</v>
      </c>
      <c r="F68">
        <v>-0.42793495999999998</v>
      </c>
      <c r="G68">
        <v>-8.0999999999999996E-3</v>
      </c>
      <c r="H68">
        <v>0.55628750000000005</v>
      </c>
      <c r="I68">
        <v>0.55827510000000002</v>
      </c>
      <c r="J68">
        <v>-1.9875800000000001E-3</v>
      </c>
      <c r="K68">
        <v>25.08</v>
      </c>
      <c r="L68">
        <v>25.08</v>
      </c>
      <c r="M68">
        <v>-0.01</v>
      </c>
      <c r="N68">
        <v>4.002356E-2</v>
      </c>
      <c r="O68">
        <v>3.5157229999999998E-2</v>
      </c>
      <c r="P68">
        <v>4.8663300000000003E-3</v>
      </c>
      <c r="Q68">
        <v>1.1180789999999999E-2</v>
      </c>
      <c r="R68">
        <v>-1.0104999999999999E-3</v>
      </c>
      <c r="S68">
        <v>1.2191280000000001E-2</v>
      </c>
      <c r="U68" s="15">
        <f t="shared" ref="U68:U74" si="22">(F68-E68)/2</f>
        <v>4.0500200000000153E-3</v>
      </c>
      <c r="V68" s="15">
        <f t="shared" si="13"/>
        <v>-9.9379999999998914E-4</v>
      </c>
      <c r="Y68" s="16">
        <f t="shared" si="14"/>
        <v>4.002356E-2</v>
      </c>
      <c r="Z68" s="16">
        <f t="shared" si="15"/>
        <v>1.1180789999999999E-2</v>
      </c>
      <c r="AA68" s="16">
        <f t="shared" si="16"/>
        <v>3.5157229999999998E-2</v>
      </c>
      <c r="AB68" s="16">
        <f t="shared" si="17"/>
        <v>-1.0104999999999999E-3</v>
      </c>
      <c r="AC68" s="17">
        <f t="shared" si="18"/>
        <v>2.3816652898536192</v>
      </c>
      <c r="AD68" s="17">
        <f t="shared" si="19"/>
        <v>2.0156084933705065</v>
      </c>
      <c r="AE68" s="17">
        <f t="shared" si="20"/>
        <v>15.607982788999529</v>
      </c>
      <c r="AF68" s="17">
        <f t="shared" si="21"/>
        <v>15.180047828999529</v>
      </c>
    </row>
    <row r="69" spans="1:32" x14ac:dyDescent="0.25">
      <c r="A69" s="14">
        <v>67</v>
      </c>
      <c r="C69">
        <v>330</v>
      </c>
      <c r="E69">
        <v>-0.4362374</v>
      </c>
      <c r="F69">
        <v>-0.43017744000000002</v>
      </c>
      <c r="G69">
        <v>-6.0599699999999996E-3</v>
      </c>
      <c r="H69">
        <v>0.55187249999999999</v>
      </c>
      <c r="I69">
        <v>0.55421248000000001</v>
      </c>
      <c r="J69">
        <v>-2.3399599999999999E-3</v>
      </c>
      <c r="K69">
        <v>25.15</v>
      </c>
      <c r="L69">
        <v>25.16</v>
      </c>
      <c r="M69">
        <v>0</v>
      </c>
      <c r="N69">
        <v>4.0496339999999999E-2</v>
      </c>
      <c r="O69">
        <v>3.4508539999999997E-2</v>
      </c>
      <c r="P69">
        <v>5.9877899999999998E-3</v>
      </c>
      <c r="Q69">
        <v>1.059473E-2</v>
      </c>
      <c r="R69">
        <v>-8.6731000000000004E-4</v>
      </c>
      <c r="S69">
        <v>1.146204E-2</v>
      </c>
      <c r="U69" s="15">
        <f t="shared" si="22"/>
        <v>3.0299799999999877E-3</v>
      </c>
      <c r="V69" s="15">
        <f t="shared" si="13"/>
        <v>-1.1699900000000096E-3</v>
      </c>
      <c r="Y69" s="16">
        <f t="shared" si="14"/>
        <v>4.0496339999999999E-2</v>
      </c>
      <c r="Z69" s="16">
        <f t="shared" si="15"/>
        <v>1.059473E-2</v>
      </c>
      <c r="AA69" s="16">
        <f t="shared" si="16"/>
        <v>3.4508539999999997E-2</v>
      </c>
      <c r="AB69" s="16">
        <f t="shared" si="17"/>
        <v>-8.6731000000000004E-4</v>
      </c>
      <c r="AC69" s="17">
        <f t="shared" si="18"/>
        <v>2.3990627675820955</v>
      </c>
      <c r="AD69" s="17">
        <f t="shared" si="19"/>
        <v>1.9782110778030753</v>
      </c>
      <c r="AE69" s="17">
        <f t="shared" si="20"/>
        <v>14.661226399107596</v>
      </c>
      <c r="AF69" s="17">
        <f t="shared" si="21"/>
        <v>14.231048959107596</v>
      </c>
    </row>
    <row r="70" spans="1:32" x14ac:dyDescent="0.25">
      <c r="A70" s="14">
        <v>68</v>
      </c>
      <c r="C70">
        <v>335</v>
      </c>
      <c r="E70">
        <v>-0.43479748000000001</v>
      </c>
      <c r="F70">
        <v>-0.43017492000000002</v>
      </c>
      <c r="G70">
        <v>-4.6225499999999996E-3</v>
      </c>
      <c r="H70">
        <v>0.55899750000000004</v>
      </c>
      <c r="I70">
        <v>0.56018749999999995</v>
      </c>
      <c r="J70">
        <v>-1.19001E-3</v>
      </c>
      <c r="K70">
        <v>25.02</v>
      </c>
      <c r="L70">
        <v>25.02</v>
      </c>
      <c r="M70">
        <v>-0.01</v>
      </c>
      <c r="N70">
        <v>4.0644050000000001E-2</v>
      </c>
      <c r="O70">
        <v>3.4010140000000001E-2</v>
      </c>
      <c r="P70">
        <v>6.6339099999999998E-3</v>
      </c>
      <c r="Q70">
        <v>1.061316E-2</v>
      </c>
      <c r="R70">
        <v>-3.7536999999999998E-4</v>
      </c>
      <c r="S70">
        <v>1.098852E-2</v>
      </c>
      <c r="U70" s="15">
        <f t="shared" si="22"/>
        <v>2.3112799999999989E-3</v>
      </c>
      <c r="V70" s="15">
        <f t="shared" si="13"/>
        <v>-5.9499999999995667E-4</v>
      </c>
      <c r="Y70" s="16">
        <f t="shared" si="14"/>
        <v>4.0644050000000001E-2</v>
      </c>
      <c r="Z70" s="16">
        <f t="shared" si="15"/>
        <v>1.061316E-2</v>
      </c>
      <c r="AA70" s="16">
        <f t="shared" si="16"/>
        <v>3.4010140000000001E-2</v>
      </c>
      <c r="AB70" s="16">
        <f t="shared" si="17"/>
        <v>-3.7536999999999998E-4</v>
      </c>
      <c r="AC70" s="17">
        <f t="shared" si="18"/>
        <v>2.407525331998257</v>
      </c>
      <c r="AD70" s="17">
        <f t="shared" si="19"/>
        <v>1.9491320919187209</v>
      </c>
      <c r="AE70" s="17">
        <f t="shared" si="20"/>
        <v>14.634552782408843</v>
      </c>
      <c r="AF70" s="17">
        <f t="shared" si="21"/>
        <v>14.204377862408842</v>
      </c>
    </row>
    <row r="71" spans="1:32" x14ac:dyDescent="0.25">
      <c r="A71" s="14">
        <v>69</v>
      </c>
      <c r="C71">
        <v>340</v>
      </c>
      <c r="E71">
        <v>-0.4357125</v>
      </c>
      <c r="F71">
        <v>-0.43125996</v>
      </c>
      <c r="G71">
        <v>-4.4525299999999997E-3</v>
      </c>
      <c r="H71">
        <v>0.55480010000000002</v>
      </c>
      <c r="I71">
        <v>0.55428252</v>
      </c>
      <c r="J71">
        <v>5.1754999999999998E-4</v>
      </c>
      <c r="K71">
        <v>25.16</v>
      </c>
      <c r="L71">
        <v>25.16</v>
      </c>
      <c r="M71">
        <v>-0.01</v>
      </c>
      <c r="N71">
        <v>4.1231080000000003E-2</v>
      </c>
      <c r="O71">
        <v>3.3963140000000003E-2</v>
      </c>
      <c r="P71">
        <v>7.2679399999999996E-3</v>
      </c>
      <c r="Q71">
        <v>1.008118E-2</v>
      </c>
      <c r="R71">
        <v>-2.0824999999999999E-4</v>
      </c>
      <c r="S71">
        <v>1.028943E-2</v>
      </c>
      <c r="U71" s="15">
        <f t="shared" si="22"/>
        <v>2.2262700000000024E-3</v>
      </c>
      <c r="V71" s="15">
        <f t="shared" si="13"/>
        <v>2.5879000000000874E-4</v>
      </c>
      <c r="Y71" s="16">
        <f t="shared" si="14"/>
        <v>4.1231080000000003E-2</v>
      </c>
      <c r="Z71" s="16">
        <f t="shared" si="15"/>
        <v>1.008118E-2</v>
      </c>
      <c r="AA71" s="16">
        <f t="shared" si="16"/>
        <v>3.3963140000000003E-2</v>
      </c>
      <c r="AB71" s="16">
        <f t="shared" si="17"/>
        <v>-2.0824999999999999E-4</v>
      </c>
      <c r="AC71" s="17">
        <f t="shared" si="18"/>
        <v>2.4326867321141443</v>
      </c>
      <c r="AD71" s="17">
        <f t="shared" si="19"/>
        <v>1.9463554832276859</v>
      </c>
      <c r="AE71" s="17">
        <f t="shared" si="20"/>
        <v>13.739509145717431</v>
      </c>
      <c r="AF71" s="17">
        <f t="shared" si="21"/>
        <v>13.308249185717431</v>
      </c>
    </row>
    <row r="72" spans="1:32" x14ac:dyDescent="0.25">
      <c r="A72" s="14">
        <v>70</v>
      </c>
      <c r="C72">
        <v>345</v>
      </c>
      <c r="E72">
        <v>-0.43207496000000001</v>
      </c>
      <c r="F72">
        <v>-0.42979504000000002</v>
      </c>
      <c r="G72">
        <v>-2.2799399999999998E-3</v>
      </c>
      <c r="H72">
        <v>0.55264500000000005</v>
      </c>
      <c r="I72">
        <v>0.55291250000000003</v>
      </c>
      <c r="J72">
        <v>-2.6745000000000002E-4</v>
      </c>
      <c r="K72">
        <v>25.16</v>
      </c>
      <c r="L72">
        <v>25.17</v>
      </c>
      <c r="M72">
        <v>-0.01</v>
      </c>
      <c r="N72">
        <v>4.1314579999999997E-2</v>
      </c>
      <c r="O72">
        <v>3.3235349999999997E-2</v>
      </c>
      <c r="P72">
        <v>8.0792199999999998E-3</v>
      </c>
      <c r="Q72">
        <v>9.8000499999999994E-3</v>
      </c>
      <c r="R72">
        <v>8.0199999999999998E-5</v>
      </c>
      <c r="S72">
        <v>9.7198500000000004E-3</v>
      </c>
      <c r="U72" s="15">
        <f t="shared" si="22"/>
        <v>1.1399599999999954E-3</v>
      </c>
      <c r="V72" s="15">
        <f t="shared" si="13"/>
        <v>-1.3374999999998805E-4</v>
      </c>
      <c r="Y72" s="16">
        <f t="shared" si="14"/>
        <v>4.1314579999999997E-2</v>
      </c>
      <c r="Z72" s="16">
        <f t="shared" si="15"/>
        <v>9.8000499999999994E-3</v>
      </c>
      <c r="AA72" s="16">
        <f t="shared" si="16"/>
        <v>3.3235349999999997E-2</v>
      </c>
      <c r="AB72" s="16">
        <f t="shared" si="17"/>
        <v>8.0199999999999998E-5</v>
      </c>
      <c r="AC72" s="17">
        <f t="shared" si="18"/>
        <v>2.4335670400726048</v>
      </c>
      <c r="AD72" s="17">
        <f t="shared" si="19"/>
        <v>1.9046015751987018</v>
      </c>
      <c r="AE72" s="17">
        <f t="shared" si="20"/>
        <v>13.344250506604538</v>
      </c>
      <c r="AF72" s="17">
        <f t="shared" si="21"/>
        <v>12.914455466604538</v>
      </c>
    </row>
    <row r="73" spans="1:32" x14ac:dyDescent="0.25">
      <c r="A73" s="14">
        <v>71</v>
      </c>
      <c r="C73">
        <v>350</v>
      </c>
      <c r="E73">
        <v>-0.43468003999999999</v>
      </c>
      <c r="F73">
        <v>-0.42874748000000001</v>
      </c>
      <c r="G73">
        <v>-5.9325699999999999E-3</v>
      </c>
      <c r="H73">
        <v>0.55512249999999996</v>
      </c>
      <c r="I73">
        <v>0.55779250000000002</v>
      </c>
      <c r="J73">
        <v>-2.6699900000000001E-3</v>
      </c>
      <c r="K73">
        <v>25.11</v>
      </c>
      <c r="L73">
        <v>25.11</v>
      </c>
      <c r="M73">
        <v>0.01</v>
      </c>
      <c r="N73">
        <v>4.2238900000000003E-2</v>
      </c>
      <c r="O73">
        <v>3.2795039999999998E-2</v>
      </c>
      <c r="P73">
        <v>9.4438500000000002E-3</v>
      </c>
      <c r="Q73">
        <v>9.4716799999999997E-3</v>
      </c>
      <c r="R73">
        <v>5.6371999999999998E-4</v>
      </c>
      <c r="S73">
        <v>8.9079599999999995E-3</v>
      </c>
      <c r="U73" s="15">
        <f t="shared" si="22"/>
        <v>2.9662799999999878E-3</v>
      </c>
      <c r="V73" s="15">
        <f t="shared" si="13"/>
        <v>-1.3350000000000306E-3</v>
      </c>
      <c r="Y73" s="16">
        <f t="shared" si="14"/>
        <v>4.2238900000000003E-2</v>
      </c>
      <c r="Z73" s="16">
        <f t="shared" si="15"/>
        <v>9.4716799999999997E-3</v>
      </c>
      <c r="AA73" s="16">
        <f t="shared" si="16"/>
        <v>3.2795039999999998E-2</v>
      </c>
      <c r="AB73" s="16">
        <f t="shared" si="17"/>
        <v>5.6371999999999998E-4</v>
      </c>
      <c r="AC73" s="17">
        <f t="shared" si="18"/>
        <v>2.4809859761574056</v>
      </c>
      <c r="AD73" s="17">
        <f t="shared" si="19"/>
        <v>1.8796320862625946</v>
      </c>
      <c r="AE73" s="17">
        <f t="shared" si="20"/>
        <v>12.638967728719972</v>
      </c>
      <c r="AF73" s="17">
        <f t="shared" si="21"/>
        <v>12.210220248719972</v>
      </c>
    </row>
    <row r="74" spans="1:32" x14ac:dyDescent="0.25">
      <c r="A74" s="14">
        <v>72</v>
      </c>
      <c r="C74">
        <v>355</v>
      </c>
      <c r="E74">
        <v>-0.43924992000000002</v>
      </c>
      <c r="F74">
        <v>-0.42963750000000001</v>
      </c>
      <c r="G74">
        <v>-9.6124399999999999E-3</v>
      </c>
      <c r="H74">
        <v>0.56357248000000004</v>
      </c>
      <c r="I74">
        <v>0.56279250000000003</v>
      </c>
      <c r="J74">
        <v>7.7999000000000005E-4</v>
      </c>
      <c r="K74">
        <v>25.02</v>
      </c>
      <c r="L74">
        <v>25.01</v>
      </c>
      <c r="M74">
        <v>0.01</v>
      </c>
      <c r="N74">
        <v>4.2672599999999998E-2</v>
      </c>
      <c r="O74">
        <v>3.2868040000000001E-2</v>
      </c>
      <c r="P74">
        <v>9.8045600000000004E-3</v>
      </c>
      <c r="Q74">
        <v>9.0100100000000006E-3</v>
      </c>
      <c r="R74">
        <v>1.05945E-3</v>
      </c>
      <c r="S74">
        <v>7.9505600000000006E-3</v>
      </c>
      <c r="U74" s="15">
        <f t="shared" si="22"/>
        <v>4.8062100000000052E-3</v>
      </c>
      <c r="V74" s="15">
        <f t="shared" si="13"/>
        <v>3.8999000000000672E-4</v>
      </c>
      <c r="Y74" s="16">
        <f t="shared" si="14"/>
        <v>4.2672599999999998E-2</v>
      </c>
      <c r="Z74" s="16">
        <f t="shared" si="15"/>
        <v>9.0100100000000006E-3</v>
      </c>
      <c r="AA74" s="16">
        <f t="shared" si="16"/>
        <v>3.2868040000000001E-2</v>
      </c>
      <c r="AB74" s="16">
        <f t="shared" si="17"/>
        <v>1.05945E-3</v>
      </c>
      <c r="AC74" s="17">
        <f t="shared" si="18"/>
        <v>2.4996582079213021</v>
      </c>
      <c r="AD74" s="17">
        <f t="shared" si="19"/>
        <v>1.8845178028769616</v>
      </c>
      <c r="AE74" s="17">
        <f t="shared" si="20"/>
        <v>11.922473813056508</v>
      </c>
      <c r="AF74" s="17">
        <f t="shared" si="21"/>
        <v>11.492836313056507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T18-1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2026-08-02T16:49:50Z</dcterms:modified>
</cp:coreProperties>
</file>