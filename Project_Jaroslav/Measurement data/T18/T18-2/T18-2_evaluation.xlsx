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8\T18-2\"/>
    </mc:Choice>
  </mc:AlternateContent>
  <xr:revisionPtr revIDLastSave="0" documentId="13_ncr:1_{C9994BCB-4963-43C5-804F-EC5C59B1E0F5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8-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AD74" i="1"/>
  <c r="AB74" i="1"/>
  <c r="AA74" i="1"/>
  <c r="Z74" i="1"/>
  <c r="AE74" i="1" s="1"/>
  <c r="AF74" i="1" s="1"/>
  <c r="Y74" i="1"/>
  <c r="AB73" i="1"/>
  <c r="AA73" i="1"/>
  <c r="Z73" i="1"/>
  <c r="Y73" i="1"/>
  <c r="AB72" i="1"/>
  <c r="AA72" i="1"/>
  <c r="AD72" i="1" s="1"/>
  <c r="Z72" i="1"/>
  <c r="Y72" i="1"/>
  <c r="AB71" i="1"/>
  <c r="AA71" i="1"/>
  <c r="AD71" i="1" s="1"/>
  <c r="Z71" i="1"/>
  <c r="Y71" i="1"/>
  <c r="AB70" i="1"/>
  <c r="AA70" i="1"/>
  <c r="AD70" i="1" s="1"/>
  <c r="Z70" i="1"/>
  <c r="Y70" i="1"/>
  <c r="AB69" i="1"/>
  <c r="AA69" i="1"/>
  <c r="AD69" i="1" s="1"/>
  <c r="Z69" i="1"/>
  <c r="AC69" i="1" s="1"/>
  <c r="Y69" i="1"/>
  <c r="AC68" i="1"/>
  <c r="AB68" i="1"/>
  <c r="AA68" i="1"/>
  <c r="Z68" i="1"/>
  <c r="Y68" i="1"/>
  <c r="AD67" i="1"/>
  <c r="AB67" i="1"/>
  <c r="AA67" i="1"/>
  <c r="Z67" i="1"/>
  <c r="Y67" i="1"/>
  <c r="AB66" i="1"/>
  <c r="AA66" i="1"/>
  <c r="Z66" i="1"/>
  <c r="Y66" i="1"/>
  <c r="AC65" i="1"/>
  <c r="AB65" i="1"/>
  <c r="AA65" i="1"/>
  <c r="AD65" i="1" s="1"/>
  <c r="Z65" i="1"/>
  <c r="Y65" i="1"/>
  <c r="AB64" i="1"/>
  <c r="AA64" i="1"/>
  <c r="Z64" i="1"/>
  <c r="Y64" i="1"/>
  <c r="AB63" i="1"/>
  <c r="AA63" i="1"/>
  <c r="Z63" i="1"/>
  <c r="Y63" i="1"/>
  <c r="AB62" i="1"/>
  <c r="AA62" i="1"/>
  <c r="AD62" i="1" s="1"/>
  <c r="Z62" i="1"/>
  <c r="Y62" i="1"/>
  <c r="AC62" i="1" s="1"/>
  <c r="AB61" i="1"/>
  <c r="AA61" i="1"/>
  <c r="Z61" i="1"/>
  <c r="Y61" i="1"/>
  <c r="AB60" i="1"/>
  <c r="AA60" i="1"/>
  <c r="AD60" i="1" s="1"/>
  <c r="Z60" i="1"/>
  <c r="AC60" i="1" s="1"/>
  <c r="Y60" i="1"/>
  <c r="AB59" i="1"/>
  <c r="AA59" i="1"/>
  <c r="AD59" i="1" s="1"/>
  <c r="Z59" i="1"/>
  <c r="Y59" i="1"/>
  <c r="AC59" i="1" s="1"/>
  <c r="AB58" i="1"/>
  <c r="AA58" i="1"/>
  <c r="AD58" i="1" s="1"/>
  <c r="Z58" i="1"/>
  <c r="Y58" i="1"/>
  <c r="AB57" i="1"/>
  <c r="AA57" i="1"/>
  <c r="Z57" i="1"/>
  <c r="Y57" i="1"/>
  <c r="AB56" i="1"/>
  <c r="AA56" i="1"/>
  <c r="AD56" i="1" s="1"/>
  <c r="Z56" i="1"/>
  <c r="Y56" i="1"/>
  <c r="AC56" i="1" s="1"/>
  <c r="AB55" i="1"/>
  <c r="AA55" i="1"/>
  <c r="Z55" i="1"/>
  <c r="Y55" i="1"/>
  <c r="AB54" i="1"/>
  <c r="AA54" i="1"/>
  <c r="Z54" i="1"/>
  <c r="Y54" i="1"/>
  <c r="AB53" i="1"/>
  <c r="AA53" i="1"/>
  <c r="AD53" i="1" s="1"/>
  <c r="Z53" i="1"/>
  <c r="Y53" i="1"/>
  <c r="AC53" i="1" s="1"/>
  <c r="AB52" i="1"/>
  <c r="AA52" i="1"/>
  <c r="Z52" i="1"/>
  <c r="Y52" i="1"/>
  <c r="AB51" i="1"/>
  <c r="AA51" i="1"/>
  <c r="Z51" i="1"/>
  <c r="Y51" i="1"/>
  <c r="AB50" i="1"/>
  <c r="AA50" i="1"/>
  <c r="Z50" i="1"/>
  <c r="Y50" i="1"/>
  <c r="AC50" i="1" s="1"/>
  <c r="AB49" i="1"/>
  <c r="AD49" i="1" s="1"/>
  <c r="AA49" i="1"/>
  <c r="Z49" i="1"/>
  <c r="Y49" i="1"/>
  <c r="AB48" i="1"/>
  <c r="AA48" i="1"/>
  <c r="Z48" i="1"/>
  <c r="Y48" i="1"/>
  <c r="AE48" i="1" s="1"/>
  <c r="AF48" i="1" s="1"/>
  <c r="AB47" i="1"/>
  <c r="AA47" i="1"/>
  <c r="AD47" i="1" s="1"/>
  <c r="Z47" i="1"/>
  <c r="Y47" i="1"/>
  <c r="AC47" i="1" s="1"/>
  <c r="AB46" i="1"/>
  <c r="AA46" i="1"/>
  <c r="Z46" i="1"/>
  <c r="Y46" i="1"/>
  <c r="AB45" i="1"/>
  <c r="AA45" i="1"/>
  <c r="Z45" i="1"/>
  <c r="Y45" i="1"/>
  <c r="AE45" i="1" s="1"/>
  <c r="AF45" i="1" s="1"/>
  <c r="AB44" i="1"/>
  <c r="AA44" i="1"/>
  <c r="AD44" i="1" s="1"/>
  <c r="Z44" i="1"/>
  <c r="Y44" i="1"/>
  <c r="AC44" i="1" s="1"/>
  <c r="AB43" i="1"/>
  <c r="AA43" i="1"/>
  <c r="AD43" i="1" s="1"/>
  <c r="Z43" i="1"/>
  <c r="Y43" i="1"/>
  <c r="AB42" i="1"/>
  <c r="AA42" i="1"/>
  <c r="AD42" i="1" s="1"/>
  <c r="Z42" i="1"/>
  <c r="Y42" i="1"/>
  <c r="AB41" i="1"/>
  <c r="AA41" i="1"/>
  <c r="AD41" i="1" s="1"/>
  <c r="Z41" i="1"/>
  <c r="Y41" i="1"/>
  <c r="AB40" i="1"/>
  <c r="AA40" i="1"/>
  <c r="AD40" i="1" s="1"/>
  <c r="Z40" i="1"/>
  <c r="Y40" i="1"/>
  <c r="AB39" i="1"/>
  <c r="AA39" i="1"/>
  <c r="AD39" i="1" s="1"/>
  <c r="Z39" i="1"/>
  <c r="Y39" i="1"/>
  <c r="AE39" i="1" s="1"/>
  <c r="AF39" i="1" s="1"/>
  <c r="AB38" i="1"/>
  <c r="AA38" i="1"/>
  <c r="AD38" i="1" s="1"/>
  <c r="Z38" i="1"/>
  <c r="Y38" i="1"/>
  <c r="AB37" i="1"/>
  <c r="AA37" i="1"/>
  <c r="AD37" i="1" s="1"/>
  <c r="Z37" i="1"/>
  <c r="Y37" i="1"/>
  <c r="AB36" i="1"/>
  <c r="AD36" i="1" s="1"/>
  <c r="AA36" i="1"/>
  <c r="Z36" i="1"/>
  <c r="Y36" i="1"/>
  <c r="AD35" i="1"/>
  <c r="AC35" i="1"/>
  <c r="AB35" i="1"/>
  <c r="AA35" i="1"/>
  <c r="Z35" i="1"/>
  <c r="Y35" i="1"/>
  <c r="V48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A7" i="1"/>
  <c r="AA6" i="1"/>
  <c r="AA5" i="1"/>
  <c r="AA4" i="1"/>
  <c r="AA3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G10" i="2"/>
  <c r="AD61" i="1" l="1"/>
  <c r="AD64" i="1"/>
  <c r="AC42" i="1"/>
  <c r="AD50" i="1"/>
  <c r="AC51" i="1"/>
  <c r="AC54" i="1"/>
  <c r="AD48" i="1"/>
  <c r="AD54" i="1"/>
  <c r="AE57" i="1"/>
  <c r="AF57" i="1" s="1"/>
  <c r="AE60" i="1"/>
  <c r="AF60" i="1" s="1"/>
  <c r="AC63" i="1"/>
  <c r="AD68" i="1"/>
  <c r="AC66" i="1"/>
  <c r="AC38" i="1"/>
  <c r="AC41" i="1"/>
  <c r="AD46" i="1"/>
  <c r="AD52" i="1"/>
  <c r="AD55" i="1"/>
  <c r="AD66" i="1"/>
  <c r="AE69" i="1"/>
  <c r="AF69" i="1" s="1"/>
  <c r="AC39" i="1"/>
  <c r="AE51" i="1"/>
  <c r="AF51" i="1" s="1"/>
  <c r="AE63" i="1"/>
  <c r="AF63" i="1" s="1"/>
  <c r="AD73" i="1"/>
  <c r="AC48" i="1"/>
  <c r="AE42" i="1"/>
  <c r="AF42" i="1" s="1"/>
  <c r="AD51" i="1"/>
  <c r="AD63" i="1"/>
  <c r="AE71" i="1"/>
  <c r="AF71" i="1" s="1"/>
  <c r="AE54" i="1"/>
  <c r="AF54" i="1" s="1"/>
  <c r="AE66" i="1"/>
  <c r="AF66" i="1" s="1"/>
  <c r="AC45" i="1"/>
  <c r="AC57" i="1"/>
  <c r="AC74" i="1"/>
  <c r="AE36" i="1"/>
  <c r="AF36" i="1" s="1"/>
  <c r="AD45" i="1"/>
  <c r="AD57" i="1"/>
  <c r="AF50" i="1"/>
  <c r="AC37" i="1"/>
  <c r="AC40" i="1"/>
  <c r="AC43" i="1"/>
  <c r="AC46" i="1"/>
  <c r="AC49" i="1"/>
  <c r="AC52" i="1"/>
  <c r="AC55" i="1"/>
  <c r="AC58" i="1"/>
  <c r="AC61" i="1"/>
  <c r="AC64" i="1"/>
  <c r="AC67" i="1"/>
  <c r="AC70" i="1"/>
  <c r="AC73" i="1"/>
  <c r="AE37" i="1"/>
  <c r="AF37" i="1" s="1"/>
  <c r="AE40" i="1"/>
  <c r="AF40" i="1" s="1"/>
  <c r="AE43" i="1"/>
  <c r="AF43" i="1" s="1"/>
  <c r="AE46" i="1"/>
  <c r="AF46" i="1" s="1"/>
  <c r="AE49" i="1"/>
  <c r="AF49" i="1" s="1"/>
  <c r="AE52" i="1"/>
  <c r="AF52" i="1" s="1"/>
  <c r="AE55" i="1"/>
  <c r="AF55" i="1" s="1"/>
  <c r="AE58" i="1"/>
  <c r="AF58" i="1" s="1"/>
  <c r="AE61" i="1"/>
  <c r="AF61" i="1" s="1"/>
  <c r="AE64" i="1"/>
  <c r="AF64" i="1" s="1"/>
  <c r="AE67" i="1"/>
  <c r="AF67" i="1" s="1"/>
  <c r="AE70" i="1"/>
  <c r="AF70" i="1" s="1"/>
  <c r="AE73" i="1"/>
  <c r="AF73" i="1" s="1"/>
  <c r="AC36" i="1"/>
  <c r="AC72" i="1"/>
  <c r="AE72" i="1"/>
  <c r="AF72" i="1" s="1"/>
  <c r="AC71" i="1"/>
  <c r="AE35" i="1"/>
  <c r="AF35" i="1" s="1"/>
  <c r="AE38" i="1"/>
  <c r="AF38" i="1" s="1"/>
  <c r="AE41" i="1"/>
  <c r="AF41" i="1" s="1"/>
  <c r="AE44" i="1"/>
  <c r="AF44" i="1" s="1"/>
  <c r="AE47" i="1"/>
  <c r="AF47" i="1" s="1"/>
  <c r="AE50" i="1"/>
  <c r="AE53" i="1"/>
  <c r="AF53" i="1" s="1"/>
  <c r="AE56" i="1"/>
  <c r="AF56" i="1" s="1"/>
  <c r="AE59" i="1"/>
  <c r="AF59" i="1" s="1"/>
  <c r="AE62" i="1"/>
  <c r="AF62" i="1" s="1"/>
  <c r="AE65" i="1"/>
  <c r="AF65" i="1" s="1"/>
  <c r="AE68" i="1"/>
  <c r="AF68" i="1" s="1"/>
  <c r="AE28" i="1"/>
  <c r="AF28" i="1" s="1"/>
  <c r="AD8" i="1"/>
  <c r="AD34" i="1"/>
  <c r="AD27" i="1"/>
  <c r="AD33" i="1"/>
  <c r="AD4" i="1"/>
  <c r="AC34" i="1"/>
  <c r="AD28" i="1"/>
  <c r="AD19" i="1"/>
  <c r="AE25" i="1"/>
  <c r="AF25" i="1" s="1"/>
  <c r="AE31" i="1"/>
  <c r="AF31" i="1" s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<sst xmlns="http://schemas.openxmlformats.org/spreadsheetml/2006/main" count="82" uniqueCount="66">
  <si>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</si>
  <si>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</si>
  <si>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</si>
  <si>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</si>
  <si>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</si>
  <si>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</si>
  <si>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</si>
  <si>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</si>
  <si>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</si>
  <si>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</si>
  <si>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</si>
  <si>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</si>
  <si>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</si>
  <si>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</si>
  <si>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</si>
  <si>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</si>
  <si>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</si>
  <si>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</si>
  <si>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</si>
  <si>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</si>
  <si>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</si>
  <si>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</si>
  <si>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</si>
  <si>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</si>
  <si>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</si>
  <si>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</si>
  <si>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</si>
  <si>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</si>
  <si>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</si>
  <si>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</si>
  <si>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</si>
  <si>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</si>
  <si>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</si>
  <si>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</si>
  <si>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</si>
  <si>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</si>
  <si>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</si>
  <si>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</si>
  <si>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</si>
  <si>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</si>
  <si>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</si>
  <si>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</si>
  <si>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</si>
  <si>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</si>
  <si>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</si>
  <si>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</si>
  <si>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</si>
  <si>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</si>
  <si>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</si>
  <si>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</si>
  <si>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</si>
  <si>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</si>
  <si>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</si>
  <si>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</si>
  <si>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</si>
  <si>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</si>
  <si>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</si>
  <si>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</si>
  <si>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N</t>
  </si>
  <si>
    <t>Extended azimuth Dependence Test (Randomized 360° Step Scan) bambilion points</t>
  </si>
  <si>
    <t xml:space="preserve">- Rotace ramene CW/CCW
- Náhodné azimuty pro celých 360°
- 4x různý azimut sestavy (0°-90°-180°-270°)
- Azimut ramene při startu vžy 0° (sever)
- Kalibrace nulového náklonu do 0,5° (přibližně)
- Vyměněné měřicí rameno
- Oprava xA-xC na správný směr xC-xA
</t>
  </si>
  <si>
    <t>(xC-xA)/2</t>
  </si>
  <si>
    <t>T18-2</t>
  </si>
  <si>
    <t>living room-table</t>
  </si>
  <si>
    <t>dlouhodobý test 360.py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</si>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</sst>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6" fillId="0" borderId="0" xfId="0" applyFont="1" applyAlignment="1">
      <alignment vertical="center" textRotation="45"/>
    </xf>
    <xf numFmtId="0" fontId="6" fillId="0" borderId="0" xfId="0" applyFont="1" applyAlignment="1">
      <alignment textRotation="90"/>
    </xf>
    <xf numFmtId="0" fontId="6" fillId="0" borderId="0" xfId="0" applyFont="1" applyAlignment="1">
      <alignment vertical="center" textRotation="135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top" textRotation="90"/>
    </xf>
    <xf numFmtId="0" fontId="6" fillId="0" borderId="0" xfId="0" applyFont="1" applyAlignment="1">
      <alignment horizontal="left" vertical="center" textRotation="45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'T18-2'!$U$2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'T18-2'!$C$3:$C$74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'T18-2'!$U$3:$U$74</c:f>
              <c:numCache>
                <c:formatCode>0.000000</c:formatCode>
                <c:ptCount val="72"/>
                <c:pt idx="0">
                  <c:v>8.5749999999998328E-4</c:v>
                </c:pt>
                <c:pt idx="1">
                  <c:v>2.1387599999999896E-3</c:v>
                </c:pt>
                <c:pt idx="2">
                  <c:v>1.6199600000000036E-3</c:v>
                </c:pt>
                <c:pt idx="3">
                  <c:v>2.7700200000000119E-3</c:v>
                </c:pt>
                <c:pt idx="4">
                  <c:v>1.186279999999984E-3</c:v>
                </c:pt>
                <c:pt idx="5">
                  <c:v>3.7600000000193035E-6</c:v>
                </c:pt>
                <c:pt idx="6">
                  <c:v>1.9925299999999924E-3</c:v>
                </c:pt>
                <c:pt idx="7">
                  <c:v>-1.0537800000000042E-3</c:v>
                </c:pt>
                <c:pt idx="8">
                  <c:v>2.8125999999997764E-4</c:v>
                </c:pt>
                <c:pt idx="9">
                  <c:v>4.8503999999999214E-4</c:v>
                </c:pt>
                <c:pt idx="10">
                  <c:v>1.6925000000000134E-3</c:v>
                </c:pt>
                <c:pt idx="11">
                  <c:v>8.7599999999965483E-6</c:v>
                </c:pt>
                <c:pt idx="12">
                  <c:v>6.2495999999997998E-4</c:v>
                </c:pt>
                <c:pt idx="13">
                  <c:v>1.0050299999999901E-3</c:v>
                </c:pt>
                <c:pt idx="14">
                  <c:v>-6.474999999999953E-4</c:v>
                </c:pt>
                <c:pt idx="15">
                  <c:v>6.3247999999999083E-4</c:v>
                </c:pt>
                <c:pt idx="16">
                  <c:v>4.5374000000000803E-4</c:v>
                </c:pt>
                <c:pt idx="17">
                  <c:v>-3.6500000000000421E-4</c:v>
                </c:pt>
                <c:pt idx="18">
                  <c:v>-1.950599999999969E-4</c:v>
                </c:pt>
                <c:pt idx="19">
                  <c:v>1.1230000000000961E-5</c:v>
                </c:pt>
                <c:pt idx="20">
                  <c:v>1.1574800000000163E-3</c:v>
                </c:pt>
                <c:pt idx="21">
                  <c:v>-3.2625099999999962E-3</c:v>
                </c:pt>
                <c:pt idx="22">
                  <c:v>-1.9449700000000181E-3</c:v>
                </c:pt>
                <c:pt idx="23">
                  <c:v>-2.6512399999999992E-3</c:v>
                </c:pt>
                <c:pt idx="24">
                  <c:v>-5.7625000000000037E-4</c:v>
                </c:pt>
                <c:pt idx="25">
                  <c:v>-3.0112300000000036E-3</c:v>
                </c:pt>
                <c:pt idx="26">
                  <c:v>-3.007500000000024E-3</c:v>
                </c:pt>
                <c:pt idx="27">
                  <c:v>-2.3762400000000017E-3</c:v>
                </c:pt>
                <c:pt idx="28">
                  <c:v>-1.9887700000000008E-3</c:v>
                </c:pt>
                <c:pt idx="29">
                  <c:v>-2.5524799999999959E-3</c:v>
                </c:pt>
                <c:pt idx="30">
                  <c:v>-2.4037400000000153E-3</c:v>
                </c:pt>
                <c:pt idx="31">
                  <c:v>-2.234999999999987E-3</c:v>
                </c:pt>
                <c:pt idx="32">
                  <c:v>-3.837489999999999E-3</c:v>
                </c:pt>
                <c:pt idx="33">
                  <c:v>-1.7362900000000014E-3</c:v>
                </c:pt>
                <c:pt idx="34">
                  <c:v>-1.846239999999999E-3</c:v>
                </c:pt>
                <c:pt idx="35">
                  <c:v>-2.010060000000008E-3</c:v>
                </c:pt>
                <c:pt idx="36">
                  <c:v>-2.6887499999999898E-3</c:v>
                </c:pt>
                <c:pt idx="37">
                  <c:v>-1.7375099999999977E-3</c:v>
                </c:pt>
                <c:pt idx="38">
                  <c:v>5.7479999999998643E-5</c:v>
                </c:pt>
                <c:pt idx="39">
                  <c:v>-6.6626999999999659E-4</c:v>
                </c:pt>
                <c:pt idx="40">
                  <c:v>-6.4746000000001636E-4</c:v>
                </c:pt>
                <c:pt idx="41">
                  <c:v>-5.2123000000001141E-4</c:v>
                </c:pt>
                <c:pt idx="42">
                  <c:v>-1.0662000000000171E-3</c:v>
                </c:pt>
                <c:pt idx="43">
                  <c:v>5.6874999999997899E-4</c:v>
                </c:pt>
                <c:pt idx="44">
                  <c:v>-1.3625000000000442E-4</c:v>
                </c:pt>
                <c:pt idx="45">
                  <c:v>-2.9125200000000018E-3</c:v>
                </c:pt>
                <c:pt idx="46">
                  <c:v>6.7253999999999925E-4</c:v>
                </c:pt>
                <c:pt idx="47">
                  <c:v>5.3754000000000302E-4</c:v>
                </c:pt>
                <c:pt idx="48">
                  <c:v>-8.5504000000000135E-4</c:v>
                </c:pt>
                <c:pt idx="49">
                  <c:v>5.3625000000001588E-4</c:v>
                </c:pt>
                <c:pt idx="50">
                  <c:v>-1.5925099999999914E-3</c:v>
                </c:pt>
                <c:pt idx="51">
                  <c:v>4.0502000000000593E-4</c:v>
                </c:pt>
                <c:pt idx="52">
                  <c:v>2.1337200000000056E-3</c:v>
                </c:pt>
                <c:pt idx="53">
                  <c:v>4.3779999999993269E-5</c:v>
                </c:pt>
                <c:pt idx="54">
                  <c:v>-7.9000000000001291E-4</c:v>
                </c:pt>
                <c:pt idx="55">
                  <c:v>5.4002000000000216E-4</c:v>
                </c:pt>
                <c:pt idx="56">
                  <c:v>9.77509999999987E-4</c:v>
                </c:pt>
                <c:pt idx="57">
                  <c:v>1.0611999999999844E-3</c:v>
                </c:pt>
                <c:pt idx="58">
                  <c:v>2.2312800000000022E-3</c:v>
                </c:pt>
                <c:pt idx="59">
                  <c:v>2.1812700000000129E-3</c:v>
                </c:pt>
                <c:pt idx="60">
                  <c:v>1.7311999999999883E-3</c:v>
                </c:pt>
                <c:pt idx="61">
                  <c:v>2.93874999999999E-3</c:v>
                </c:pt>
                <c:pt idx="62">
                  <c:v>2.5774999999999826E-3</c:v>
                </c:pt>
                <c:pt idx="63">
                  <c:v>4.8037599999999903E-3</c:v>
                </c:pt>
                <c:pt idx="64">
                  <c:v>4.2587299999999884E-3</c:v>
                </c:pt>
                <c:pt idx="65">
                  <c:v>3.4574699999999903E-3</c:v>
                </c:pt>
                <c:pt idx="66">
                  <c:v>2.4062599999999934E-3</c:v>
                </c:pt>
                <c:pt idx="67">
                  <c:v>3.4150000000000014E-3</c:v>
                </c:pt>
                <c:pt idx="68">
                  <c:v>4.156259999999995E-3</c:v>
                </c:pt>
                <c:pt idx="69">
                  <c:v>3.4037500000000109E-3</c:v>
                </c:pt>
                <c:pt idx="70">
                  <c:v>3.5512600000000005E-3</c:v>
                </c:pt>
                <c:pt idx="71">
                  <c:v>1.0037599999999924E-3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'T18-2'!$V$2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'T18-2'!$C$3:$C$74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'T18-2'!$V$3:$V$74</c:f>
              <c:numCache>
                <c:formatCode>0.000000</c:formatCode>
                <c:ptCount val="72"/>
                <c:pt idx="0">
                  <c:v>1.0737200000000002E-3</c:v>
                </c:pt>
                <c:pt idx="1">
                  <c:v>1.6112600000000032E-3</c:v>
                </c:pt>
                <c:pt idx="2">
                  <c:v>2.0075600000000193E-3</c:v>
                </c:pt>
                <c:pt idx="3">
                  <c:v>2.4762400000000184E-3</c:v>
                </c:pt>
                <c:pt idx="4">
                  <c:v>2.1150100000000283E-3</c:v>
                </c:pt>
                <c:pt idx="5">
                  <c:v>1.297500000000007E-3</c:v>
                </c:pt>
                <c:pt idx="6">
                  <c:v>2.848750000000011E-3</c:v>
                </c:pt>
                <c:pt idx="7">
                  <c:v>3.5387300000000455E-3</c:v>
                </c:pt>
                <c:pt idx="8">
                  <c:v>3.3099999999999796E-3</c:v>
                </c:pt>
                <c:pt idx="9">
                  <c:v>2.2186799999999729E-3</c:v>
                </c:pt>
                <c:pt idx="10">
                  <c:v>1.9575500000000301E-3</c:v>
                </c:pt>
                <c:pt idx="11">
                  <c:v>2.5299200000000188E-3</c:v>
                </c:pt>
                <c:pt idx="12">
                  <c:v>3.0849600000000255E-3</c:v>
                </c:pt>
                <c:pt idx="13">
                  <c:v>3.1349700000000147E-3</c:v>
                </c:pt>
                <c:pt idx="14">
                  <c:v>2.4312499999999959E-3</c:v>
                </c:pt>
                <c:pt idx="15">
                  <c:v>2.8774999999999773E-3</c:v>
                </c:pt>
                <c:pt idx="16">
                  <c:v>2.0249500000000253E-3</c:v>
                </c:pt>
                <c:pt idx="17">
                  <c:v>1.0349599999999737E-3</c:v>
                </c:pt>
                <c:pt idx="18">
                  <c:v>2.2174999999999834E-3</c:v>
                </c:pt>
                <c:pt idx="19">
                  <c:v>2.5850799999999619E-3</c:v>
                </c:pt>
                <c:pt idx="20">
                  <c:v>1.5037999999999996E-3</c:v>
                </c:pt>
                <c:pt idx="21">
                  <c:v>1.5850300000000428E-3</c:v>
                </c:pt>
                <c:pt idx="22">
                  <c:v>2.5399600000000078E-3</c:v>
                </c:pt>
                <c:pt idx="23">
                  <c:v>-6.2480000000031399E-5</c:v>
                </c:pt>
                <c:pt idx="24">
                  <c:v>1.9875100000000256E-3</c:v>
                </c:pt>
                <c:pt idx="25">
                  <c:v>1.3506000000002016E-4</c:v>
                </c:pt>
                <c:pt idx="26">
                  <c:v>2.8950500000000101E-3</c:v>
                </c:pt>
                <c:pt idx="27">
                  <c:v>-3.9624999999998689E-4</c:v>
                </c:pt>
                <c:pt idx="28">
                  <c:v>9.7375000000005096E-4</c:v>
                </c:pt>
                <c:pt idx="29">
                  <c:v>-1.2500000000004174E-4</c:v>
                </c:pt>
                <c:pt idx="30">
                  <c:v>4.8995000000001676E-4</c:v>
                </c:pt>
                <c:pt idx="31">
                  <c:v>1.1870000000002712E-4</c:v>
                </c:pt>
                <c:pt idx="32">
                  <c:v>-1.2911999999999924E-3</c:v>
                </c:pt>
                <c:pt idx="33">
                  <c:v>4.4257999999997022E-4</c:v>
                </c:pt>
                <c:pt idx="34">
                  <c:v>-3.4125000000001515E-4</c:v>
                </c:pt>
                <c:pt idx="35">
                  <c:v>-1.559900000000003E-3</c:v>
                </c:pt>
                <c:pt idx="36">
                  <c:v>-2.1487000000000034E-3</c:v>
                </c:pt>
                <c:pt idx="37">
                  <c:v>-6.1505000000000587E-4</c:v>
                </c:pt>
                <c:pt idx="38">
                  <c:v>-4.4074799999999636E-3</c:v>
                </c:pt>
                <c:pt idx="39">
                  <c:v>-3.3187999999999551E-3</c:v>
                </c:pt>
                <c:pt idx="40">
                  <c:v>-4.5688000000000395E-3</c:v>
                </c:pt>
                <c:pt idx="41">
                  <c:v>-1.8075000000000174E-3</c:v>
                </c:pt>
                <c:pt idx="42">
                  <c:v>-4.9400100000000502E-3</c:v>
                </c:pt>
                <c:pt idx="43">
                  <c:v>-1.7149899999999718E-3</c:v>
                </c:pt>
                <c:pt idx="44">
                  <c:v>-3.0787999999999927E-3</c:v>
                </c:pt>
                <c:pt idx="45">
                  <c:v>-1.7911999999999928E-3</c:v>
                </c:pt>
                <c:pt idx="46">
                  <c:v>-3.0674499999999716E-3</c:v>
                </c:pt>
                <c:pt idx="47">
                  <c:v>-3.1074999999999853E-3</c:v>
                </c:pt>
                <c:pt idx="48">
                  <c:v>-3.5125500000000032E-3</c:v>
                </c:pt>
                <c:pt idx="49">
                  <c:v>-3.3661999999999859E-3</c:v>
                </c:pt>
                <c:pt idx="50">
                  <c:v>-2.3062499999999542E-3</c:v>
                </c:pt>
                <c:pt idx="51">
                  <c:v>-4.1387399999999741E-3</c:v>
                </c:pt>
                <c:pt idx="52">
                  <c:v>-3.9712199999999975E-3</c:v>
                </c:pt>
                <c:pt idx="53">
                  <c:v>-3.9137000000000199E-3</c:v>
                </c:pt>
                <c:pt idx="54">
                  <c:v>-4.2737999999999943E-3</c:v>
                </c:pt>
                <c:pt idx="55">
                  <c:v>-3.1900499999999998E-3</c:v>
                </c:pt>
                <c:pt idx="56">
                  <c:v>-3.4887000000000112E-3</c:v>
                </c:pt>
                <c:pt idx="57">
                  <c:v>-3.0662000000000189E-3</c:v>
                </c:pt>
                <c:pt idx="58">
                  <c:v>-2.907549999999981E-3</c:v>
                </c:pt>
                <c:pt idx="59">
                  <c:v>-1.3224600000000253E-3</c:v>
                </c:pt>
                <c:pt idx="60">
                  <c:v>-8.8000999999998664E-4</c:v>
                </c:pt>
                <c:pt idx="61">
                  <c:v>-7.7130000000003029E-4</c:v>
                </c:pt>
                <c:pt idx="62">
                  <c:v>-2.0224499999999535E-3</c:v>
                </c:pt>
                <c:pt idx="63">
                  <c:v>-2.8712699999999813E-3</c:v>
                </c:pt>
                <c:pt idx="64">
                  <c:v>-1.332449999999985E-3</c:v>
                </c:pt>
                <c:pt idx="65">
                  <c:v>-5.2625000000000588E-4</c:v>
                </c:pt>
                <c:pt idx="66">
                  <c:v>-1.3112599999999808E-3</c:v>
                </c:pt>
                <c:pt idx="67">
                  <c:v>-4.7750000000001958E-4</c:v>
                </c:pt>
                <c:pt idx="68">
                  <c:v>-4.0871000000003432E-4</c:v>
                </c:pt>
                <c:pt idx="69">
                  <c:v>1.0875999999998553E-4</c:v>
                </c:pt>
                <c:pt idx="70">
                  <c:v>-9.8800000000009991E-5</c:v>
                </c:pt>
                <c:pt idx="71">
                  <c:v>2.7626000000002815E-4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'T18-2'!$L$2</c15:sqref>
                        </c15:formulaRef>
                      </c:ext>
                    </c:extLst>
                    <c:strCache>
                      <c:ptCount val="1"/>
                      <c:pt idx="0">
                        <c:v>tC_prumer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'T18-2'!$C$3:$C$74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  <c:pt idx="21">
                        <c:v>105</c:v>
                      </c:pt>
                      <c:pt idx="22">
                        <c:v>110</c:v>
                      </c:pt>
                      <c:pt idx="23">
                        <c:v>115</c:v>
                      </c:pt>
                      <c:pt idx="24">
                        <c:v>120</c:v>
                      </c:pt>
                      <c:pt idx="25">
                        <c:v>125</c:v>
                      </c:pt>
                      <c:pt idx="26">
                        <c:v>130</c:v>
                      </c:pt>
                      <c:pt idx="27">
                        <c:v>135</c:v>
                      </c:pt>
                      <c:pt idx="28">
                        <c:v>140</c:v>
                      </c:pt>
                      <c:pt idx="29">
                        <c:v>145</c:v>
                      </c:pt>
                      <c:pt idx="30">
                        <c:v>150</c:v>
                      </c:pt>
                      <c:pt idx="31">
                        <c:v>155</c:v>
                      </c:pt>
                      <c:pt idx="32">
                        <c:v>160</c:v>
                      </c:pt>
                      <c:pt idx="33">
                        <c:v>165</c:v>
                      </c:pt>
                      <c:pt idx="34">
                        <c:v>170</c:v>
                      </c:pt>
                      <c:pt idx="35">
                        <c:v>175</c:v>
                      </c:pt>
                      <c:pt idx="36">
                        <c:v>180</c:v>
                      </c:pt>
                      <c:pt idx="37">
                        <c:v>185</c:v>
                      </c:pt>
                      <c:pt idx="38">
                        <c:v>190</c:v>
                      </c:pt>
                      <c:pt idx="39">
                        <c:v>195</c:v>
                      </c:pt>
                      <c:pt idx="40">
                        <c:v>200</c:v>
                      </c:pt>
                      <c:pt idx="41">
                        <c:v>205</c:v>
                      </c:pt>
                      <c:pt idx="42">
                        <c:v>210</c:v>
                      </c:pt>
                      <c:pt idx="43">
                        <c:v>215</c:v>
                      </c:pt>
                      <c:pt idx="44">
                        <c:v>220</c:v>
                      </c:pt>
                      <c:pt idx="45">
                        <c:v>225</c:v>
                      </c:pt>
                      <c:pt idx="46">
                        <c:v>230</c:v>
                      </c:pt>
                      <c:pt idx="47">
                        <c:v>235</c:v>
                      </c:pt>
                      <c:pt idx="48">
                        <c:v>240</c:v>
                      </c:pt>
                      <c:pt idx="49">
                        <c:v>245</c:v>
                      </c:pt>
                      <c:pt idx="50">
                        <c:v>250</c:v>
                      </c:pt>
                      <c:pt idx="51">
                        <c:v>255</c:v>
                      </c:pt>
                      <c:pt idx="52">
                        <c:v>260</c:v>
                      </c:pt>
                      <c:pt idx="53">
                        <c:v>265</c:v>
                      </c:pt>
                      <c:pt idx="54">
                        <c:v>270</c:v>
                      </c:pt>
                      <c:pt idx="55">
                        <c:v>275</c:v>
                      </c:pt>
                      <c:pt idx="56">
                        <c:v>280</c:v>
                      </c:pt>
                      <c:pt idx="57">
                        <c:v>285</c:v>
                      </c:pt>
                      <c:pt idx="58">
                        <c:v>290</c:v>
                      </c:pt>
                      <c:pt idx="59">
                        <c:v>295</c:v>
                      </c:pt>
                      <c:pt idx="60">
                        <c:v>300</c:v>
                      </c:pt>
                      <c:pt idx="61">
                        <c:v>305</c:v>
                      </c:pt>
                      <c:pt idx="62">
                        <c:v>310</c:v>
                      </c:pt>
                      <c:pt idx="63">
                        <c:v>315</c:v>
                      </c:pt>
                      <c:pt idx="64">
                        <c:v>320</c:v>
                      </c:pt>
                      <c:pt idx="65">
                        <c:v>325</c:v>
                      </c:pt>
                      <c:pt idx="66">
                        <c:v>330</c:v>
                      </c:pt>
                      <c:pt idx="67">
                        <c:v>335</c:v>
                      </c:pt>
                      <c:pt idx="68">
                        <c:v>340</c:v>
                      </c:pt>
                      <c:pt idx="69">
                        <c:v>345</c:v>
                      </c:pt>
                      <c:pt idx="70">
                        <c:v>350</c:v>
                      </c:pt>
                      <c:pt idx="71">
                        <c:v>355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'T18-2'!$L$3:$L$18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22.21</c:v>
                      </c:pt>
                      <c:pt idx="1">
                        <c:v>22.23</c:v>
                      </c:pt>
                      <c:pt idx="2">
                        <c:v>22.22</c:v>
                      </c:pt>
                      <c:pt idx="3">
                        <c:v>22.2</c:v>
                      </c:pt>
                      <c:pt idx="4">
                        <c:v>22.24</c:v>
                      </c:pt>
                      <c:pt idx="5">
                        <c:v>22.2</c:v>
                      </c:pt>
                      <c:pt idx="6">
                        <c:v>22.24</c:v>
                      </c:pt>
                      <c:pt idx="7">
                        <c:v>22.18</c:v>
                      </c:pt>
                      <c:pt idx="8">
                        <c:v>22.22</c:v>
                      </c:pt>
                      <c:pt idx="9">
                        <c:v>22.19</c:v>
                      </c:pt>
                      <c:pt idx="10">
                        <c:v>22.27</c:v>
                      </c:pt>
                      <c:pt idx="11">
                        <c:v>22.21</c:v>
                      </c:pt>
                      <c:pt idx="12">
                        <c:v>22.18</c:v>
                      </c:pt>
                      <c:pt idx="13">
                        <c:v>22.22</c:v>
                      </c:pt>
                      <c:pt idx="14">
                        <c:v>22.2</c:v>
                      </c:pt>
                      <c:pt idx="15">
                        <c:v>22.16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'T18-2'!$O$2</c15:sqref>
                        </c15:formulaRef>
                      </c:ext>
                    </c:extLst>
                    <c:strCache>
                      <c:ptCount val="1"/>
                      <c:pt idx="0">
                        <c:v>axC_prumer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'T18-2'!$C$3:$C$74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  <c:pt idx="21">
                        <c:v>105</c:v>
                      </c:pt>
                      <c:pt idx="22">
                        <c:v>110</c:v>
                      </c:pt>
                      <c:pt idx="23">
                        <c:v>115</c:v>
                      </c:pt>
                      <c:pt idx="24">
                        <c:v>120</c:v>
                      </c:pt>
                      <c:pt idx="25">
                        <c:v>125</c:v>
                      </c:pt>
                      <c:pt idx="26">
                        <c:v>130</c:v>
                      </c:pt>
                      <c:pt idx="27">
                        <c:v>135</c:v>
                      </c:pt>
                      <c:pt idx="28">
                        <c:v>140</c:v>
                      </c:pt>
                      <c:pt idx="29">
                        <c:v>145</c:v>
                      </c:pt>
                      <c:pt idx="30">
                        <c:v>150</c:v>
                      </c:pt>
                      <c:pt idx="31">
                        <c:v>155</c:v>
                      </c:pt>
                      <c:pt idx="32">
                        <c:v>160</c:v>
                      </c:pt>
                      <c:pt idx="33">
                        <c:v>165</c:v>
                      </c:pt>
                      <c:pt idx="34">
                        <c:v>170</c:v>
                      </c:pt>
                      <c:pt idx="35">
                        <c:v>175</c:v>
                      </c:pt>
                      <c:pt idx="36">
                        <c:v>180</c:v>
                      </c:pt>
                      <c:pt idx="37">
                        <c:v>185</c:v>
                      </c:pt>
                      <c:pt idx="38">
                        <c:v>190</c:v>
                      </c:pt>
                      <c:pt idx="39">
                        <c:v>195</c:v>
                      </c:pt>
                      <c:pt idx="40">
                        <c:v>200</c:v>
                      </c:pt>
                      <c:pt idx="41">
                        <c:v>205</c:v>
                      </c:pt>
                      <c:pt idx="42">
                        <c:v>210</c:v>
                      </c:pt>
                      <c:pt idx="43">
                        <c:v>215</c:v>
                      </c:pt>
                      <c:pt idx="44">
                        <c:v>220</c:v>
                      </c:pt>
                      <c:pt idx="45">
                        <c:v>225</c:v>
                      </c:pt>
                      <c:pt idx="46">
                        <c:v>230</c:v>
                      </c:pt>
                      <c:pt idx="47">
                        <c:v>235</c:v>
                      </c:pt>
                      <c:pt idx="48">
                        <c:v>240</c:v>
                      </c:pt>
                      <c:pt idx="49">
                        <c:v>245</c:v>
                      </c:pt>
                      <c:pt idx="50">
                        <c:v>250</c:v>
                      </c:pt>
                      <c:pt idx="51">
                        <c:v>255</c:v>
                      </c:pt>
                      <c:pt idx="52">
                        <c:v>260</c:v>
                      </c:pt>
                      <c:pt idx="53">
                        <c:v>265</c:v>
                      </c:pt>
                      <c:pt idx="54">
                        <c:v>270</c:v>
                      </c:pt>
                      <c:pt idx="55">
                        <c:v>275</c:v>
                      </c:pt>
                      <c:pt idx="56">
                        <c:v>280</c:v>
                      </c:pt>
                      <c:pt idx="57">
                        <c:v>285</c:v>
                      </c:pt>
                      <c:pt idx="58">
                        <c:v>290</c:v>
                      </c:pt>
                      <c:pt idx="59">
                        <c:v>295</c:v>
                      </c:pt>
                      <c:pt idx="60">
                        <c:v>300</c:v>
                      </c:pt>
                      <c:pt idx="61">
                        <c:v>305</c:v>
                      </c:pt>
                      <c:pt idx="62">
                        <c:v>310</c:v>
                      </c:pt>
                      <c:pt idx="63">
                        <c:v>315</c:v>
                      </c:pt>
                      <c:pt idx="64">
                        <c:v>320</c:v>
                      </c:pt>
                      <c:pt idx="65">
                        <c:v>325</c:v>
                      </c:pt>
                      <c:pt idx="66">
                        <c:v>330</c:v>
                      </c:pt>
                      <c:pt idx="67">
                        <c:v>335</c:v>
                      </c:pt>
                      <c:pt idx="68">
                        <c:v>340</c:v>
                      </c:pt>
                      <c:pt idx="69">
                        <c:v>345</c:v>
                      </c:pt>
                      <c:pt idx="70">
                        <c:v>350</c:v>
                      </c:pt>
                      <c:pt idx="71">
                        <c:v>355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'T18-2'!$O$3:$O$18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2.2353149999999999E-2</c:v>
                      </c:pt>
                      <c:pt idx="1">
                        <c:v>2.3402220000000001E-2</c:v>
                      </c:pt>
                      <c:pt idx="2">
                        <c:v>2.1951539999999999E-2</c:v>
                      </c:pt>
                      <c:pt idx="3">
                        <c:v>2.182251E-2</c:v>
                      </c:pt>
                      <c:pt idx="4">
                        <c:v>2.1390989999999999E-2</c:v>
                      </c:pt>
                      <c:pt idx="5">
                        <c:v>2.216272E-2</c:v>
                      </c:pt>
                      <c:pt idx="6">
                        <c:v>2.135254E-2</c:v>
                      </c:pt>
                      <c:pt idx="7">
                        <c:v>2.1100580000000001E-2</c:v>
                      </c:pt>
                      <c:pt idx="8">
                        <c:v>2.1214230000000001E-2</c:v>
                      </c:pt>
                      <c:pt idx="9">
                        <c:v>2.1030030000000002E-2</c:v>
                      </c:pt>
                      <c:pt idx="10">
                        <c:v>2.197986E-2</c:v>
                      </c:pt>
                      <c:pt idx="11">
                        <c:v>2.116931E-2</c:v>
                      </c:pt>
                      <c:pt idx="12">
                        <c:v>2.1282349999999998E-2</c:v>
                      </c:pt>
                      <c:pt idx="13">
                        <c:v>2.1208500000000002E-2</c:v>
                      </c:pt>
                      <c:pt idx="14">
                        <c:v>2.2519649999999999E-2</c:v>
                      </c:pt>
                      <c:pt idx="15">
                        <c:v>2.1757329999999998E-2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'T18-2'!$AC$2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'T18-2'!$C$3:$C$74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'T18-2'!$AC$3:$AC$74</c:f>
              <c:numCache>
                <c:formatCode>0.00</c:formatCode>
                <c:ptCount val="72"/>
                <c:pt idx="0">
                  <c:v>1.6294368923671532</c:v>
                </c:pt>
                <c:pt idx="1">
                  <c:v>1.6898820414190756</c:v>
                </c:pt>
                <c:pt idx="2">
                  <c:v>1.6514903607347537</c:v>
                </c:pt>
                <c:pt idx="3">
                  <c:v>1.6439746418901084</c:v>
                </c:pt>
                <c:pt idx="4">
                  <c:v>1.6646076064195581</c:v>
                </c:pt>
                <c:pt idx="5">
                  <c:v>1.7279851415821463</c:v>
                </c:pt>
                <c:pt idx="6">
                  <c:v>1.664446418863111</c:v>
                </c:pt>
                <c:pt idx="7">
                  <c:v>1.6582895596883398</c:v>
                </c:pt>
                <c:pt idx="8">
                  <c:v>1.6602131420754607</c:v>
                </c:pt>
                <c:pt idx="9">
                  <c:v>1.6656259356529777</c:v>
                </c:pt>
                <c:pt idx="10">
                  <c:v>1.7124174686661116</c:v>
                </c:pt>
                <c:pt idx="11">
                  <c:v>1.653148119501842</c:v>
                </c:pt>
                <c:pt idx="12">
                  <c:v>1.6521067444500834</c:v>
                </c:pt>
                <c:pt idx="13">
                  <c:v>1.641224813091783</c:v>
                </c:pt>
                <c:pt idx="14">
                  <c:v>1.6915651518636323</c:v>
                </c:pt>
                <c:pt idx="15">
                  <c:v>1.6272341653115399</c:v>
                </c:pt>
                <c:pt idx="16">
                  <c:v>1.6234807220932195</c:v>
                </c:pt>
                <c:pt idx="17">
                  <c:v>1.6636282664121236</c:v>
                </c:pt>
                <c:pt idx="18">
                  <c:v>1.662663786069007</c:v>
                </c:pt>
                <c:pt idx="19">
                  <c:v>1.5754867948035058</c:v>
                </c:pt>
                <c:pt idx="20">
                  <c:v>1.5470810666402042</c:v>
                </c:pt>
                <c:pt idx="21">
                  <c:v>1.5502788920282644</c:v>
                </c:pt>
                <c:pt idx="22">
                  <c:v>1.5738579494728686</c:v>
                </c:pt>
                <c:pt idx="23">
                  <c:v>1.4998830119796949</c:v>
                </c:pt>
                <c:pt idx="24">
                  <c:v>1.5377135020923896</c:v>
                </c:pt>
                <c:pt idx="25">
                  <c:v>1.4711057801559133</c:v>
                </c:pt>
                <c:pt idx="26">
                  <c:v>1.4404973506712344</c:v>
                </c:pt>
                <c:pt idx="27">
                  <c:v>1.430410644435649</c:v>
                </c:pt>
                <c:pt idx="28">
                  <c:v>1.4106455965313638</c:v>
                </c:pt>
                <c:pt idx="29">
                  <c:v>1.3765040905246479</c:v>
                </c:pt>
                <c:pt idx="30">
                  <c:v>1.4102663775970832</c:v>
                </c:pt>
                <c:pt idx="31">
                  <c:v>1.3526586398883944</c:v>
                </c:pt>
                <c:pt idx="32">
                  <c:v>1.3773790552466354</c:v>
                </c:pt>
                <c:pt idx="33">
                  <c:v>1.3153882159486825</c:v>
                </c:pt>
                <c:pt idx="34">
                  <c:v>1.2989451938636178</c:v>
                </c:pt>
                <c:pt idx="35">
                  <c:v>1.33249946186873</c:v>
                </c:pt>
                <c:pt idx="36">
                  <c:v>1.2674260803681077</c:v>
                </c:pt>
                <c:pt idx="37">
                  <c:v>1.2489671689934814</c:v>
                </c:pt>
                <c:pt idx="38">
                  <c:v>1.2358960618856085</c:v>
                </c:pt>
                <c:pt idx="39">
                  <c:v>1.2230916469997439</c:v>
                </c:pt>
                <c:pt idx="40">
                  <c:v>1.2099239012770215</c:v>
                </c:pt>
                <c:pt idx="41">
                  <c:v>1.2304374485741025</c:v>
                </c:pt>
                <c:pt idx="42">
                  <c:v>1.2175247218066654</c:v>
                </c:pt>
                <c:pt idx="43">
                  <c:v>1.2293703346656033</c:v>
                </c:pt>
                <c:pt idx="44">
                  <c:v>1.2548832840806636</c:v>
                </c:pt>
                <c:pt idx="45">
                  <c:v>1.2741826434173378</c:v>
                </c:pt>
                <c:pt idx="46">
                  <c:v>1.2194912775645868</c:v>
                </c:pt>
                <c:pt idx="47">
                  <c:v>1.2719376926302817</c:v>
                </c:pt>
                <c:pt idx="48">
                  <c:v>1.2968942965248376</c:v>
                </c:pt>
                <c:pt idx="49">
                  <c:v>1.2818599764719414</c:v>
                </c:pt>
                <c:pt idx="50">
                  <c:v>1.2611460191370998</c:v>
                </c:pt>
                <c:pt idx="51">
                  <c:v>1.3453273506527372</c:v>
                </c:pt>
                <c:pt idx="52">
                  <c:v>1.3391488237141753</c:v>
                </c:pt>
                <c:pt idx="53">
                  <c:v>1.3218582420897149</c:v>
                </c:pt>
                <c:pt idx="54">
                  <c:v>1.3366700007084913</c:v>
                </c:pt>
                <c:pt idx="55">
                  <c:v>1.3868532331505383</c:v>
                </c:pt>
                <c:pt idx="56">
                  <c:v>1.367423056193573</c:v>
                </c:pt>
                <c:pt idx="57">
                  <c:v>1.4460018897269726</c:v>
                </c:pt>
                <c:pt idx="58">
                  <c:v>1.4058966095984049</c:v>
                </c:pt>
                <c:pt idx="59">
                  <c:v>1.4197274878036563</c:v>
                </c:pt>
                <c:pt idx="60">
                  <c:v>1.4520239910883144</c:v>
                </c:pt>
                <c:pt idx="61">
                  <c:v>1.5234416771174095</c:v>
                </c:pt>
                <c:pt idx="62">
                  <c:v>1.4986614817631481</c:v>
                </c:pt>
                <c:pt idx="63">
                  <c:v>1.5075047129573196</c:v>
                </c:pt>
                <c:pt idx="64">
                  <c:v>1.5155231877215507</c:v>
                </c:pt>
                <c:pt idx="65">
                  <c:v>1.5332410033853572</c:v>
                </c:pt>
                <c:pt idx="66">
                  <c:v>1.5417150597218239</c:v>
                </c:pt>
                <c:pt idx="67">
                  <c:v>1.5789891403885914</c:v>
                </c:pt>
                <c:pt idx="68">
                  <c:v>1.5738595934599267</c:v>
                </c:pt>
                <c:pt idx="69">
                  <c:v>1.5894749062888911</c:v>
                </c:pt>
                <c:pt idx="70">
                  <c:v>1.6786038060740636</c:v>
                </c:pt>
                <c:pt idx="71">
                  <c:v>1.6222326678693861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'T18-2'!$AD$2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'T18-2'!$C$3:$C$74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'T18-2'!$AD$3:$AD$74</c:f>
              <c:numCache>
                <c:formatCode>0.00</c:formatCode>
                <c:ptCount val="72"/>
                <c:pt idx="0">
                  <c:v>1.2826005026380798</c:v>
                </c:pt>
                <c:pt idx="1">
                  <c:v>1.3432794083593949</c:v>
                </c:pt>
                <c:pt idx="2">
                  <c:v>1.2616220768694242</c:v>
                </c:pt>
                <c:pt idx="3">
                  <c:v>1.2550910278027572</c:v>
                </c:pt>
                <c:pt idx="4">
                  <c:v>1.2318375459328816</c:v>
                </c:pt>
                <c:pt idx="5">
                  <c:v>1.2792058382480576</c:v>
                </c:pt>
                <c:pt idx="6">
                  <c:v>1.2351800217565043</c:v>
                </c:pt>
                <c:pt idx="7">
                  <c:v>1.2237710379347149</c:v>
                </c:pt>
                <c:pt idx="8">
                  <c:v>1.2331927125033939</c:v>
                </c:pt>
                <c:pt idx="9">
                  <c:v>1.228286408870541</c:v>
                </c:pt>
                <c:pt idx="10">
                  <c:v>1.2858182891375562</c:v>
                </c:pt>
                <c:pt idx="11">
                  <c:v>1.2421532546313421</c:v>
                </c:pt>
                <c:pt idx="12">
                  <c:v>1.2543663427323837</c:v>
                </c:pt>
                <c:pt idx="13">
                  <c:v>1.2537919334266461</c:v>
                </c:pt>
                <c:pt idx="14">
                  <c:v>1.3359262521092568</c:v>
                </c:pt>
                <c:pt idx="15">
                  <c:v>1.2943548262473505</c:v>
                </c:pt>
                <c:pt idx="16">
                  <c:v>1.2929628460028271</c:v>
                </c:pt>
                <c:pt idx="17">
                  <c:v>1.3746360496135941</c:v>
                </c:pt>
                <c:pt idx="18">
                  <c:v>1.4039267178122521</c:v>
                </c:pt>
                <c:pt idx="19">
                  <c:v>1.358273499451685</c:v>
                </c:pt>
                <c:pt idx="20">
                  <c:v>1.398677448502303</c:v>
                </c:pt>
                <c:pt idx="21">
                  <c:v>1.402509159195604</c:v>
                </c:pt>
                <c:pt idx="22">
                  <c:v>1.4731127878856309</c:v>
                </c:pt>
                <c:pt idx="23">
                  <c:v>1.4257397752690804</c:v>
                </c:pt>
                <c:pt idx="24">
                  <c:v>1.5133745044195779</c:v>
                </c:pt>
                <c:pt idx="25">
                  <c:v>1.4813387991222902</c:v>
                </c:pt>
                <c:pt idx="26">
                  <c:v>1.5017664050742163</c:v>
                </c:pt>
                <c:pt idx="27">
                  <c:v>1.5262012960851485</c:v>
                </c:pt>
                <c:pt idx="28">
                  <c:v>1.5460179955461257</c:v>
                </c:pt>
                <c:pt idx="29">
                  <c:v>1.5410170102087193</c:v>
                </c:pt>
                <c:pt idx="30">
                  <c:v>1.642498660884252</c:v>
                </c:pt>
                <c:pt idx="31">
                  <c:v>1.5936936650446971</c:v>
                </c:pt>
                <c:pt idx="32">
                  <c:v>1.6542808642232607</c:v>
                </c:pt>
                <c:pt idx="33">
                  <c:v>1.6013789110646728</c:v>
                </c:pt>
                <c:pt idx="34">
                  <c:v>1.6181978814029712</c:v>
                </c:pt>
                <c:pt idx="35">
                  <c:v>1.6893673620695424</c:v>
                </c:pt>
                <c:pt idx="36">
                  <c:v>1.6433003492704403</c:v>
                </c:pt>
                <c:pt idx="37">
                  <c:v>1.6399283357690702</c:v>
                </c:pt>
                <c:pt idx="38">
                  <c:v>1.6620093660976256</c:v>
                </c:pt>
                <c:pt idx="39">
                  <c:v>1.6597201203865812</c:v>
                </c:pt>
                <c:pt idx="40">
                  <c:v>1.6594762871436251</c:v>
                </c:pt>
                <c:pt idx="41">
                  <c:v>1.6593152151928003</c:v>
                </c:pt>
                <c:pt idx="42">
                  <c:v>1.6637127177319193</c:v>
                </c:pt>
                <c:pt idx="43">
                  <c:v>1.6650536077234339</c:v>
                </c:pt>
                <c:pt idx="44">
                  <c:v>1.6678696718821768</c:v>
                </c:pt>
                <c:pt idx="45">
                  <c:v>1.7368543776022347</c:v>
                </c:pt>
                <c:pt idx="46">
                  <c:v>1.6541753672282791</c:v>
                </c:pt>
                <c:pt idx="47">
                  <c:v>1.7116122682556316</c:v>
                </c:pt>
                <c:pt idx="48">
                  <c:v>1.7325478237389003</c:v>
                </c:pt>
                <c:pt idx="49">
                  <c:v>1.7409375718780047</c:v>
                </c:pt>
                <c:pt idx="50">
                  <c:v>1.6571983517287008</c:v>
                </c:pt>
                <c:pt idx="51">
                  <c:v>1.7115705142057132</c:v>
                </c:pt>
                <c:pt idx="52">
                  <c:v>1.6988689097521426</c:v>
                </c:pt>
                <c:pt idx="53">
                  <c:v>1.6168729336558763</c:v>
                </c:pt>
                <c:pt idx="54">
                  <c:v>1.5990759244375821</c:v>
                </c:pt>
                <c:pt idx="55">
                  <c:v>1.6574047356191686</c:v>
                </c:pt>
                <c:pt idx="56">
                  <c:v>1.5924807100372427</c:v>
                </c:pt>
                <c:pt idx="57">
                  <c:v>1.6301720101460784</c:v>
                </c:pt>
                <c:pt idx="58">
                  <c:v>1.5462755139483064</c:v>
                </c:pt>
                <c:pt idx="59">
                  <c:v>1.5274576822679344</c:v>
                </c:pt>
                <c:pt idx="60">
                  <c:v>1.5254819577820229</c:v>
                </c:pt>
                <c:pt idx="61">
                  <c:v>1.556069630554199</c:v>
                </c:pt>
                <c:pt idx="62">
                  <c:v>1.4872122474588978</c:v>
                </c:pt>
                <c:pt idx="63">
                  <c:v>1.4592624021264327</c:v>
                </c:pt>
                <c:pt idx="64">
                  <c:v>1.4384419919934457</c:v>
                </c:pt>
                <c:pt idx="65">
                  <c:v>1.4007194682236477</c:v>
                </c:pt>
                <c:pt idx="66">
                  <c:v>1.3987175198845796</c:v>
                </c:pt>
                <c:pt idx="67">
                  <c:v>1.3664088246469377</c:v>
                </c:pt>
                <c:pt idx="68">
                  <c:v>1.3617438063596137</c:v>
                </c:pt>
                <c:pt idx="69">
                  <c:v>1.3331913269978972</c:v>
                </c:pt>
                <c:pt idx="70">
                  <c:v>1.371160792030627</c:v>
                </c:pt>
                <c:pt idx="71">
                  <c:v>1.3200444572539185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'T18-2'!$K$2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'T18-2'!$C$3:$C$74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'T18-2'!$K$3:$K$74</c:f>
              <c:numCache>
                <c:formatCode>0.00</c:formatCode>
                <c:ptCount val="72"/>
                <c:pt idx="0">
                  <c:v>22.22</c:v>
                </c:pt>
                <c:pt idx="1">
                  <c:v>22.22</c:v>
                </c:pt>
                <c:pt idx="2">
                  <c:v>22.23</c:v>
                </c:pt>
                <c:pt idx="3">
                  <c:v>22.21</c:v>
                </c:pt>
                <c:pt idx="4">
                  <c:v>22.25</c:v>
                </c:pt>
                <c:pt idx="5">
                  <c:v>22.19</c:v>
                </c:pt>
                <c:pt idx="6">
                  <c:v>22.23</c:v>
                </c:pt>
                <c:pt idx="7">
                  <c:v>22.19</c:v>
                </c:pt>
                <c:pt idx="8">
                  <c:v>22.22</c:v>
                </c:pt>
                <c:pt idx="9">
                  <c:v>22.19</c:v>
                </c:pt>
                <c:pt idx="10">
                  <c:v>22.26</c:v>
                </c:pt>
                <c:pt idx="11">
                  <c:v>22.21</c:v>
                </c:pt>
                <c:pt idx="12">
                  <c:v>22.17</c:v>
                </c:pt>
                <c:pt idx="13">
                  <c:v>22.2</c:v>
                </c:pt>
                <c:pt idx="14">
                  <c:v>22.19</c:v>
                </c:pt>
                <c:pt idx="15">
                  <c:v>22.16</c:v>
                </c:pt>
                <c:pt idx="16">
                  <c:v>22.17</c:v>
                </c:pt>
                <c:pt idx="17">
                  <c:v>22.22</c:v>
                </c:pt>
                <c:pt idx="18">
                  <c:v>22.23</c:v>
                </c:pt>
                <c:pt idx="19">
                  <c:v>22.2</c:v>
                </c:pt>
                <c:pt idx="20">
                  <c:v>22.22</c:v>
                </c:pt>
                <c:pt idx="21">
                  <c:v>22.21</c:v>
                </c:pt>
                <c:pt idx="22">
                  <c:v>22.2</c:v>
                </c:pt>
                <c:pt idx="23">
                  <c:v>22.21</c:v>
                </c:pt>
                <c:pt idx="24">
                  <c:v>22.26</c:v>
                </c:pt>
                <c:pt idx="25">
                  <c:v>22.22</c:v>
                </c:pt>
                <c:pt idx="26">
                  <c:v>22.23</c:v>
                </c:pt>
                <c:pt idx="27">
                  <c:v>22.2</c:v>
                </c:pt>
                <c:pt idx="28">
                  <c:v>22.24</c:v>
                </c:pt>
                <c:pt idx="29">
                  <c:v>22.23</c:v>
                </c:pt>
                <c:pt idx="30">
                  <c:v>22.23</c:v>
                </c:pt>
                <c:pt idx="31">
                  <c:v>22.22</c:v>
                </c:pt>
                <c:pt idx="32" formatCode="General">
                  <c:v>22.23</c:v>
                </c:pt>
                <c:pt idx="33" formatCode="General">
                  <c:v>22.19</c:v>
                </c:pt>
                <c:pt idx="34" formatCode="General">
                  <c:v>22.28</c:v>
                </c:pt>
                <c:pt idx="35" formatCode="General">
                  <c:v>22.25</c:v>
                </c:pt>
                <c:pt idx="36" formatCode="General">
                  <c:v>22.22</c:v>
                </c:pt>
                <c:pt idx="37" formatCode="General">
                  <c:v>22.25</c:v>
                </c:pt>
                <c:pt idx="38" formatCode="General">
                  <c:v>22.23</c:v>
                </c:pt>
                <c:pt idx="39" formatCode="General">
                  <c:v>22.19</c:v>
                </c:pt>
                <c:pt idx="40" formatCode="General">
                  <c:v>22.24</c:v>
                </c:pt>
                <c:pt idx="41" formatCode="General">
                  <c:v>22.2</c:v>
                </c:pt>
                <c:pt idx="42" formatCode="General">
                  <c:v>22.23</c:v>
                </c:pt>
                <c:pt idx="43" formatCode="General">
                  <c:v>22.17</c:v>
                </c:pt>
                <c:pt idx="44" formatCode="General">
                  <c:v>22.2</c:v>
                </c:pt>
                <c:pt idx="45" formatCode="General">
                  <c:v>22.23</c:v>
                </c:pt>
                <c:pt idx="46" formatCode="General">
                  <c:v>22.23</c:v>
                </c:pt>
                <c:pt idx="47" formatCode="General">
                  <c:v>22.24</c:v>
                </c:pt>
                <c:pt idx="48" formatCode="General">
                  <c:v>22.25</c:v>
                </c:pt>
                <c:pt idx="49" formatCode="General">
                  <c:v>22.23</c:v>
                </c:pt>
                <c:pt idx="50" formatCode="General">
                  <c:v>22.24</c:v>
                </c:pt>
                <c:pt idx="51" formatCode="General">
                  <c:v>22.22</c:v>
                </c:pt>
                <c:pt idx="52" formatCode="General">
                  <c:v>22.2</c:v>
                </c:pt>
                <c:pt idx="53" formatCode="General">
                  <c:v>22.18</c:v>
                </c:pt>
                <c:pt idx="54" formatCode="General">
                  <c:v>22.24</c:v>
                </c:pt>
                <c:pt idx="55" formatCode="General">
                  <c:v>22.21</c:v>
                </c:pt>
                <c:pt idx="56" formatCode="General">
                  <c:v>22.19</c:v>
                </c:pt>
                <c:pt idx="57" formatCode="General">
                  <c:v>22.21</c:v>
                </c:pt>
                <c:pt idx="58" formatCode="General">
                  <c:v>22.2</c:v>
                </c:pt>
                <c:pt idx="59" formatCode="General">
                  <c:v>22.17</c:v>
                </c:pt>
                <c:pt idx="60" formatCode="General">
                  <c:v>22.2</c:v>
                </c:pt>
                <c:pt idx="61" formatCode="General">
                  <c:v>22.22</c:v>
                </c:pt>
                <c:pt idx="62" formatCode="General">
                  <c:v>22.15</c:v>
                </c:pt>
                <c:pt idx="63" formatCode="General">
                  <c:v>22.2</c:v>
                </c:pt>
                <c:pt idx="64" formatCode="General">
                  <c:v>22.25</c:v>
                </c:pt>
                <c:pt idx="65" formatCode="General">
                  <c:v>22.26</c:v>
                </c:pt>
                <c:pt idx="66" formatCode="General">
                  <c:v>22.18</c:v>
                </c:pt>
                <c:pt idx="67" formatCode="General">
                  <c:v>22.23</c:v>
                </c:pt>
                <c:pt idx="68" formatCode="General">
                  <c:v>22.25</c:v>
                </c:pt>
                <c:pt idx="69" formatCode="General">
                  <c:v>22.24</c:v>
                </c:pt>
                <c:pt idx="70" formatCode="General">
                  <c:v>22.3</c:v>
                </c:pt>
                <c:pt idx="71" formatCode="General">
                  <c:v>22.26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'T18-2'!$L$2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'T18-2'!$C$3:$C$74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'T18-2'!$L$3:$L$74</c:f>
              <c:numCache>
                <c:formatCode>0.00</c:formatCode>
                <c:ptCount val="72"/>
                <c:pt idx="0">
                  <c:v>22.21</c:v>
                </c:pt>
                <c:pt idx="1">
                  <c:v>22.23</c:v>
                </c:pt>
                <c:pt idx="2">
                  <c:v>22.22</c:v>
                </c:pt>
                <c:pt idx="3">
                  <c:v>22.2</c:v>
                </c:pt>
                <c:pt idx="4">
                  <c:v>22.24</c:v>
                </c:pt>
                <c:pt idx="5">
                  <c:v>22.2</c:v>
                </c:pt>
                <c:pt idx="6">
                  <c:v>22.24</c:v>
                </c:pt>
                <c:pt idx="7">
                  <c:v>22.18</c:v>
                </c:pt>
                <c:pt idx="8">
                  <c:v>22.22</c:v>
                </c:pt>
                <c:pt idx="9">
                  <c:v>22.19</c:v>
                </c:pt>
                <c:pt idx="10">
                  <c:v>22.27</c:v>
                </c:pt>
                <c:pt idx="11">
                  <c:v>22.21</c:v>
                </c:pt>
                <c:pt idx="12">
                  <c:v>22.18</c:v>
                </c:pt>
                <c:pt idx="13">
                  <c:v>22.22</c:v>
                </c:pt>
                <c:pt idx="14">
                  <c:v>22.2</c:v>
                </c:pt>
                <c:pt idx="15">
                  <c:v>22.16</c:v>
                </c:pt>
                <c:pt idx="16">
                  <c:v>22.17</c:v>
                </c:pt>
                <c:pt idx="17">
                  <c:v>22.21</c:v>
                </c:pt>
                <c:pt idx="18">
                  <c:v>22.25</c:v>
                </c:pt>
                <c:pt idx="19">
                  <c:v>22.2</c:v>
                </c:pt>
                <c:pt idx="20">
                  <c:v>22.22</c:v>
                </c:pt>
                <c:pt idx="21">
                  <c:v>22.21</c:v>
                </c:pt>
                <c:pt idx="22">
                  <c:v>22.21</c:v>
                </c:pt>
                <c:pt idx="23">
                  <c:v>22.2</c:v>
                </c:pt>
                <c:pt idx="24">
                  <c:v>22.27</c:v>
                </c:pt>
                <c:pt idx="25">
                  <c:v>22.23</c:v>
                </c:pt>
                <c:pt idx="26">
                  <c:v>22.22</c:v>
                </c:pt>
                <c:pt idx="27">
                  <c:v>22.2</c:v>
                </c:pt>
                <c:pt idx="28">
                  <c:v>22.22</c:v>
                </c:pt>
                <c:pt idx="29">
                  <c:v>22.24</c:v>
                </c:pt>
                <c:pt idx="30">
                  <c:v>22.23</c:v>
                </c:pt>
                <c:pt idx="31">
                  <c:v>22.21</c:v>
                </c:pt>
                <c:pt idx="32" formatCode="General">
                  <c:v>22.22</c:v>
                </c:pt>
                <c:pt idx="33" formatCode="General">
                  <c:v>22.21</c:v>
                </c:pt>
                <c:pt idx="34" formatCode="General">
                  <c:v>22.28</c:v>
                </c:pt>
                <c:pt idx="35" formatCode="General">
                  <c:v>22.26</c:v>
                </c:pt>
                <c:pt idx="36" formatCode="General">
                  <c:v>22.21</c:v>
                </c:pt>
                <c:pt idx="37" formatCode="General">
                  <c:v>22.26</c:v>
                </c:pt>
                <c:pt idx="38" formatCode="General">
                  <c:v>22.22</c:v>
                </c:pt>
                <c:pt idx="39" formatCode="General">
                  <c:v>22.19</c:v>
                </c:pt>
                <c:pt idx="40" formatCode="General">
                  <c:v>22.25</c:v>
                </c:pt>
                <c:pt idx="41" formatCode="General">
                  <c:v>22.2</c:v>
                </c:pt>
                <c:pt idx="42" formatCode="General">
                  <c:v>22.23</c:v>
                </c:pt>
                <c:pt idx="43" formatCode="General">
                  <c:v>22.17</c:v>
                </c:pt>
                <c:pt idx="44" formatCode="General">
                  <c:v>22.19</c:v>
                </c:pt>
                <c:pt idx="45" formatCode="General">
                  <c:v>22.24</c:v>
                </c:pt>
                <c:pt idx="46" formatCode="General">
                  <c:v>22.24</c:v>
                </c:pt>
                <c:pt idx="47" formatCode="General">
                  <c:v>22.25</c:v>
                </c:pt>
                <c:pt idx="48" formatCode="General">
                  <c:v>22.26</c:v>
                </c:pt>
                <c:pt idx="49" formatCode="General">
                  <c:v>22.22</c:v>
                </c:pt>
                <c:pt idx="50" formatCode="General">
                  <c:v>22.25</c:v>
                </c:pt>
                <c:pt idx="51" formatCode="General">
                  <c:v>22.22</c:v>
                </c:pt>
                <c:pt idx="52" formatCode="General">
                  <c:v>22.2</c:v>
                </c:pt>
                <c:pt idx="53" formatCode="General">
                  <c:v>22.19</c:v>
                </c:pt>
                <c:pt idx="54" formatCode="General">
                  <c:v>22.22</c:v>
                </c:pt>
                <c:pt idx="55" formatCode="General">
                  <c:v>22.22</c:v>
                </c:pt>
                <c:pt idx="56" formatCode="General">
                  <c:v>22.19</c:v>
                </c:pt>
                <c:pt idx="57" formatCode="General">
                  <c:v>22.21</c:v>
                </c:pt>
                <c:pt idx="58" formatCode="General">
                  <c:v>22.21</c:v>
                </c:pt>
                <c:pt idx="59" formatCode="General">
                  <c:v>22.17</c:v>
                </c:pt>
                <c:pt idx="60" formatCode="General">
                  <c:v>22.21</c:v>
                </c:pt>
                <c:pt idx="61" formatCode="General">
                  <c:v>22.23</c:v>
                </c:pt>
                <c:pt idx="62" formatCode="General">
                  <c:v>22.16</c:v>
                </c:pt>
                <c:pt idx="63" formatCode="General">
                  <c:v>22.21</c:v>
                </c:pt>
                <c:pt idx="64" formatCode="General">
                  <c:v>22.25</c:v>
                </c:pt>
                <c:pt idx="65" formatCode="General">
                  <c:v>22.26</c:v>
                </c:pt>
                <c:pt idx="66" formatCode="General">
                  <c:v>22.18</c:v>
                </c:pt>
                <c:pt idx="67" formatCode="General">
                  <c:v>22.23</c:v>
                </c:pt>
                <c:pt idx="68" formatCode="General">
                  <c:v>22.24</c:v>
                </c:pt>
                <c:pt idx="69" formatCode="General">
                  <c:v>22.23</c:v>
                </c:pt>
                <c:pt idx="70" formatCode="General">
                  <c:v>22.29</c:v>
                </c:pt>
                <c:pt idx="71" formatCode="General">
                  <c:v>22.24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'T18-2'!$M$2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'T18-2'!$C$3:$C$74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'T18-2'!$M$3:$M$74</c:f>
              <c:numCache>
                <c:formatCode>0.00</c:formatCode>
                <c:ptCount val="72"/>
                <c:pt idx="0">
                  <c:v>0</c:v>
                </c:pt>
                <c:pt idx="1">
                  <c:v>-0.01</c:v>
                </c:pt>
                <c:pt idx="2">
                  <c:v>0.01</c:v>
                </c:pt>
                <c:pt idx="3">
                  <c:v>0.01</c:v>
                </c:pt>
                <c:pt idx="4">
                  <c:v>0</c:v>
                </c:pt>
                <c:pt idx="5">
                  <c:v>-0.01</c:v>
                </c:pt>
                <c:pt idx="6">
                  <c:v>-0.01</c:v>
                </c:pt>
                <c:pt idx="7">
                  <c:v>0.01</c:v>
                </c:pt>
                <c:pt idx="8">
                  <c:v>0</c:v>
                </c:pt>
                <c:pt idx="9">
                  <c:v>-0.01</c:v>
                </c:pt>
                <c:pt idx="10">
                  <c:v>-0.02</c:v>
                </c:pt>
                <c:pt idx="11">
                  <c:v>0</c:v>
                </c:pt>
                <c:pt idx="12">
                  <c:v>0</c:v>
                </c:pt>
                <c:pt idx="13">
                  <c:v>-0.02</c:v>
                </c:pt>
                <c:pt idx="14">
                  <c:v>-0.01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-0.01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-0.01</c:v>
                </c:pt>
                <c:pt idx="23">
                  <c:v>0.01</c:v>
                </c:pt>
                <c:pt idx="24">
                  <c:v>-0.01</c:v>
                </c:pt>
                <c:pt idx="25">
                  <c:v>-0.01</c:v>
                </c:pt>
                <c:pt idx="26">
                  <c:v>0.01</c:v>
                </c:pt>
                <c:pt idx="27">
                  <c:v>-0.01</c:v>
                </c:pt>
                <c:pt idx="28">
                  <c:v>0.01</c:v>
                </c:pt>
                <c:pt idx="29">
                  <c:v>-0.01</c:v>
                </c:pt>
                <c:pt idx="30">
                  <c:v>0</c:v>
                </c:pt>
                <c:pt idx="31">
                  <c:v>0</c:v>
                </c:pt>
                <c:pt idx="32" formatCode="General">
                  <c:v>0.01</c:v>
                </c:pt>
                <c:pt idx="33" formatCode="General">
                  <c:v>-0.01</c:v>
                </c:pt>
                <c:pt idx="34" formatCode="General">
                  <c:v>-0.01</c:v>
                </c:pt>
                <c:pt idx="35" formatCode="General">
                  <c:v>-0.01</c:v>
                </c:pt>
                <c:pt idx="36" formatCode="General">
                  <c:v>0.01</c:v>
                </c:pt>
                <c:pt idx="37" formatCode="General">
                  <c:v>-0.01</c:v>
                </c:pt>
                <c:pt idx="38" formatCode="General">
                  <c:v>0.01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0.01</c:v>
                </c:pt>
                <c:pt idx="45" formatCode="General">
                  <c:v>-0.01</c:v>
                </c:pt>
                <c:pt idx="46" formatCode="General">
                  <c:v>-0.01</c:v>
                </c:pt>
                <c:pt idx="47" formatCode="General">
                  <c:v>-0.01</c:v>
                </c:pt>
                <c:pt idx="48" formatCode="General">
                  <c:v>-0.01</c:v>
                </c:pt>
                <c:pt idx="49" formatCode="General">
                  <c:v>0</c:v>
                </c:pt>
                <c:pt idx="50" formatCode="General">
                  <c:v>-0.01</c:v>
                </c:pt>
                <c:pt idx="51" formatCode="General">
                  <c:v>-0.01</c:v>
                </c:pt>
                <c:pt idx="52" formatCode="General">
                  <c:v>0</c:v>
                </c:pt>
                <c:pt idx="53" formatCode="General">
                  <c:v>-0.01</c:v>
                </c:pt>
                <c:pt idx="54" formatCode="General">
                  <c:v>0.02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-0.01</c:v>
                </c:pt>
                <c:pt idx="61" formatCode="General">
                  <c:v>-0.01</c:v>
                </c:pt>
                <c:pt idx="62" formatCode="General">
                  <c:v>0</c:v>
                </c:pt>
                <c:pt idx="63" formatCode="General">
                  <c:v>-0.01</c:v>
                </c:pt>
                <c:pt idx="64" formatCode="General">
                  <c:v>0</c:v>
                </c:pt>
                <c:pt idx="65" formatCode="General">
                  <c:v>0.01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0.01</c:v>
                </c:pt>
                <c:pt idx="69" formatCode="General">
                  <c:v>0.01</c:v>
                </c:pt>
                <c:pt idx="70" formatCode="General">
                  <c:v>0</c:v>
                </c:pt>
                <c:pt idx="71" formatCode="General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55</xdr:row>
      <xdr:rowOff>0</xdr:rowOff>
    </xdr:from>
    <xdr:to>
      <xdr:col>12</xdr:col>
      <xdr:colOff>0</xdr:colOff>
      <xdr:row>84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54</xdr:row>
      <xdr:rowOff>200024</xdr:rowOff>
    </xdr:from>
    <xdr:to>
      <xdr:col>25</xdr:col>
      <xdr:colOff>0</xdr:colOff>
      <xdr:row>83</xdr:row>
      <xdr:rowOff>200024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R22"/>
  <sheetViews>
    <sheetView tabSelected="1" zoomScale="85" zoomScaleNormal="85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44" ht="15.75" customHeight="1" x14ac:dyDescent="0.25">
      <c r="A1" s="43" t="s">
        <v>29</v>
      </c>
      <c r="B1" s="43"/>
      <c r="C1" s="43" t="s">
        <v>62</v>
      </c>
      <c r="D1" s="43"/>
      <c r="E1" s="43" t="s">
        <v>59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AC1" s="60" t="s">
        <v>52</v>
      </c>
      <c r="AD1" s="61"/>
      <c r="AE1" s="61"/>
      <c r="AF1" s="61"/>
      <c r="AG1" s="62"/>
    </row>
    <row r="2" spans="1:44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AC2" s="63"/>
      <c r="AD2" s="64"/>
      <c r="AE2" s="64"/>
      <c r="AF2" s="64"/>
      <c r="AG2" s="65"/>
    </row>
    <row r="4" spans="1:44" x14ac:dyDescent="0.25">
      <c r="A4" s="35" t="s">
        <v>30</v>
      </c>
      <c r="B4" s="35"/>
      <c r="C4" s="35"/>
      <c r="D4" s="35"/>
      <c r="E4" s="35"/>
      <c r="F4" s="35"/>
      <c r="G4" s="38">
        <v>0</v>
      </c>
      <c r="H4" s="39"/>
      <c r="I4" s="2" t="s">
        <v>18</v>
      </c>
      <c r="K4" s="44" t="s">
        <v>45</v>
      </c>
      <c r="L4" s="44"/>
      <c r="M4" s="44"/>
      <c r="N4" s="44"/>
      <c r="O4" s="44"/>
      <c r="P4" s="44"/>
      <c r="R4" s="44" t="s">
        <v>46</v>
      </c>
      <c r="S4" s="44"/>
      <c r="T4" s="44"/>
      <c r="U4" s="44"/>
      <c r="V4" s="44"/>
      <c r="W4" s="44"/>
      <c r="X4" s="44"/>
      <c r="Y4" s="44"/>
      <c r="AC4" s="50"/>
      <c r="AD4" s="52"/>
      <c r="AE4" s="53" t="s">
        <v>58</v>
      </c>
      <c r="AF4" s="52"/>
      <c r="AG4" s="50"/>
    </row>
    <row r="5" spans="1:44" ht="15.75" customHeight="1" x14ac:dyDescent="0.25">
      <c r="A5" s="30" t="s">
        <v>31</v>
      </c>
      <c r="B5" s="31"/>
      <c r="C5" s="31"/>
      <c r="D5" s="31"/>
      <c r="E5" s="31"/>
      <c r="F5" s="32"/>
      <c r="G5" s="38">
        <v>0</v>
      </c>
      <c r="H5" s="39"/>
      <c r="I5" s="2" t="s">
        <v>18</v>
      </c>
      <c r="K5" s="70" t="s">
        <v>60</v>
      </c>
      <c r="L5" s="71"/>
      <c r="M5" s="71"/>
      <c r="N5" s="71"/>
      <c r="O5" s="71"/>
      <c r="P5" s="72"/>
      <c r="R5" s="40" t="s">
        <v>64</v>
      </c>
      <c r="S5" s="40"/>
      <c r="T5" s="40"/>
      <c r="U5" s="40"/>
      <c r="V5" s="40"/>
      <c r="W5" s="40"/>
      <c r="X5" s="40"/>
      <c r="Y5" s="40"/>
      <c r="AC5" s="50"/>
      <c r="AD5" s="52"/>
      <c r="AE5" s="53"/>
      <c r="AF5" s="52"/>
      <c r="AG5" s="50"/>
    </row>
    <row r="6" spans="1:44" x14ac:dyDescent="0.25">
      <c r="A6" s="35" t="s">
        <v>32</v>
      </c>
      <c r="B6" s="35"/>
      <c r="C6" s="35"/>
      <c r="D6" s="35"/>
      <c r="E6" s="35"/>
      <c r="F6" s="35"/>
      <c r="G6" s="42">
        <v>0</v>
      </c>
      <c r="H6" s="42"/>
      <c r="I6" s="2" t="s">
        <v>24</v>
      </c>
      <c r="K6" s="73"/>
      <c r="L6" s="74"/>
      <c r="M6" s="74"/>
      <c r="N6" s="74"/>
      <c r="O6" s="74"/>
      <c r="P6" s="75"/>
      <c r="R6" s="40"/>
      <c r="S6" s="40"/>
      <c r="T6" s="40"/>
      <c r="U6" s="40"/>
      <c r="V6" s="40"/>
      <c r="W6" s="40"/>
      <c r="X6" s="40"/>
      <c r="Y6" s="40"/>
      <c r="AC6" s="50"/>
      <c r="AD6" s="52"/>
      <c r="AE6" s="53"/>
      <c r="AF6" s="52"/>
      <c r="AG6" s="50"/>
    </row>
    <row r="7" spans="1:44" ht="15.75" customHeight="1" x14ac:dyDescent="0.25">
      <c r="A7" s="30" t="s">
        <v>51</v>
      </c>
      <c r="B7" s="31"/>
      <c r="C7" s="31"/>
      <c r="D7" s="31"/>
      <c r="E7" s="31"/>
      <c r="F7" s="32"/>
      <c r="G7" s="38" t="s">
        <v>63</v>
      </c>
      <c r="H7" s="39"/>
      <c r="I7" s="2"/>
      <c r="K7" s="73"/>
      <c r="L7" s="74"/>
      <c r="M7" s="74"/>
      <c r="N7" s="74"/>
      <c r="O7" s="74"/>
      <c r="P7" s="75"/>
      <c r="R7" s="40"/>
      <c r="S7" s="40"/>
      <c r="T7" s="40"/>
      <c r="U7" s="40"/>
      <c r="V7" s="40"/>
      <c r="W7" s="40"/>
      <c r="X7" s="40"/>
      <c r="Y7" s="40"/>
      <c r="AC7" s="24"/>
      <c r="AD7" s="25"/>
      <c r="AE7" s="25"/>
      <c r="AF7" s="25"/>
      <c r="AG7" s="26"/>
    </row>
    <row r="8" spans="1:44" x14ac:dyDescent="0.25">
      <c r="A8" s="35" t="s">
        <v>15</v>
      </c>
      <c r="B8" s="35"/>
      <c r="C8" s="35"/>
      <c r="D8" s="35"/>
      <c r="E8" s="35"/>
      <c r="F8" s="35"/>
      <c r="G8" s="41">
        <f>360/((23*60*60)+(56*60)+4.09)</f>
        <v>4.1780746480349299E-3</v>
      </c>
      <c r="H8" s="41"/>
      <c r="I8" s="2" t="s">
        <v>16</v>
      </c>
      <c r="K8" s="73"/>
      <c r="L8" s="74"/>
      <c r="M8" s="74"/>
      <c r="N8" s="74"/>
      <c r="O8" s="74"/>
      <c r="P8" s="75"/>
      <c r="R8" s="40"/>
      <c r="S8" s="40"/>
      <c r="T8" s="40"/>
      <c r="U8" s="40"/>
      <c r="V8" s="40"/>
      <c r="W8" s="40"/>
      <c r="X8" s="40"/>
      <c r="Y8" s="40"/>
      <c r="AC8" s="24"/>
      <c r="AD8" s="25"/>
      <c r="AE8" s="25"/>
      <c r="AF8" s="25"/>
      <c r="AG8" s="26"/>
    </row>
    <row r="9" spans="1:44" x14ac:dyDescent="0.25">
      <c r="A9" s="35" t="s">
        <v>17</v>
      </c>
      <c r="B9" s="35"/>
      <c r="C9" s="35"/>
      <c r="D9" s="35"/>
      <c r="E9" s="35"/>
      <c r="F9" s="35"/>
      <c r="G9" s="42">
        <v>49</v>
      </c>
      <c r="H9" s="42"/>
      <c r="I9" s="2" t="s">
        <v>18</v>
      </c>
      <c r="K9" s="73"/>
      <c r="L9" s="74"/>
      <c r="M9" s="74"/>
      <c r="N9" s="74"/>
      <c r="O9" s="74"/>
      <c r="P9" s="75"/>
      <c r="R9" s="40"/>
      <c r="S9" s="40"/>
      <c r="T9" s="40"/>
      <c r="U9" s="40"/>
      <c r="V9" s="40"/>
      <c r="W9" s="40"/>
      <c r="X9" s="40"/>
      <c r="Y9" s="40"/>
      <c r="AC9" s="24"/>
      <c r="AD9" s="25"/>
      <c r="AE9" s="25"/>
      <c r="AF9" s="25"/>
      <c r="AG9" s="26"/>
    </row>
    <row r="10" spans="1:44" ht="15.75" customHeight="1" x14ac:dyDescent="0.25">
      <c r="A10" s="45" t="s">
        <v>19</v>
      </c>
      <c r="B10" s="46"/>
      <c r="C10" s="46"/>
      <c r="D10" s="46"/>
      <c r="E10" s="46"/>
      <c r="F10" s="47"/>
      <c r="G10" s="48">
        <f>(COS(RADIANS(G9))*G8)</f>
        <v>2.7410635966396515E-3</v>
      </c>
      <c r="H10" s="49"/>
      <c r="I10" s="3" t="s">
        <v>16</v>
      </c>
      <c r="K10" s="73"/>
      <c r="L10" s="74"/>
      <c r="M10" s="74"/>
      <c r="N10" s="74"/>
      <c r="O10" s="74"/>
      <c r="P10" s="75"/>
      <c r="R10" s="13"/>
      <c r="S10" s="13"/>
      <c r="T10" s="13"/>
      <c r="U10" s="13"/>
      <c r="V10" s="13"/>
      <c r="W10" s="13"/>
      <c r="X10" s="13"/>
      <c r="Y10" s="13"/>
      <c r="AC10" s="54" t="s">
        <v>48</v>
      </c>
      <c r="AD10" s="55"/>
      <c r="AE10" s="56" t="s">
        <v>50</v>
      </c>
      <c r="AF10" s="55"/>
      <c r="AG10" s="66" t="s">
        <v>48</v>
      </c>
      <c r="AN10" s="22"/>
      <c r="AO10" s="22"/>
      <c r="AP10" s="23"/>
      <c r="AQ10" s="22"/>
      <c r="AR10" s="22"/>
    </row>
    <row r="11" spans="1:44" ht="15.75" customHeight="1" x14ac:dyDescent="0.25">
      <c r="A11" s="35" t="s">
        <v>33</v>
      </c>
      <c r="B11" s="35"/>
      <c r="C11" s="35"/>
      <c r="D11" s="35"/>
      <c r="E11" s="35"/>
      <c r="F11" s="35"/>
      <c r="G11" s="42">
        <v>5</v>
      </c>
      <c r="H11" s="42"/>
      <c r="I11" s="2" t="s">
        <v>18</v>
      </c>
      <c r="K11" s="73"/>
      <c r="L11" s="74"/>
      <c r="M11" s="74"/>
      <c r="N11" s="74"/>
      <c r="O11" s="74"/>
      <c r="P11" s="75"/>
      <c r="R11" s="13"/>
      <c r="S11" s="13"/>
      <c r="T11" s="13"/>
      <c r="U11" s="13"/>
      <c r="V11" s="13"/>
      <c r="W11" s="13"/>
      <c r="X11" s="13"/>
      <c r="Y11" s="13"/>
      <c r="AC11" s="54"/>
      <c r="AD11" s="55"/>
      <c r="AE11" s="56"/>
      <c r="AF11" s="55"/>
      <c r="AG11" s="66"/>
      <c r="AN11" s="22"/>
      <c r="AO11" s="22"/>
      <c r="AP11" s="23"/>
      <c r="AQ11" s="22"/>
      <c r="AR11" s="22"/>
    </row>
    <row r="12" spans="1:44" ht="15.75" customHeight="1" x14ac:dyDescent="0.25">
      <c r="A12" s="30" t="s">
        <v>34</v>
      </c>
      <c r="B12" s="31"/>
      <c r="C12" s="31"/>
      <c r="D12" s="31"/>
      <c r="E12" s="31"/>
      <c r="F12" s="32"/>
      <c r="G12" s="38">
        <f>360/G11</f>
        <v>72</v>
      </c>
      <c r="H12" s="39"/>
      <c r="I12" s="2"/>
      <c r="K12" s="73"/>
      <c r="L12" s="74"/>
      <c r="M12" s="74"/>
      <c r="N12" s="74"/>
      <c r="O12" s="74"/>
      <c r="P12" s="75"/>
      <c r="R12" s="8"/>
      <c r="S12" s="8"/>
      <c r="T12" s="8"/>
      <c r="U12" s="8"/>
      <c r="V12" s="8"/>
      <c r="W12" s="8"/>
      <c r="X12" s="8"/>
      <c r="Y12" s="8"/>
      <c r="AC12" s="54"/>
      <c r="AD12" s="55"/>
      <c r="AE12" s="56"/>
      <c r="AF12" s="55"/>
      <c r="AG12" s="66"/>
      <c r="AN12" s="22"/>
      <c r="AO12" s="22"/>
      <c r="AP12" s="23"/>
      <c r="AQ12" s="22"/>
      <c r="AR12" s="22"/>
    </row>
    <row r="13" spans="1:44" ht="15.75" customHeight="1" x14ac:dyDescent="0.25">
      <c r="A13" s="35" t="s">
        <v>20</v>
      </c>
      <c r="B13" s="35"/>
      <c r="C13" s="35"/>
      <c r="D13" s="35"/>
      <c r="E13" s="35"/>
      <c r="F13" s="35"/>
      <c r="G13" s="42" t="s">
        <v>47</v>
      </c>
      <c r="H13" s="42"/>
      <c r="I13" s="2"/>
      <c r="K13" s="73"/>
      <c r="L13" s="74"/>
      <c r="M13" s="74"/>
      <c r="N13" s="74"/>
      <c r="O13" s="74"/>
      <c r="P13" s="75"/>
      <c r="R13" s="34" t="s">
        <v>25</v>
      </c>
      <c r="S13" s="34"/>
      <c r="T13" s="34" t="s">
        <v>26</v>
      </c>
      <c r="U13" s="34"/>
      <c r="V13" s="34" t="s">
        <v>27</v>
      </c>
      <c r="W13" s="34"/>
      <c r="X13" s="34" t="s">
        <v>28</v>
      </c>
      <c r="Y13" s="34"/>
      <c r="AC13" s="54" t="s">
        <v>48</v>
      </c>
      <c r="AD13" s="57"/>
      <c r="AE13" s="57" t="s">
        <v>49</v>
      </c>
      <c r="AF13" s="57"/>
      <c r="AG13" s="66" t="s">
        <v>48</v>
      </c>
      <c r="AN13" s="22"/>
      <c r="AO13" s="22"/>
      <c r="AP13" s="22"/>
      <c r="AQ13" s="22"/>
      <c r="AR13" s="22"/>
    </row>
    <row r="14" spans="1:44" ht="15.75" customHeight="1" x14ac:dyDescent="0.25">
      <c r="A14" s="30" t="s">
        <v>21</v>
      </c>
      <c r="B14" s="31"/>
      <c r="C14" s="31"/>
      <c r="D14" s="31"/>
      <c r="E14" s="31"/>
      <c r="F14" s="32"/>
      <c r="G14" s="38">
        <v>1440</v>
      </c>
      <c r="H14" s="39"/>
      <c r="I14" s="2"/>
      <c r="K14" s="73"/>
      <c r="L14" s="74"/>
      <c r="M14" s="74"/>
      <c r="N14" s="74"/>
      <c r="O14" s="74"/>
      <c r="P14" s="75"/>
      <c r="R14" s="34"/>
      <c r="S14" s="34"/>
      <c r="T14" s="34"/>
      <c r="U14" s="34"/>
      <c r="V14" s="34"/>
      <c r="W14" s="34"/>
      <c r="X14" s="34"/>
      <c r="Y14" s="34"/>
      <c r="AC14" s="54"/>
      <c r="AD14" s="58"/>
      <c r="AE14" s="58"/>
      <c r="AF14" s="58"/>
      <c r="AG14" s="66"/>
      <c r="AN14" s="22"/>
      <c r="AO14" s="22"/>
      <c r="AP14" s="22"/>
      <c r="AQ14" s="22"/>
      <c r="AR14" s="22"/>
    </row>
    <row r="15" spans="1:44" ht="15.75" customHeight="1" x14ac:dyDescent="0.25">
      <c r="A15" s="30" t="s">
        <v>22</v>
      </c>
      <c r="B15" s="31"/>
      <c r="C15" s="31"/>
      <c r="D15" s="31"/>
      <c r="E15" s="31"/>
      <c r="F15" s="32"/>
      <c r="G15" s="38">
        <v>200</v>
      </c>
      <c r="H15" s="39"/>
      <c r="I15" s="2"/>
      <c r="K15" s="73"/>
      <c r="L15" s="74"/>
      <c r="M15" s="74"/>
      <c r="N15" s="74"/>
      <c r="O15" s="74"/>
      <c r="P15" s="75"/>
      <c r="R15" s="34"/>
      <c r="S15" s="34"/>
      <c r="T15" s="34"/>
      <c r="U15" s="34"/>
      <c r="V15" s="34"/>
      <c r="W15" s="34"/>
      <c r="X15" s="34"/>
      <c r="Y15" s="34"/>
      <c r="AC15" s="54"/>
      <c r="AD15" s="59"/>
      <c r="AE15" s="59"/>
      <c r="AF15" s="59"/>
      <c r="AG15" s="66"/>
      <c r="AN15" s="22"/>
      <c r="AO15" s="22"/>
      <c r="AP15" s="22"/>
      <c r="AQ15" s="22"/>
      <c r="AR15" s="22"/>
    </row>
    <row r="16" spans="1:44" ht="15.75" customHeight="1" x14ac:dyDescent="0.25">
      <c r="A16" s="30" t="s">
        <v>23</v>
      </c>
      <c r="B16" s="31"/>
      <c r="C16" s="31"/>
      <c r="D16" s="31"/>
      <c r="E16" s="31"/>
      <c r="F16" s="32"/>
      <c r="G16" s="38">
        <v>50</v>
      </c>
      <c r="H16" s="39"/>
      <c r="I16" s="2"/>
      <c r="K16" s="73"/>
      <c r="L16" s="74"/>
      <c r="M16" s="74"/>
      <c r="N16" s="74"/>
      <c r="O16" s="74"/>
      <c r="P16" s="75"/>
      <c r="R16" s="34"/>
      <c r="S16" s="34"/>
      <c r="T16" s="34"/>
      <c r="U16" s="34"/>
      <c r="V16" s="34"/>
      <c r="W16" s="34"/>
      <c r="X16" s="34"/>
      <c r="Y16" s="34"/>
      <c r="AC16" s="54" t="s">
        <v>48</v>
      </c>
      <c r="AD16" s="67"/>
      <c r="AE16" s="57" t="s">
        <v>48</v>
      </c>
      <c r="AF16" s="57"/>
      <c r="AG16" s="66" t="s">
        <v>48</v>
      </c>
      <c r="AN16" s="22"/>
      <c r="AO16" s="19"/>
      <c r="AP16" s="22"/>
      <c r="AQ16" s="22"/>
      <c r="AR16" s="22"/>
    </row>
    <row r="17" spans="1:44" ht="15.75" customHeight="1" x14ac:dyDescent="0.25">
      <c r="A17" s="27" t="s">
        <v>36</v>
      </c>
      <c r="B17" s="28"/>
      <c r="C17" s="28"/>
      <c r="D17" s="28"/>
      <c r="E17" s="28"/>
      <c r="F17" s="29"/>
      <c r="G17" s="36">
        <v>400</v>
      </c>
      <c r="H17" s="37"/>
      <c r="I17" s="4" t="s">
        <v>18</v>
      </c>
      <c r="K17" s="73"/>
      <c r="L17" s="74"/>
      <c r="M17" s="74"/>
      <c r="N17" s="74"/>
      <c r="O17" s="74"/>
      <c r="P17" s="75"/>
      <c r="R17" s="33">
        <f>MIN('T18-2'!U3:U18)</f>
        <v>-1.0537800000000042E-3</v>
      </c>
      <c r="S17" s="33"/>
      <c r="T17" s="33">
        <f>MIN('T18-2'!V3:V18)</f>
        <v>1.0737200000000002E-3</v>
      </c>
      <c r="U17" s="33"/>
      <c r="V17" s="33">
        <f>MAX('T18-2'!U3:U18)</f>
        <v>2.7700200000000119E-3</v>
      </c>
      <c r="W17" s="33"/>
      <c r="X17" s="33">
        <f>MAX('T18-2'!V3:V18)</f>
        <v>3.5387300000000455E-3</v>
      </c>
      <c r="Y17" s="33"/>
      <c r="AC17" s="54"/>
      <c r="AD17" s="68"/>
      <c r="AE17" s="58"/>
      <c r="AF17" s="58"/>
      <c r="AG17" s="66"/>
      <c r="AN17" s="22"/>
      <c r="AO17" s="19"/>
      <c r="AP17" s="22"/>
      <c r="AQ17" s="22"/>
      <c r="AR17" s="22"/>
    </row>
    <row r="18" spans="1:44" ht="15.75" customHeight="1" x14ac:dyDescent="0.25">
      <c r="A18" s="27" t="s">
        <v>35</v>
      </c>
      <c r="B18" s="28"/>
      <c r="C18" s="28"/>
      <c r="D18" s="28"/>
      <c r="E18" s="28"/>
      <c r="F18" s="29"/>
      <c r="G18" s="36">
        <f>G14*G15*2</f>
        <v>576000</v>
      </c>
      <c r="H18" s="37"/>
      <c r="I18" s="2"/>
      <c r="K18" s="76"/>
      <c r="L18" s="77"/>
      <c r="M18" s="77"/>
      <c r="N18" s="77"/>
      <c r="O18" s="77"/>
      <c r="P18" s="78"/>
      <c r="R18" s="33"/>
      <c r="S18" s="33"/>
      <c r="T18" s="33"/>
      <c r="U18" s="33"/>
      <c r="V18" s="33"/>
      <c r="W18" s="33"/>
      <c r="X18" s="33"/>
      <c r="Y18" s="33"/>
      <c r="AC18" s="54"/>
      <c r="AD18" s="69"/>
      <c r="AE18" s="59"/>
      <c r="AF18" s="59"/>
      <c r="AG18" s="66"/>
      <c r="AN18" s="22"/>
      <c r="AO18" s="19"/>
      <c r="AP18" s="22"/>
      <c r="AQ18" s="22"/>
      <c r="AR18" s="22"/>
    </row>
    <row r="19" spans="1:44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26" t="s">
        <v>48</v>
      </c>
      <c r="AD19" s="51" t="s">
        <v>48</v>
      </c>
      <c r="AE19" s="51" t="s">
        <v>48</v>
      </c>
      <c r="AF19" s="51" t="s">
        <v>48</v>
      </c>
      <c r="AG19" s="24" t="s">
        <v>48</v>
      </c>
      <c r="AN19" s="19"/>
      <c r="AO19" s="20"/>
      <c r="AP19" s="20"/>
      <c r="AQ19" s="20"/>
      <c r="AR19" s="21"/>
    </row>
    <row r="20" spans="1:44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26"/>
      <c r="AD20" s="51"/>
      <c r="AE20" s="51"/>
      <c r="AF20" s="51"/>
      <c r="AG20" s="24"/>
      <c r="AN20" s="19"/>
      <c r="AO20" s="20"/>
      <c r="AP20" s="20"/>
      <c r="AQ20" s="20"/>
      <c r="AR20" s="21"/>
    </row>
    <row r="21" spans="1:44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26"/>
      <c r="AD21" s="51"/>
      <c r="AE21" s="51"/>
      <c r="AF21" s="51"/>
      <c r="AG21" s="24"/>
      <c r="AN21" s="19"/>
      <c r="AO21" s="20"/>
      <c r="AP21" s="20"/>
      <c r="AQ21" s="20"/>
      <c r="AR21" s="21"/>
    </row>
    <row r="22" spans="1:44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 t="s">
        <v>65</v>
      </c>
      <c r="S22" s="12"/>
      <c r="T22" s="12"/>
      <c r="U22" s="12"/>
      <c r="V22" s="12"/>
      <c r="W22" s="12"/>
      <c r="X22" s="12"/>
      <c r="Y22" s="12"/>
    </row>
  </sheetData>
  <mergeCells count="76"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10:F10"/>
    <mergeCell ref="G10:H10"/>
    <mergeCell ref="G9:H9"/>
    <mergeCell ref="G11:H11"/>
    <mergeCell ref="G13:H13"/>
    <mergeCell ref="A9:F9"/>
    <mergeCell ref="A11:F11"/>
    <mergeCell ref="G4:H4"/>
    <mergeCell ref="A1:B2"/>
    <mergeCell ref="C1:D2"/>
    <mergeCell ref="E1:Y2"/>
    <mergeCell ref="K4:P4"/>
    <mergeCell ref="A4:F4"/>
    <mergeCell ref="R4:Y4"/>
    <mergeCell ref="R5:Y9"/>
    <mergeCell ref="G8:H8"/>
    <mergeCell ref="A5:F5"/>
    <mergeCell ref="G5:H5"/>
    <mergeCell ref="A6:F6"/>
    <mergeCell ref="G6:H6"/>
    <mergeCell ref="A8:F8"/>
    <mergeCell ref="T13:U16"/>
    <mergeCell ref="V13:W16"/>
    <mergeCell ref="X13:Y16"/>
    <mergeCell ref="T17:U18"/>
    <mergeCell ref="V17:W18"/>
    <mergeCell ref="X17:Y18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AC7:AC9"/>
    <mergeCell ref="AD7:AD9"/>
    <mergeCell ref="AE7:AE9"/>
    <mergeCell ref="AF7:AF9"/>
    <mergeCell ref="AG7:A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74"/>
  <sheetViews>
    <sheetView workbookViewId="0">
      <selection activeCell="K24" sqref="K24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57</v>
      </c>
      <c r="B2" t="s">
        <v>53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54</v>
      </c>
      <c r="L2" t="s">
        <v>55</v>
      </c>
      <c r="M2" t="s">
        <v>56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61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/>
      <c r="C3" s="14">
        <v>0</v>
      </c>
      <c r="D3" s="14"/>
      <c r="E3" s="15">
        <v>-0.43193999999999999</v>
      </c>
      <c r="F3" s="15">
        <v>-0.43022500000000002</v>
      </c>
      <c r="G3" s="15">
        <v>-1.71503E-3</v>
      </c>
      <c r="H3" s="15">
        <v>0.71304239999999997</v>
      </c>
      <c r="I3" s="15">
        <v>0.71089495999999996</v>
      </c>
      <c r="J3" s="15">
        <v>2.1475000000000001E-3</v>
      </c>
      <c r="K3" s="18">
        <v>22.22</v>
      </c>
      <c r="L3" s="18">
        <v>22.21</v>
      </c>
      <c r="M3" s="18">
        <v>0</v>
      </c>
      <c r="N3" s="15">
        <v>2.7574580000000001E-2</v>
      </c>
      <c r="O3" s="15">
        <v>2.2353149999999999E-2</v>
      </c>
      <c r="P3" s="15">
        <v>5.22143E-3</v>
      </c>
      <c r="Q3" s="15">
        <v>6.9428700000000003E-3</v>
      </c>
      <c r="R3" s="15">
        <v>1.16968E-3</v>
      </c>
      <c r="S3" s="15">
        <v>5.7731900000000001E-3</v>
      </c>
      <c r="T3" s="14"/>
      <c r="U3" s="15">
        <f>(F3-E3)/2</f>
        <v>8.5749999999998328E-4</v>
      </c>
      <c r="V3" s="15">
        <f>(H3-I3)/2</f>
        <v>1.0737200000000002E-3</v>
      </c>
      <c r="W3" s="15"/>
      <c r="X3" s="15"/>
      <c r="Y3" s="16">
        <f t="shared" ref="Y3:Y34" si="0">N3</f>
        <v>2.7574580000000001E-2</v>
      </c>
      <c r="Z3" s="16">
        <f t="shared" ref="Z3:Z34" si="1">Q3</f>
        <v>6.9428700000000003E-3</v>
      </c>
      <c r="AA3" s="16">
        <f t="shared" ref="AA3:AA34" si="2">O3</f>
        <v>2.2353149999999999E-2</v>
      </c>
      <c r="AB3" s="16">
        <f t="shared" ref="AB3:AB34" si="3">R3</f>
        <v>1.16968E-3</v>
      </c>
      <c r="AC3" s="17">
        <f>IF(Y3="","",DEGREES(ASIN(SQRT(Y3^2+Z3^2))))</f>
        <v>1.6294368923671532</v>
      </c>
      <c r="AD3" s="17">
        <f>IF(AA3="","",DEGREES(ASIN(SQRT(AA3^2+AB3^2))))</f>
        <v>1.2826005026380798</v>
      </c>
      <c r="AE3" s="17">
        <f>IF(Y3="","",MOD(DEGREES(ATAN2(Y3,Z3)),360))</f>
        <v>14.132468424185429</v>
      </c>
      <c r="AF3" s="17">
        <f t="shared" ref="AF3:AF34" si="4">IF(Y3="","",MOD(F3+AE3,360))</f>
        <v>13.702243424185429</v>
      </c>
    </row>
    <row r="4" spans="1:32" x14ac:dyDescent="0.25">
      <c r="A4" s="14">
        <v>2</v>
      </c>
      <c r="B4" s="14"/>
      <c r="C4" s="14">
        <v>5</v>
      </c>
      <c r="D4" s="14"/>
      <c r="E4" s="15">
        <v>-0.43030752</v>
      </c>
      <c r="F4" s="15">
        <v>-0.42603000000000002</v>
      </c>
      <c r="G4" s="15">
        <v>-4.2775599999999997E-3</v>
      </c>
      <c r="H4" s="15">
        <v>0.71526000000000001</v>
      </c>
      <c r="I4" s="15">
        <v>0.71203748</v>
      </c>
      <c r="J4" s="15">
        <v>3.2225299999999999E-3</v>
      </c>
      <c r="K4" s="18">
        <v>22.22</v>
      </c>
      <c r="L4" s="18">
        <v>22.23</v>
      </c>
      <c r="M4" s="18">
        <v>-0.01</v>
      </c>
      <c r="N4" s="15">
        <v>2.8663210000000001E-2</v>
      </c>
      <c r="O4" s="15">
        <v>2.3402220000000001E-2</v>
      </c>
      <c r="P4" s="15">
        <v>5.2609800000000002E-3</v>
      </c>
      <c r="Q4" s="15">
        <v>6.9328599999999999E-3</v>
      </c>
      <c r="R4" s="15">
        <v>1.3736600000000001E-3</v>
      </c>
      <c r="S4" s="15">
        <v>5.5592000000000003E-3</v>
      </c>
      <c r="T4" s="14"/>
      <c r="U4" s="15">
        <f t="shared" ref="U4:U67" si="5">(F4-E4)/2</f>
        <v>2.1387599999999896E-3</v>
      </c>
      <c r="V4" s="15">
        <f t="shared" ref="V4:V34" si="6">(H4-I4)/2</f>
        <v>1.6112600000000032E-3</v>
      </c>
      <c r="W4" s="15"/>
      <c r="X4" s="15"/>
      <c r="Y4" s="16">
        <f t="shared" si="0"/>
        <v>2.8663210000000001E-2</v>
      </c>
      <c r="Z4" s="16">
        <f t="shared" si="1"/>
        <v>6.9328599999999999E-3</v>
      </c>
      <c r="AA4" s="16">
        <f t="shared" si="2"/>
        <v>2.3402220000000001E-2</v>
      </c>
      <c r="AB4" s="16">
        <f t="shared" si="3"/>
        <v>1.3736600000000001E-3</v>
      </c>
      <c r="AC4" s="17">
        <f t="shared" ref="AC4:AC18" si="7">IF(Y4="","",DEGREES(ASIN(SQRT(Y4^2+Z4^2))))</f>
        <v>1.6898820414190756</v>
      </c>
      <c r="AD4" s="17">
        <f t="shared" ref="AD4:AD18" si="8">IF(AA4="","",DEGREES(ASIN(SQRT(AA4^2+AB4^2))))</f>
        <v>1.3432794083593949</v>
      </c>
      <c r="AE4" s="17">
        <f t="shared" ref="AE4:AE18" si="9">IF(Y4="","",MOD(DEGREES(ATAN2(Y4,Z4)),360))</f>
        <v>13.597166805108264</v>
      </c>
      <c r="AF4" s="17">
        <f t="shared" si="4"/>
        <v>13.171136805108263</v>
      </c>
    </row>
    <row r="5" spans="1:32" x14ac:dyDescent="0.25">
      <c r="A5" s="14">
        <v>3</v>
      </c>
      <c r="B5" s="14"/>
      <c r="C5" s="14">
        <v>10</v>
      </c>
      <c r="D5" s="14"/>
      <c r="E5" s="15">
        <v>-0.43091743999999998</v>
      </c>
      <c r="F5" s="15">
        <v>-0.42767751999999998</v>
      </c>
      <c r="G5" s="15">
        <v>-3.2399E-3</v>
      </c>
      <c r="H5" s="15">
        <v>0.71420751999999998</v>
      </c>
      <c r="I5" s="15">
        <v>0.71019239999999995</v>
      </c>
      <c r="J5" s="15">
        <v>4.0150899999999998E-3</v>
      </c>
      <c r="K5" s="18">
        <v>22.23</v>
      </c>
      <c r="L5" s="18">
        <v>22.22</v>
      </c>
      <c r="M5" s="18">
        <v>0.01</v>
      </c>
      <c r="N5" s="15">
        <v>2.8134039999999999E-2</v>
      </c>
      <c r="O5" s="15">
        <v>2.1951539999999999E-2</v>
      </c>
      <c r="P5" s="15">
        <v>6.1824999999999996E-3</v>
      </c>
      <c r="Q5" s="15">
        <v>6.2502399999999998E-3</v>
      </c>
      <c r="R5" s="15">
        <v>1.70532E-3</v>
      </c>
      <c r="S5" s="15">
        <v>4.54492E-3</v>
      </c>
      <c r="T5" s="14"/>
      <c r="U5" s="15">
        <f t="shared" si="5"/>
        <v>1.6199600000000036E-3</v>
      </c>
      <c r="V5" s="15">
        <f t="shared" si="6"/>
        <v>2.0075600000000193E-3</v>
      </c>
      <c r="W5" s="15"/>
      <c r="X5" s="15"/>
      <c r="Y5" s="16">
        <f t="shared" si="0"/>
        <v>2.8134039999999999E-2</v>
      </c>
      <c r="Z5" s="16">
        <f t="shared" si="1"/>
        <v>6.2502399999999998E-3</v>
      </c>
      <c r="AA5" s="16">
        <f t="shared" si="2"/>
        <v>2.1951539999999999E-2</v>
      </c>
      <c r="AB5" s="16">
        <f t="shared" si="3"/>
        <v>1.70532E-3</v>
      </c>
      <c r="AC5" s="17">
        <f t="shared" si="7"/>
        <v>1.6514903607347537</v>
      </c>
      <c r="AD5" s="17">
        <f t="shared" si="8"/>
        <v>1.2616220768694242</v>
      </c>
      <c r="AE5" s="17">
        <f t="shared" si="9"/>
        <v>12.525374794858614</v>
      </c>
      <c r="AF5" s="17">
        <f t="shared" si="4"/>
        <v>12.097697274858614</v>
      </c>
    </row>
    <row r="6" spans="1:32" x14ac:dyDescent="0.25">
      <c r="A6" s="14">
        <v>4</v>
      </c>
      <c r="B6" s="14"/>
      <c r="C6" s="14">
        <v>15</v>
      </c>
      <c r="D6" s="14"/>
      <c r="E6" s="15">
        <v>-0.43099756</v>
      </c>
      <c r="F6" s="15">
        <v>-0.42545751999999998</v>
      </c>
      <c r="G6" s="15">
        <v>-5.5400099999999997E-3</v>
      </c>
      <c r="H6" s="15">
        <v>0.71661248</v>
      </c>
      <c r="I6" s="15">
        <v>0.71165999999999996</v>
      </c>
      <c r="J6" s="15">
        <v>4.9524900000000004E-3</v>
      </c>
      <c r="K6" s="18">
        <v>22.21</v>
      </c>
      <c r="L6" s="18">
        <v>22.2</v>
      </c>
      <c r="M6" s="18">
        <v>0.01</v>
      </c>
      <c r="N6" s="15">
        <v>2.8035640000000001E-2</v>
      </c>
      <c r="O6" s="15">
        <v>2.182251E-2</v>
      </c>
      <c r="P6" s="15">
        <v>6.2131399999999998E-3</v>
      </c>
      <c r="Q6" s="15">
        <v>6.0870400000000002E-3</v>
      </c>
      <c r="R6" s="15">
        <v>1.8844000000000001E-3</v>
      </c>
      <c r="S6" s="15">
        <v>4.2026399999999997E-3</v>
      </c>
      <c r="T6" s="14"/>
      <c r="U6" s="15">
        <f t="shared" si="5"/>
        <v>2.7700200000000119E-3</v>
      </c>
      <c r="V6" s="15">
        <f t="shared" si="6"/>
        <v>2.4762400000000184E-3</v>
      </c>
      <c r="W6" s="15"/>
      <c r="X6" s="15"/>
      <c r="Y6" s="16">
        <f t="shared" si="0"/>
        <v>2.8035640000000001E-2</v>
      </c>
      <c r="Z6" s="16">
        <f t="shared" si="1"/>
        <v>6.0870400000000002E-3</v>
      </c>
      <c r="AA6" s="16">
        <f t="shared" si="2"/>
        <v>2.182251E-2</v>
      </c>
      <c r="AB6" s="16">
        <f t="shared" si="3"/>
        <v>1.8844000000000001E-3</v>
      </c>
      <c r="AC6" s="17">
        <f t="shared" si="7"/>
        <v>1.6439746418901084</v>
      </c>
      <c r="AD6" s="17">
        <f t="shared" si="8"/>
        <v>1.2550910278027572</v>
      </c>
      <c r="AE6" s="17">
        <f t="shared" si="9"/>
        <v>12.249816265926597</v>
      </c>
      <c r="AF6" s="17">
        <f t="shared" si="4"/>
        <v>11.824358745926597</v>
      </c>
    </row>
    <row r="7" spans="1:32" x14ac:dyDescent="0.25">
      <c r="A7" s="14">
        <v>5</v>
      </c>
      <c r="B7" s="14"/>
      <c r="C7" s="14">
        <v>20</v>
      </c>
      <c r="D7" s="14"/>
      <c r="E7" s="15">
        <v>-0.42965999999999999</v>
      </c>
      <c r="F7" s="15">
        <v>-0.42728744000000002</v>
      </c>
      <c r="G7" s="15">
        <v>-2.3725899999999999E-3</v>
      </c>
      <c r="H7" s="15">
        <v>0.71457992000000004</v>
      </c>
      <c r="I7" s="15">
        <v>0.71034989999999998</v>
      </c>
      <c r="J7" s="15">
        <v>4.2300200000000001E-3</v>
      </c>
      <c r="K7" s="18">
        <v>22.25</v>
      </c>
      <c r="L7" s="18">
        <v>22.24</v>
      </c>
      <c r="M7" s="18">
        <v>0</v>
      </c>
      <c r="N7" s="15">
        <v>2.8484249999999999E-2</v>
      </c>
      <c r="O7" s="15">
        <v>2.1390989999999999E-2</v>
      </c>
      <c r="P7" s="15">
        <v>7.0932599999999997E-3</v>
      </c>
      <c r="Q7" s="15">
        <v>5.6991300000000002E-3</v>
      </c>
      <c r="R7" s="15">
        <v>2.14197E-3</v>
      </c>
      <c r="S7" s="15">
        <v>3.5571600000000002E-3</v>
      </c>
      <c r="T7" s="14"/>
      <c r="U7" s="15">
        <f t="shared" si="5"/>
        <v>1.186279999999984E-3</v>
      </c>
      <c r="V7" s="15">
        <f t="shared" si="6"/>
        <v>2.1150100000000283E-3</v>
      </c>
      <c r="W7" s="15"/>
      <c r="X7" s="15"/>
      <c r="Y7" s="16">
        <f t="shared" si="0"/>
        <v>2.8484249999999999E-2</v>
      </c>
      <c r="Z7" s="16">
        <f t="shared" si="1"/>
        <v>5.6991300000000002E-3</v>
      </c>
      <c r="AA7" s="16">
        <f t="shared" si="2"/>
        <v>2.1390989999999999E-2</v>
      </c>
      <c r="AB7" s="16">
        <f t="shared" si="3"/>
        <v>2.14197E-3</v>
      </c>
      <c r="AC7" s="17">
        <f t="shared" si="7"/>
        <v>1.6646076064195581</v>
      </c>
      <c r="AD7" s="17">
        <f t="shared" si="8"/>
        <v>1.2318375459328816</v>
      </c>
      <c r="AE7" s="17">
        <f t="shared" si="9"/>
        <v>11.31434221078405</v>
      </c>
      <c r="AF7" s="17">
        <f t="shared" si="4"/>
        <v>10.887054770784049</v>
      </c>
    </row>
    <row r="8" spans="1:32" x14ac:dyDescent="0.25">
      <c r="A8" s="14">
        <v>6</v>
      </c>
      <c r="B8" s="14"/>
      <c r="C8" s="14">
        <v>25</v>
      </c>
      <c r="D8" s="14"/>
      <c r="E8" s="15">
        <v>-0.42927248000000001</v>
      </c>
      <c r="F8" s="15">
        <v>-0.42926495999999997</v>
      </c>
      <c r="G8" s="15">
        <v>-7.5100000000000001E-6</v>
      </c>
      <c r="H8" s="15">
        <v>0.71617750000000002</v>
      </c>
      <c r="I8" s="15">
        <v>0.71358250000000001</v>
      </c>
      <c r="J8" s="15">
        <v>2.59501E-3</v>
      </c>
      <c r="K8" s="18">
        <v>22.19</v>
      </c>
      <c r="L8" s="18">
        <v>22.2</v>
      </c>
      <c r="M8" s="18">
        <v>-0.01</v>
      </c>
      <c r="N8" s="15">
        <v>2.9607169999999999E-2</v>
      </c>
      <c r="O8" s="15">
        <v>2.216272E-2</v>
      </c>
      <c r="P8" s="15">
        <v>7.44445E-3</v>
      </c>
      <c r="Q8" s="15">
        <v>5.7189900000000002E-3</v>
      </c>
      <c r="R8" s="15">
        <v>2.6827399999999999E-3</v>
      </c>
      <c r="S8" s="15">
        <v>3.0362599999999998E-3</v>
      </c>
      <c r="T8" s="14"/>
      <c r="U8" s="15">
        <f t="shared" si="5"/>
        <v>3.7600000000193035E-6</v>
      </c>
      <c r="V8" s="15">
        <f t="shared" si="6"/>
        <v>1.297500000000007E-3</v>
      </c>
      <c r="W8" s="15"/>
      <c r="X8" s="15"/>
      <c r="Y8" s="16">
        <f t="shared" si="0"/>
        <v>2.9607169999999999E-2</v>
      </c>
      <c r="Z8" s="16">
        <f t="shared" si="1"/>
        <v>5.7189900000000002E-3</v>
      </c>
      <c r="AA8" s="16">
        <f t="shared" si="2"/>
        <v>2.216272E-2</v>
      </c>
      <c r="AB8" s="16">
        <f t="shared" si="3"/>
        <v>2.6827399999999999E-3</v>
      </c>
      <c r="AC8" s="17">
        <f t="shared" si="7"/>
        <v>1.7279851415821463</v>
      </c>
      <c r="AD8" s="17">
        <f t="shared" si="8"/>
        <v>1.2792058382480576</v>
      </c>
      <c r="AE8" s="17">
        <f t="shared" si="9"/>
        <v>10.932740470788515</v>
      </c>
      <c r="AF8" s="17">
        <f t="shared" si="4"/>
        <v>10.503475510788515</v>
      </c>
    </row>
    <row r="9" spans="1:32" x14ac:dyDescent="0.25">
      <c r="A9" s="14">
        <v>7</v>
      </c>
      <c r="B9" s="14"/>
      <c r="C9" s="14">
        <v>30</v>
      </c>
      <c r="D9" s="14"/>
      <c r="E9" s="15">
        <v>-0.42808755999999998</v>
      </c>
      <c r="F9" s="15">
        <v>-0.42410249999999999</v>
      </c>
      <c r="G9" s="15">
        <v>-3.9850800000000002E-3</v>
      </c>
      <c r="H9" s="15">
        <v>0.71717989999999998</v>
      </c>
      <c r="I9" s="15">
        <v>0.71148239999999996</v>
      </c>
      <c r="J9" s="15">
        <v>5.6974900000000004E-3</v>
      </c>
      <c r="K9" s="18">
        <v>22.23</v>
      </c>
      <c r="L9" s="18">
        <v>22.24</v>
      </c>
      <c r="M9" s="18">
        <v>-0.01</v>
      </c>
      <c r="N9" s="15">
        <v>2.8591189999999999E-2</v>
      </c>
      <c r="O9" s="15">
        <v>2.135254E-2</v>
      </c>
      <c r="P9" s="15">
        <v>7.2386500000000001E-3</v>
      </c>
      <c r="Q9" s="15">
        <v>5.1198700000000003E-3</v>
      </c>
      <c r="R9" s="15">
        <v>2.9567899999999999E-3</v>
      </c>
      <c r="S9" s="15">
        <v>2.1630899999999999E-3</v>
      </c>
      <c r="T9" s="14"/>
      <c r="U9" s="15">
        <f t="shared" si="5"/>
        <v>1.9925299999999924E-3</v>
      </c>
      <c r="V9" s="15">
        <f t="shared" si="6"/>
        <v>2.848750000000011E-3</v>
      </c>
      <c r="W9" s="15"/>
      <c r="X9" s="15"/>
      <c r="Y9" s="16">
        <f t="shared" si="0"/>
        <v>2.8591189999999999E-2</v>
      </c>
      <c r="Z9" s="16">
        <f t="shared" si="1"/>
        <v>5.1198700000000003E-3</v>
      </c>
      <c r="AA9" s="16">
        <f t="shared" si="2"/>
        <v>2.135254E-2</v>
      </c>
      <c r="AB9" s="16">
        <f t="shared" si="3"/>
        <v>2.9567899999999999E-3</v>
      </c>
      <c r="AC9" s="17">
        <f t="shared" si="7"/>
        <v>1.664446418863111</v>
      </c>
      <c r="AD9" s="17">
        <f t="shared" si="8"/>
        <v>1.2351800217565043</v>
      </c>
      <c r="AE9" s="17">
        <f t="shared" si="9"/>
        <v>10.152441100576109</v>
      </c>
      <c r="AF9" s="17">
        <f t="shared" si="4"/>
        <v>9.7283386005761088</v>
      </c>
    </row>
    <row r="10" spans="1:32" x14ac:dyDescent="0.25">
      <c r="A10" s="14">
        <v>8</v>
      </c>
      <c r="B10" s="14"/>
      <c r="C10" s="14">
        <v>35</v>
      </c>
      <c r="D10" s="14"/>
      <c r="E10" s="15">
        <v>-0.42808491999999998</v>
      </c>
      <c r="F10" s="15">
        <v>-0.43019247999999999</v>
      </c>
      <c r="G10" s="15">
        <v>2.1075299999999998E-3</v>
      </c>
      <c r="H10" s="15">
        <v>0.71910490000000005</v>
      </c>
      <c r="I10" s="15">
        <v>0.71202743999999996</v>
      </c>
      <c r="J10" s="15">
        <v>7.0774599999999998E-3</v>
      </c>
      <c r="K10" s="18">
        <v>22.19</v>
      </c>
      <c r="L10" s="18">
        <v>22.18</v>
      </c>
      <c r="M10" s="18">
        <v>0.01</v>
      </c>
      <c r="N10" s="15">
        <v>2.853723E-2</v>
      </c>
      <c r="O10" s="15">
        <v>2.1100580000000001E-2</v>
      </c>
      <c r="P10" s="15">
        <v>7.4366399999999996E-3</v>
      </c>
      <c r="Q10" s="15">
        <v>4.8028599999999999E-3</v>
      </c>
      <c r="R10" s="15">
        <v>3.3008999999999998E-3</v>
      </c>
      <c r="S10" s="15">
        <v>1.5019499999999999E-3</v>
      </c>
      <c r="T10" s="14"/>
      <c r="U10" s="15">
        <f t="shared" si="5"/>
        <v>-1.0537800000000042E-3</v>
      </c>
      <c r="V10" s="15">
        <f t="shared" si="6"/>
        <v>3.5387300000000455E-3</v>
      </c>
      <c r="W10" s="15"/>
      <c r="X10" s="15"/>
      <c r="Y10" s="16">
        <f t="shared" si="0"/>
        <v>2.853723E-2</v>
      </c>
      <c r="Z10" s="16">
        <f t="shared" si="1"/>
        <v>4.8028599999999999E-3</v>
      </c>
      <c r="AA10" s="16">
        <f t="shared" si="2"/>
        <v>2.1100580000000001E-2</v>
      </c>
      <c r="AB10" s="16">
        <f t="shared" si="3"/>
        <v>3.3008999999999998E-3</v>
      </c>
      <c r="AC10" s="17">
        <f t="shared" si="7"/>
        <v>1.6582895596883398</v>
      </c>
      <c r="AD10" s="17">
        <f t="shared" si="8"/>
        <v>1.2237710379347149</v>
      </c>
      <c r="AE10" s="17">
        <f t="shared" si="9"/>
        <v>9.553438135051902</v>
      </c>
      <c r="AF10" s="17">
        <f t="shared" si="4"/>
        <v>9.1232456550519014</v>
      </c>
    </row>
    <row r="11" spans="1:32" x14ac:dyDescent="0.25">
      <c r="A11" s="14">
        <v>9</v>
      </c>
      <c r="B11" s="14"/>
      <c r="C11" s="14">
        <v>40</v>
      </c>
      <c r="D11" s="14"/>
      <c r="E11" s="15">
        <v>-0.43028499999999997</v>
      </c>
      <c r="F11" s="15">
        <v>-0.42972248000000002</v>
      </c>
      <c r="G11" s="15">
        <v>-5.6251999999999995E-4</v>
      </c>
      <c r="H11" s="15">
        <v>0.71742499999999998</v>
      </c>
      <c r="I11" s="15">
        <v>0.71080500000000002</v>
      </c>
      <c r="J11" s="15">
        <v>6.6199900000000001E-3</v>
      </c>
      <c r="K11" s="18">
        <v>22.22</v>
      </c>
      <c r="L11" s="18">
        <v>22.22</v>
      </c>
      <c r="M11" s="18">
        <v>0</v>
      </c>
      <c r="N11" s="15">
        <v>2.8625609999999999E-2</v>
      </c>
      <c r="O11" s="15">
        <v>2.1214230000000001E-2</v>
      </c>
      <c r="P11" s="15">
        <v>7.4113800000000004E-3</v>
      </c>
      <c r="Q11" s="15">
        <v>4.4675299999999999E-3</v>
      </c>
      <c r="R11" s="15">
        <v>3.6243899999999999E-3</v>
      </c>
      <c r="S11" s="15">
        <v>8.4314000000000004E-4</v>
      </c>
      <c r="T11" s="14"/>
      <c r="U11" s="15">
        <f t="shared" si="5"/>
        <v>2.8125999999997764E-4</v>
      </c>
      <c r="V11" s="15">
        <f t="shared" si="6"/>
        <v>3.3099999999999796E-3</v>
      </c>
      <c r="W11" s="15"/>
      <c r="X11" s="15"/>
      <c r="Y11" s="16">
        <f t="shared" si="0"/>
        <v>2.8625609999999999E-2</v>
      </c>
      <c r="Z11" s="16">
        <f t="shared" si="1"/>
        <v>4.4675299999999999E-3</v>
      </c>
      <c r="AA11" s="16">
        <f t="shared" si="2"/>
        <v>2.1214230000000001E-2</v>
      </c>
      <c r="AB11" s="16">
        <f t="shared" si="3"/>
        <v>3.6243899999999999E-3</v>
      </c>
      <c r="AC11" s="17">
        <f t="shared" si="7"/>
        <v>1.6602131420754607</v>
      </c>
      <c r="AD11" s="17">
        <f t="shared" si="8"/>
        <v>1.2331927125033939</v>
      </c>
      <c r="AE11" s="17">
        <f t="shared" si="9"/>
        <v>8.8704566903017597</v>
      </c>
      <c r="AF11" s="17">
        <f t="shared" si="4"/>
        <v>8.4407342103017591</v>
      </c>
    </row>
    <row r="12" spans="1:32" x14ac:dyDescent="0.25">
      <c r="A12" s="14">
        <v>10</v>
      </c>
      <c r="B12" s="14"/>
      <c r="C12" s="14">
        <v>45</v>
      </c>
      <c r="D12" s="14"/>
      <c r="E12" s="15">
        <v>-0.42941499999999999</v>
      </c>
      <c r="F12" s="15">
        <v>-0.42844492000000001</v>
      </c>
      <c r="G12" s="15">
        <v>-9.7006999999999996E-4</v>
      </c>
      <c r="H12" s="15">
        <v>0.71669495999999999</v>
      </c>
      <c r="I12" s="15">
        <v>0.71225760000000005</v>
      </c>
      <c r="J12" s="15">
        <v>4.4373900000000003E-3</v>
      </c>
      <c r="K12" s="18">
        <v>22.19</v>
      </c>
      <c r="L12" s="18">
        <v>22.19</v>
      </c>
      <c r="M12" s="18">
        <v>-0.01</v>
      </c>
      <c r="N12" s="15">
        <v>2.8785519999999998E-2</v>
      </c>
      <c r="O12" s="15">
        <v>2.1030030000000002E-2</v>
      </c>
      <c r="P12" s="15">
        <v>7.7554900000000003E-3</v>
      </c>
      <c r="Q12" s="15">
        <v>4.0322300000000004E-3</v>
      </c>
      <c r="R12" s="15">
        <v>4.1520999999999997E-3</v>
      </c>
      <c r="S12" s="15">
        <v>-1.1987E-4</v>
      </c>
      <c r="T12" s="14"/>
      <c r="U12" s="15">
        <f t="shared" si="5"/>
        <v>4.8503999999999214E-4</v>
      </c>
      <c r="V12" s="15">
        <f t="shared" si="6"/>
        <v>2.2186799999999729E-3</v>
      </c>
      <c r="W12" s="15"/>
      <c r="X12" s="15"/>
      <c r="Y12" s="16">
        <f t="shared" si="0"/>
        <v>2.8785519999999998E-2</v>
      </c>
      <c r="Z12" s="16">
        <f t="shared" si="1"/>
        <v>4.0322300000000004E-3</v>
      </c>
      <c r="AA12" s="16">
        <f t="shared" si="2"/>
        <v>2.1030030000000002E-2</v>
      </c>
      <c r="AB12" s="16">
        <f t="shared" si="3"/>
        <v>4.1520999999999997E-3</v>
      </c>
      <c r="AC12" s="17">
        <f t="shared" si="7"/>
        <v>1.6656259356529777</v>
      </c>
      <c r="AD12" s="17">
        <f t="shared" si="8"/>
        <v>1.228286408870541</v>
      </c>
      <c r="AE12" s="17">
        <f t="shared" si="9"/>
        <v>7.9740167960718145</v>
      </c>
      <c r="AF12" s="17">
        <f t="shared" si="4"/>
        <v>7.5455718760718149</v>
      </c>
    </row>
    <row r="13" spans="1:32" x14ac:dyDescent="0.25">
      <c r="A13" s="14">
        <v>11</v>
      </c>
      <c r="B13" s="14"/>
      <c r="C13" s="14">
        <v>50</v>
      </c>
      <c r="D13" s="14"/>
      <c r="E13" s="15">
        <v>-0.4281625</v>
      </c>
      <c r="F13" s="15">
        <v>-0.42477749999999997</v>
      </c>
      <c r="G13" s="15">
        <v>-3.3849800000000001E-3</v>
      </c>
      <c r="H13" s="15">
        <v>0.71243000000000001</v>
      </c>
      <c r="I13" s="15">
        <v>0.70851489999999995</v>
      </c>
      <c r="J13" s="15">
        <v>3.9150699999999997E-3</v>
      </c>
      <c r="K13" s="18">
        <v>22.26</v>
      </c>
      <c r="L13" s="18">
        <v>22.27</v>
      </c>
      <c r="M13" s="18">
        <v>-0.02</v>
      </c>
      <c r="N13" s="15">
        <v>2.9623170000000001E-2</v>
      </c>
      <c r="O13" s="15">
        <v>2.197986E-2</v>
      </c>
      <c r="P13" s="15">
        <v>7.6433100000000004E-3</v>
      </c>
      <c r="Q13" s="15">
        <v>3.9311499999999996E-3</v>
      </c>
      <c r="R13" s="15">
        <v>4.52039E-3</v>
      </c>
      <c r="S13" s="15">
        <v>-5.8923000000000005E-4</v>
      </c>
      <c r="T13" s="14"/>
      <c r="U13" s="15">
        <f t="shared" si="5"/>
        <v>1.6925000000000134E-3</v>
      </c>
      <c r="V13" s="15">
        <f t="shared" si="6"/>
        <v>1.9575500000000301E-3</v>
      </c>
      <c r="W13" s="15"/>
      <c r="X13" s="15"/>
      <c r="Y13" s="16">
        <f t="shared" si="0"/>
        <v>2.9623170000000001E-2</v>
      </c>
      <c r="Z13" s="16">
        <f t="shared" si="1"/>
        <v>3.9311499999999996E-3</v>
      </c>
      <c r="AA13" s="16">
        <f t="shared" si="2"/>
        <v>2.197986E-2</v>
      </c>
      <c r="AB13" s="16">
        <f t="shared" si="3"/>
        <v>4.52039E-3</v>
      </c>
      <c r="AC13" s="17">
        <f t="shared" si="7"/>
        <v>1.7124174686661116</v>
      </c>
      <c r="AD13" s="17">
        <f t="shared" si="8"/>
        <v>1.2858182891375562</v>
      </c>
      <c r="AE13" s="17">
        <f t="shared" si="9"/>
        <v>7.5592821815805129</v>
      </c>
      <c r="AF13" s="17">
        <f t="shared" si="4"/>
        <v>7.1345046815805127</v>
      </c>
    </row>
    <row r="14" spans="1:32" x14ac:dyDescent="0.25">
      <c r="A14" s="14">
        <v>12</v>
      </c>
      <c r="B14" s="14"/>
      <c r="C14" s="14">
        <v>55</v>
      </c>
      <c r="D14" s="14"/>
      <c r="E14" s="15">
        <v>-0.428815</v>
      </c>
      <c r="F14" s="15">
        <v>-0.42879748000000001</v>
      </c>
      <c r="G14" s="15">
        <v>-1.749E-5</v>
      </c>
      <c r="H14" s="15">
        <v>0.71745239999999999</v>
      </c>
      <c r="I14" s="15">
        <v>0.71239255999999995</v>
      </c>
      <c r="J14" s="15">
        <v>5.0598400000000003E-3</v>
      </c>
      <c r="K14" s="18">
        <v>22.21</v>
      </c>
      <c r="L14" s="18">
        <v>22.21</v>
      </c>
      <c r="M14" s="18">
        <v>0</v>
      </c>
      <c r="N14" s="15">
        <v>2.865125E-2</v>
      </c>
      <c r="O14" s="15">
        <v>2.116931E-2</v>
      </c>
      <c r="P14" s="15">
        <v>7.4819400000000003E-3</v>
      </c>
      <c r="Q14" s="15">
        <v>3.37097E-3</v>
      </c>
      <c r="R14" s="15">
        <v>4.6684600000000001E-3</v>
      </c>
      <c r="S14" s="15">
        <v>-1.2974900000000001E-3</v>
      </c>
      <c r="T14" s="14"/>
      <c r="U14" s="15">
        <f t="shared" si="5"/>
        <v>8.7599999999965483E-6</v>
      </c>
      <c r="V14" s="15">
        <f t="shared" si="6"/>
        <v>2.5299200000000188E-3</v>
      </c>
      <c r="W14" s="15"/>
      <c r="X14" s="15"/>
      <c r="Y14" s="16">
        <f t="shared" si="0"/>
        <v>2.865125E-2</v>
      </c>
      <c r="Z14" s="16">
        <f t="shared" si="1"/>
        <v>3.37097E-3</v>
      </c>
      <c r="AA14" s="16">
        <f t="shared" si="2"/>
        <v>2.116931E-2</v>
      </c>
      <c r="AB14" s="16">
        <f t="shared" si="3"/>
        <v>4.6684600000000001E-3</v>
      </c>
      <c r="AC14" s="17">
        <f t="shared" si="7"/>
        <v>1.653148119501842</v>
      </c>
      <c r="AD14" s="17">
        <f t="shared" si="8"/>
        <v>1.2421532546313421</v>
      </c>
      <c r="AE14" s="17">
        <f t="shared" si="9"/>
        <v>6.7102997564283786</v>
      </c>
      <c r="AF14" s="17">
        <f t="shared" si="4"/>
        <v>6.2815022764283786</v>
      </c>
    </row>
    <row r="15" spans="1:32" x14ac:dyDescent="0.25">
      <c r="A15" s="14">
        <v>13</v>
      </c>
      <c r="B15" s="14"/>
      <c r="C15" s="14">
        <v>60</v>
      </c>
      <c r="D15" s="14"/>
      <c r="E15" s="15">
        <v>-0.42891491999999998</v>
      </c>
      <c r="F15" s="15">
        <v>-0.42766500000000002</v>
      </c>
      <c r="G15" s="15">
        <v>-1.2499399999999999E-3</v>
      </c>
      <c r="H15" s="15">
        <v>0.71956984000000002</v>
      </c>
      <c r="I15" s="15">
        <v>0.71339991999999997</v>
      </c>
      <c r="J15" s="15">
        <v>6.1699199999999997E-3</v>
      </c>
      <c r="K15" s="18">
        <v>22.17</v>
      </c>
      <c r="L15" s="18">
        <v>22.18</v>
      </c>
      <c r="M15" s="18">
        <v>0</v>
      </c>
      <c r="N15" s="15">
        <v>2.8669190000000001E-2</v>
      </c>
      <c r="O15" s="15">
        <v>2.1282349999999998E-2</v>
      </c>
      <c r="P15" s="15">
        <v>7.3868400000000004E-3</v>
      </c>
      <c r="Q15" s="15">
        <v>3.0474899999999999E-3</v>
      </c>
      <c r="R15" s="15">
        <v>5.1264700000000002E-3</v>
      </c>
      <c r="S15" s="15">
        <v>-2.0789799999999998E-3</v>
      </c>
      <c r="T15" s="14"/>
      <c r="U15" s="15">
        <f t="shared" si="5"/>
        <v>6.2495999999997998E-4</v>
      </c>
      <c r="V15" s="15">
        <f t="shared" si="6"/>
        <v>3.0849600000000255E-3</v>
      </c>
      <c r="W15" s="15"/>
      <c r="X15" s="15"/>
      <c r="Y15" s="16">
        <f t="shared" si="0"/>
        <v>2.8669190000000001E-2</v>
      </c>
      <c r="Z15" s="16">
        <f t="shared" si="1"/>
        <v>3.0474899999999999E-3</v>
      </c>
      <c r="AA15" s="16">
        <f t="shared" si="2"/>
        <v>2.1282349999999998E-2</v>
      </c>
      <c r="AB15" s="16">
        <f t="shared" si="3"/>
        <v>5.1264700000000002E-3</v>
      </c>
      <c r="AC15" s="17">
        <f t="shared" si="7"/>
        <v>1.6521067444500834</v>
      </c>
      <c r="AD15" s="17">
        <f t="shared" si="8"/>
        <v>1.2543663427323837</v>
      </c>
      <c r="AE15" s="17">
        <f t="shared" si="9"/>
        <v>6.0676665150409876</v>
      </c>
      <c r="AF15" s="17">
        <f t="shared" si="4"/>
        <v>5.6400015150409875</v>
      </c>
    </row>
    <row r="16" spans="1:32" x14ac:dyDescent="0.25">
      <c r="A16" s="14">
        <v>14</v>
      </c>
      <c r="B16" s="14"/>
      <c r="C16" s="14">
        <v>65</v>
      </c>
      <c r="D16" s="14"/>
      <c r="E16" s="15">
        <v>-0.42723255999999998</v>
      </c>
      <c r="F16" s="15">
        <v>-0.4252225</v>
      </c>
      <c r="G16" s="15">
        <v>-2.01008E-3</v>
      </c>
      <c r="H16" s="15">
        <v>0.71770489999999998</v>
      </c>
      <c r="I16" s="15">
        <v>0.71143495999999995</v>
      </c>
      <c r="J16" s="15">
        <v>6.2699299999999999E-3</v>
      </c>
      <c r="K16" s="18">
        <v>22.2</v>
      </c>
      <c r="L16" s="18">
        <v>22.22</v>
      </c>
      <c r="M16" s="18">
        <v>-0.02</v>
      </c>
      <c r="N16" s="15">
        <v>2.8511470000000001E-2</v>
      </c>
      <c r="O16" s="15">
        <v>2.1208500000000002E-2</v>
      </c>
      <c r="P16" s="15">
        <v>7.3029799999999997E-3</v>
      </c>
      <c r="Q16" s="15">
        <v>2.7193600000000001E-3</v>
      </c>
      <c r="R16" s="15">
        <v>5.3832999999999997E-3</v>
      </c>
      <c r="S16" s="15">
        <v>-2.6639400000000001E-3</v>
      </c>
      <c r="T16" s="14"/>
      <c r="U16" s="15">
        <f t="shared" si="5"/>
        <v>1.0050299999999901E-3</v>
      </c>
      <c r="V16" s="15">
        <f t="shared" si="6"/>
        <v>3.1349700000000147E-3</v>
      </c>
      <c r="W16" s="15"/>
      <c r="X16" s="15"/>
      <c r="Y16" s="16">
        <f t="shared" si="0"/>
        <v>2.8511470000000001E-2</v>
      </c>
      <c r="Z16" s="16">
        <f t="shared" si="1"/>
        <v>2.7193600000000001E-3</v>
      </c>
      <c r="AA16" s="16">
        <f t="shared" si="2"/>
        <v>2.1208500000000002E-2</v>
      </c>
      <c r="AB16" s="16">
        <f t="shared" si="3"/>
        <v>5.3832999999999997E-3</v>
      </c>
      <c r="AC16" s="17">
        <f t="shared" si="7"/>
        <v>1.641224813091783</v>
      </c>
      <c r="AD16" s="17">
        <f t="shared" si="8"/>
        <v>1.2537919334266461</v>
      </c>
      <c r="AE16" s="17">
        <f t="shared" si="9"/>
        <v>5.4482619133312111</v>
      </c>
      <c r="AF16" s="17">
        <f t="shared" si="4"/>
        <v>5.0230394133312108</v>
      </c>
    </row>
    <row r="17" spans="1:32" x14ac:dyDescent="0.25">
      <c r="A17" s="14">
        <v>15</v>
      </c>
      <c r="B17" s="14"/>
      <c r="C17" s="14">
        <v>70</v>
      </c>
      <c r="D17" s="14"/>
      <c r="E17" s="15">
        <v>-0.42789500000000003</v>
      </c>
      <c r="F17" s="15">
        <v>-0.42919000000000002</v>
      </c>
      <c r="G17" s="15">
        <v>1.2949999999999999E-3</v>
      </c>
      <c r="H17" s="15">
        <v>0.71766750000000001</v>
      </c>
      <c r="I17" s="15">
        <v>0.71280500000000002</v>
      </c>
      <c r="J17" s="15">
        <v>4.8625500000000002E-3</v>
      </c>
      <c r="K17" s="18">
        <v>22.19</v>
      </c>
      <c r="L17" s="18">
        <v>22.2</v>
      </c>
      <c r="M17" s="18">
        <v>-0.01</v>
      </c>
      <c r="N17" s="15">
        <v>2.9410889999999999E-2</v>
      </c>
      <c r="O17" s="15">
        <v>2.2519649999999999E-2</v>
      </c>
      <c r="P17" s="15">
        <v>6.8912399999999999E-3</v>
      </c>
      <c r="Q17" s="15">
        <v>2.5251499999999999E-3</v>
      </c>
      <c r="R17" s="15">
        <v>6.0346699999999998E-3</v>
      </c>
      <c r="S17" s="15">
        <v>-3.5095199999999999E-3</v>
      </c>
      <c r="T17" s="14"/>
      <c r="U17" s="15">
        <f t="shared" si="5"/>
        <v>-6.474999999999953E-4</v>
      </c>
      <c r="V17" s="15">
        <f t="shared" si="6"/>
        <v>2.4312499999999959E-3</v>
      </c>
      <c r="W17" s="15"/>
      <c r="X17" s="15"/>
      <c r="Y17" s="16">
        <f t="shared" si="0"/>
        <v>2.9410889999999999E-2</v>
      </c>
      <c r="Z17" s="16">
        <f t="shared" si="1"/>
        <v>2.5251499999999999E-3</v>
      </c>
      <c r="AA17" s="16">
        <f t="shared" si="2"/>
        <v>2.2519649999999999E-2</v>
      </c>
      <c r="AB17" s="16">
        <f t="shared" si="3"/>
        <v>6.0346699999999998E-3</v>
      </c>
      <c r="AC17" s="17">
        <f t="shared" si="7"/>
        <v>1.6915651518636323</v>
      </c>
      <c r="AD17" s="17">
        <f t="shared" si="8"/>
        <v>1.3359262521092568</v>
      </c>
      <c r="AE17" s="17">
        <f t="shared" si="9"/>
        <v>4.9072468076762981</v>
      </c>
      <c r="AF17" s="17">
        <f t="shared" si="4"/>
        <v>4.4780568076762979</v>
      </c>
    </row>
    <row r="18" spans="1:32" x14ac:dyDescent="0.25">
      <c r="A18" s="14">
        <v>16</v>
      </c>
      <c r="B18" s="14"/>
      <c r="C18" s="14">
        <v>75</v>
      </c>
      <c r="D18" s="14"/>
      <c r="E18" s="15">
        <v>-0.43048491999999999</v>
      </c>
      <c r="F18" s="15">
        <v>-0.42921996000000001</v>
      </c>
      <c r="G18" s="15">
        <v>-1.2649600000000001E-3</v>
      </c>
      <c r="H18" s="15">
        <v>0.71852499999999997</v>
      </c>
      <c r="I18" s="15">
        <v>0.71277000000000001</v>
      </c>
      <c r="J18" s="15">
        <v>5.7550099999999996E-3</v>
      </c>
      <c r="K18" s="18">
        <v>22.16</v>
      </c>
      <c r="L18" s="18">
        <v>22.16</v>
      </c>
      <c r="M18" s="18">
        <v>0</v>
      </c>
      <c r="N18" s="15">
        <v>2.8325929999999999E-2</v>
      </c>
      <c r="O18" s="15">
        <v>2.1757329999999998E-2</v>
      </c>
      <c r="P18" s="15">
        <v>6.5686E-3</v>
      </c>
      <c r="Q18" s="15">
        <v>2.0046399999999998E-3</v>
      </c>
      <c r="R18" s="15">
        <v>6.0723900000000004E-3</v>
      </c>
      <c r="S18" s="15">
        <v>-4.0677500000000002E-3</v>
      </c>
      <c r="T18" s="14"/>
      <c r="U18" s="15">
        <f t="shared" si="5"/>
        <v>6.3247999999999083E-4</v>
      </c>
      <c r="V18" s="15">
        <f t="shared" si="6"/>
        <v>2.8774999999999773E-3</v>
      </c>
      <c r="W18" s="15"/>
      <c r="X18" s="15"/>
      <c r="Y18" s="16">
        <f t="shared" si="0"/>
        <v>2.8325929999999999E-2</v>
      </c>
      <c r="Z18" s="16">
        <f t="shared" si="1"/>
        <v>2.0046399999999998E-3</v>
      </c>
      <c r="AA18" s="16">
        <f t="shared" si="2"/>
        <v>2.1757329999999998E-2</v>
      </c>
      <c r="AB18" s="16">
        <f t="shared" si="3"/>
        <v>6.0723900000000004E-3</v>
      </c>
      <c r="AC18" s="17">
        <f t="shared" si="7"/>
        <v>1.6272341653115399</v>
      </c>
      <c r="AD18" s="17">
        <f t="shared" si="8"/>
        <v>1.2943548262473505</v>
      </c>
      <c r="AE18" s="17">
        <f t="shared" si="9"/>
        <v>4.0481012488785897</v>
      </c>
      <c r="AF18" s="17">
        <f t="shared" si="4"/>
        <v>3.6188812888785895</v>
      </c>
    </row>
    <row r="19" spans="1:32" x14ac:dyDescent="0.25">
      <c r="A19" s="14">
        <v>17</v>
      </c>
      <c r="B19" s="14"/>
      <c r="C19" s="14">
        <v>80</v>
      </c>
      <c r="D19" s="14"/>
      <c r="E19" s="15">
        <v>-0.42795243999999999</v>
      </c>
      <c r="F19" s="15">
        <v>-0.42704495999999997</v>
      </c>
      <c r="G19" s="15">
        <v>-9.0748000000000001E-4</v>
      </c>
      <c r="H19" s="15">
        <v>0.71657990000000005</v>
      </c>
      <c r="I19" s="15">
        <v>0.71253</v>
      </c>
      <c r="J19" s="15">
        <v>4.04996E-3</v>
      </c>
      <c r="K19" s="18">
        <v>22.17</v>
      </c>
      <c r="L19" s="18">
        <v>22.17</v>
      </c>
      <c r="M19" s="18">
        <v>0</v>
      </c>
      <c r="N19" s="15">
        <v>2.827381E-2</v>
      </c>
      <c r="O19" s="15">
        <v>2.1628660000000001E-2</v>
      </c>
      <c r="P19" s="15">
        <v>6.6451499999999998E-3</v>
      </c>
      <c r="Q19" s="15">
        <v>1.80383E-3</v>
      </c>
      <c r="R19" s="15">
        <v>6.4311500000000001E-3</v>
      </c>
      <c r="S19" s="15">
        <v>-4.6273199999999999E-3</v>
      </c>
      <c r="T19" s="14"/>
      <c r="U19" s="15">
        <f t="shared" si="5"/>
        <v>4.5374000000000803E-4</v>
      </c>
      <c r="V19" s="15">
        <f t="shared" si="6"/>
        <v>2.0249500000000253E-3</v>
      </c>
      <c r="W19" s="15"/>
      <c r="X19" s="15"/>
      <c r="Y19" s="16">
        <f t="shared" si="0"/>
        <v>2.827381E-2</v>
      </c>
      <c r="Z19" s="16">
        <f t="shared" si="1"/>
        <v>1.80383E-3</v>
      </c>
      <c r="AA19" s="16">
        <f t="shared" si="2"/>
        <v>2.1628660000000001E-2</v>
      </c>
      <c r="AB19" s="16">
        <f t="shared" si="3"/>
        <v>6.4311500000000001E-3</v>
      </c>
      <c r="AC19" s="17">
        <f t="shared" ref="AC19:AC34" si="10">IF(Y19="","",DEGREES(ASIN(SQRT(Y19^2+Z19^2))))</f>
        <v>1.6234807220932195</v>
      </c>
      <c r="AD19" s="17">
        <f t="shared" ref="AD19:AD34" si="11">IF(AA19="","",DEGREES(ASIN(SQRT(AA19^2+AB19^2))))</f>
        <v>1.2929628460028271</v>
      </c>
      <c r="AE19" s="17">
        <f t="shared" ref="AE19:AE34" si="12">IF(Y19="","",MOD(DEGREES(ATAN2(Y19,Z19)),360))</f>
        <v>3.650444150490527</v>
      </c>
      <c r="AF19" s="17">
        <f t="shared" si="4"/>
        <v>3.223399190490527</v>
      </c>
    </row>
    <row r="20" spans="1:32" x14ac:dyDescent="0.25">
      <c r="A20" s="14">
        <v>18</v>
      </c>
      <c r="B20" s="14"/>
      <c r="C20" s="14">
        <v>85</v>
      </c>
      <c r="D20" s="14"/>
      <c r="E20" s="15">
        <v>-0.42724748000000001</v>
      </c>
      <c r="F20" s="15">
        <v>-0.42797748000000002</v>
      </c>
      <c r="G20" s="15">
        <v>7.3001000000000001E-4</v>
      </c>
      <c r="H20" s="15">
        <v>0.7158274</v>
      </c>
      <c r="I20" s="15">
        <v>0.71375748000000006</v>
      </c>
      <c r="J20" s="15">
        <v>2.0699500000000001E-3</v>
      </c>
      <c r="K20" s="18">
        <v>22.22</v>
      </c>
      <c r="L20" s="18">
        <v>22.21</v>
      </c>
      <c r="M20" s="18">
        <v>0.01</v>
      </c>
      <c r="N20" s="15">
        <v>2.8990229999999999E-2</v>
      </c>
      <c r="O20" s="15">
        <v>2.2963500000000001E-2</v>
      </c>
      <c r="P20" s="15">
        <v>6.0267300000000001E-3</v>
      </c>
      <c r="Q20" s="15">
        <v>1.5513899999999999E-3</v>
      </c>
      <c r="R20" s="15">
        <v>6.94116E-3</v>
      </c>
      <c r="S20" s="15">
        <v>-5.3897700000000003E-3</v>
      </c>
      <c r="T20" s="14"/>
      <c r="U20" s="15">
        <f t="shared" si="5"/>
        <v>-3.6500000000000421E-4</v>
      </c>
      <c r="V20" s="15">
        <f t="shared" si="6"/>
        <v>1.0349599999999737E-3</v>
      </c>
      <c r="W20" s="15"/>
      <c r="X20" s="15"/>
      <c r="Y20" s="16">
        <f t="shared" si="0"/>
        <v>2.8990229999999999E-2</v>
      </c>
      <c r="Z20" s="16">
        <f t="shared" si="1"/>
        <v>1.5513899999999999E-3</v>
      </c>
      <c r="AA20" s="16">
        <f t="shared" si="2"/>
        <v>2.2963500000000001E-2</v>
      </c>
      <c r="AB20" s="16">
        <f t="shared" si="3"/>
        <v>6.94116E-3</v>
      </c>
      <c r="AC20" s="17">
        <f t="shared" si="10"/>
        <v>1.6636282664121236</v>
      </c>
      <c r="AD20" s="17">
        <f t="shared" si="11"/>
        <v>1.3746360496135941</v>
      </c>
      <c r="AE20" s="17">
        <f t="shared" si="12"/>
        <v>3.0632179560820818</v>
      </c>
      <c r="AF20" s="17">
        <f t="shared" si="4"/>
        <v>2.6352404760820818</v>
      </c>
    </row>
    <row r="21" spans="1:32" x14ac:dyDescent="0.25">
      <c r="A21" s="14">
        <v>19</v>
      </c>
      <c r="B21" s="14"/>
      <c r="C21" s="14">
        <v>90</v>
      </c>
      <c r="D21" s="14"/>
      <c r="E21" s="15">
        <v>-0.42951492000000002</v>
      </c>
      <c r="F21" s="15">
        <v>-0.42990504000000002</v>
      </c>
      <c r="G21" s="15">
        <v>3.9008000000000001E-4</v>
      </c>
      <c r="H21" s="15">
        <v>0.71252499999999996</v>
      </c>
      <c r="I21" s="15">
        <v>0.70809</v>
      </c>
      <c r="J21" s="15">
        <v>4.4349999999999997E-3</v>
      </c>
      <c r="K21" s="18">
        <v>22.23</v>
      </c>
      <c r="L21" s="18">
        <v>22.25</v>
      </c>
      <c r="M21" s="18">
        <v>-0.01</v>
      </c>
      <c r="N21" s="15">
        <v>2.8987550000000001E-2</v>
      </c>
      <c r="O21" s="15">
        <v>2.3442660000000001E-2</v>
      </c>
      <c r="P21" s="15">
        <v>5.5448900000000002E-3</v>
      </c>
      <c r="Q21" s="15">
        <v>1.2591600000000001E-3</v>
      </c>
      <c r="R21" s="15">
        <v>7.1221899999999996E-3</v>
      </c>
      <c r="S21" s="15">
        <v>-5.8630399999999999E-3</v>
      </c>
      <c r="T21" s="14"/>
      <c r="U21" s="15">
        <f t="shared" si="5"/>
        <v>-1.950599999999969E-4</v>
      </c>
      <c r="V21" s="15">
        <f t="shared" si="6"/>
        <v>2.2174999999999834E-3</v>
      </c>
      <c r="W21" s="15"/>
      <c r="X21" s="15"/>
      <c r="Y21" s="16">
        <f t="shared" si="0"/>
        <v>2.8987550000000001E-2</v>
      </c>
      <c r="Z21" s="16">
        <f t="shared" si="1"/>
        <v>1.2591600000000001E-3</v>
      </c>
      <c r="AA21" s="16">
        <f t="shared" si="2"/>
        <v>2.3442660000000001E-2</v>
      </c>
      <c r="AB21" s="16">
        <f t="shared" si="3"/>
        <v>7.1221899999999996E-3</v>
      </c>
      <c r="AC21" s="17">
        <f t="shared" si="10"/>
        <v>1.662663786069007</v>
      </c>
      <c r="AD21" s="17">
        <f t="shared" si="11"/>
        <v>1.4039267178122521</v>
      </c>
      <c r="AE21" s="17">
        <f t="shared" si="12"/>
        <v>2.4872481311878567</v>
      </c>
      <c r="AF21" s="17">
        <f t="shared" si="4"/>
        <v>2.0573430911878567</v>
      </c>
    </row>
    <row r="22" spans="1:32" x14ac:dyDescent="0.25">
      <c r="A22" s="14">
        <v>20</v>
      </c>
      <c r="B22" s="14"/>
      <c r="C22" s="14">
        <v>95</v>
      </c>
      <c r="D22" s="14"/>
      <c r="E22" s="15">
        <v>-0.42779250000000002</v>
      </c>
      <c r="F22" s="15">
        <v>-0.42777004000000002</v>
      </c>
      <c r="G22" s="15">
        <v>-2.2439999999999999E-5</v>
      </c>
      <c r="H22" s="15">
        <v>0.71585507999999998</v>
      </c>
      <c r="I22" s="15">
        <v>0.71068492000000005</v>
      </c>
      <c r="J22" s="15">
        <v>5.1701100000000003E-3</v>
      </c>
      <c r="K22" s="18">
        <v>22.2</v>
      </c>
      <c r="L22" s="18">
        <v>22.2</v>
      </c>
      <c r="M22" s="18">
        <v>0</v>
      </c>
      <c r="N22" s="15">
        <v>2.747498E-2</v>
      </c>
      <c r="O22" s="15">
        <v>2.2630609999999999E-2</v>
      </c>
      <c r="P22" s="15">
        <v>4.8443599999999998E-3</v>
      </c>
      <c r="Q22" s="15">
        <v>1.0216100000000001E-3</v>
      </c>
      <c r="R22" s="15">
        <v>7.0527300000000001E-3</v>
      </c>
      <c r="S22" s="15">
        <v>-6.03113E-3</v>
      </c>
      <c r="T22" s="14"/>
      <c r="U22" s="15">
        <f t="shared" si="5"/>
        <v>1.1230000000000961E-5</v>
      </c>
      <c r="V22" s="15">
        <f t="shared" si="6"/>
        <v>2.5850799999999619E-3</v>
      </c>
      <c r="W22" s="15"/>
      <c r="X22" s="15"/>
      <c r="Y22" s="16">
        <f t="shared" si="0"/>
        <v>2.747498E-2</v>
      </c>
      <c r="Z22" s="16">
        <f t="shared" si="1"/>
        <v>1.0216100000000001E-3</v>
      </c>
      <c r="AA22" s="16">
        <f t="shared" si="2"/>
        <v>2.2630609999999999E-2</v>
      </c>
      <c r="AB22" s="16">
        <f t="shared" si="3"/>
        <v>7.0527300000000001E-3</v>
      </c>
      <c r="AC22" s="17">
        <f t="shared" si="10"/>
        <v>1.5754867948035058</v>
      </c>
      <c r="AD22" s="17">
        <f t="shared" si="11"/>
        <v>1.358273499451685</v>
      </c>
      <c r="AE22" s="17">
        <f t="shared" si="12"/>
        <v>2.1294642393764049</v>
      </c>
      <c r="AF22" s="17">
        <f t="shared" si="4"/>
        <v>1.701694199376405</v>
      </c>
    </row>
    <row r="23" spans="1:32" x14ac:dyDescent="0.25">
      <c r="A23" s="14">
        <v>21</v>
      </c>
      <c r="B23" s="14"/>
      <c r="C23" s="14">
        <v>100</v>
      </c>
      <c r="D23" s="14"/>
      <c r="E23" s="15">
        <v>-0.42885000000000001</v>
      </c>
      <c r="F23" s="15">
        <v>-0.42653503999999998</v>
      </c>
      <c r="G23" s="15">
        <v>-2.31496E-3</v>
      </c>
      <c r="H23" s="15">
        <v>0.71583752</v>
      </c>
      <c r="I23" s="15">
        <v>0.71282992000000001</v>
      </c>
      <c r="J23" s="15">
        <v>3.0075900000000001E-3</v>
      </c>
      <c r="K23" s="18">
        <v>22.22</v>
      </c>
      <c r="L23" s="18">
        <v>22.22</v>
      </c>
      <c r="M23" s="18">
        <v>0</v>
      </c>
      <c r="N23" s="15">
        <v>2.6984250000000001E-2</v>
      </c>
      <c r="O23" s="15">
        <v>2.32915E-2</v>
      </c>
      <c r="P23" s="15">
        <v>3.6927499999999999E-3</v>
      </c>
      <c r="Q23" s="15">
        <v>8.7328999999999998E-4</v>
      </c>
      <c r="R23" s="15">
        <v>7.3013899999999996E-3</v>
      </c>
      <c r="S23" s="15">
        <v>-6.4281E-3</v>
      </c>
      <c r="T23" s="14"/>
      <c r="U23" s="15">
        <f t="shared" si="5"/>
        <v>1.1574800000000163E-3</v>
      </c>
      <c r="V23" s="15">
        <f t="shared" si="6"/>
        <v>1.5037999999999996E-3</v>
      </c>
      <c r="W23" s="15"/>
      <c r="X23" s="15"/>
      <c r="Y23" s="16">
        <f t="shared" si="0"/>
        <v>2.6984250000000001E-2</v>
      </c>
      <c r="Z23" s="16">
        <f t="shared" si="1"/>
        <v>8.7328999999999998E-4</v>
      </c>
      <c r="AA23" s="16">
        <f t="shared" si="2"/>
        <v>2.32915E-2</v>
      </c>
      <c r="AB23" s="16">
        <f t="shared" si="3"/>
        <v>7.3013899999999996E-3</v>
      </c>
      <c r="AC23" s="17">
        <f t="shared" si="10"/>
        <v>1.5470810666402042</v>
      </c>
      <c r="AD23" s="17">
        <f t="shared" si="11"/>
        <v>1.398677448502303</v>
      </c>
      <c r="AE23" s="17">
        <f t="shared" si="12"/>
        <v>1.8536136353359935</v>
      </c>
      <c r="AF23" s="17">
        <f t="shared" si="4"/>
        <v>1.4270785953359937</v>
      </c>
    </row>
    <row r="24" spans="1:32" x14ac:dyDescent="0.25">
      <c r="A24" s="14">
        <v>22</v>
      </c>
      <c r="B24" s="14"/>
      <c r="C24" s="14">
        <v>105</v>
      </c>
      <c r="D24" s="14"/>
      <c r="E24" s="15">
        <v>-0.42505248000000001</v>
      </c>
      <c r="F24" s="15">
        <v>-0.4315775</v>
      </c>
      <c r="G24" s="15">
        <v>6.5250400000000002E-3</v>
      </c>
      <c r="H24" s="15">
        <v>0.71675750000000005</v>
      </c>
      <c r="I24" s="15">
        <v>0.71358743999999996</v>
      </c>
      <c r="J24" s="15">
        <v>3.17001E-3</v>
      </c>
      <c r="K24" s="18">
        <v>22.21</v>
      </c>
      <c r="L24" s="18">
        <v>22.21</v>
      </c>
      <c r="M24" s="18">
        <v>0</v>
      </c>
      <c r="N24" s="15">
        <v>2.7046629999999999E-2</v>
      </c>
      <c r="O24" s="15">
        <v>2.325586E-2</v>
      </c>
      <c r="P24" s="15">
        <v>3.7907700000000002E-3</v>
      </c>
      <c r="Q24" s="15">
        <v>6.3867000000000004E-4</v>
      </c>
      <c r="R24" s="15">
        <v>7.6313500000000003E-3</v>
      </c>
      <c r="S24" s="15">
        <v>-6.9926800000000002E-3</v>
      </c>
      <c r="T24" s="14"/>
      <c r="U24" s="15">
        <f t="shared" si="5"/>
        <v>-3.2625099999999962E-3</v>
      </c>
      <c r="V24" s="15">
        <f t="shared" si="6"/>
        <v>1.5850300000000428E-3</v>
      </c>
      <c r="W24" s="15"/>
      <c r="X24" s="15"/>
      <c r="Y24" s="16">
        <f t="shared" si="0"/>
        <v>2.7046629999999999E-2</v>
      </c>
      <c r="Z24" s="16">
        <f t="shared" si="1"/>
        <v>6.3867000000000004E-4</v>
      </c>
      <c r="AA24" s="16">
        <f t="shared" si="2"/>
        <v>2.325586E-2</v>
      </c>
      <c r="AB24" s="16">
        <f t="shared" si="3"/>
        <v>7.6313500000000003E-3</v>
      </c>
      <c r="AC24" s="17">
        <f t="shared" si="10"/>
        <v>1.5502788920282644</v>
      </c>
      <c r="AD24" s="17">
        <f t="shared" si="11"/>
        <v>1.402509159195604</v>
      </c>
      <c r="AE24" s="17">
        <f t="shared" si="12"/>
        <v>1.3527118268606051</v>
      </c>
      <c r="AF24" s="17">
        <f t="shared" si="4"/>
        <v>0.92113432686060515</v>
      </c>
    </row>
    <row r="25" spans="1:32" x14ac:dyDescent="0.25">
      <c r="A25" s="14">
        <v>23</v>
      </c>
      <c r="B25" s="14"/>
      <c r="C25" s="14">
        <v>110</v>
      </c>
      <c r="D25" s="14"/>
      <c r="E25" s="15">
        <v>-0.42640995999999998</v>
      </c>
      <c r="F25" s="15">
        <v>-0.43029990000000001</v>
      </c>
      <c r="G25" s="15">
        <v>3.8899500000000001E-3</v>
      </c>
      <c r="H25" s="15">
        <v>0.71905991999999996</v>
      </c>
      <c r="I25" s="15">
        <v>0.71397999999999995</v>
      </c>
      <c r="J25" s="15">
        <v>5.0799800000000004E-3</v>
      </c>
      <c r="K25" s="18">
        <v>22.2</v>
      </c>
      <c r="L25" s="18">
        <v>22.21</v>
      </c>
      <c r="M25" s="18">
        <v>-0.01</v>
      </c>
      <c r="N25" s="15">
        <v>2.745935E-2</v>
      </c>
      <c r="O25" s="15">
        <v>2.4454340000000001E-2</v>
      </c>
      <c r="P25" s="15">
        <v>3.0050099999999998E-3</v>
      </c>
      <c r="Q25" s="15">
        <v>5.8350000000000003E-4</v>
      </c>
      <c r="R25" s="15">
        <v>7.9295700000000004E-3</v>
      </c>
      <c r="S25" s="15">
        <v>-7.3460699999999997E-3</v>
      </c>
      <c r="T25" s="14"/>
      <c r="U25" s="15">
        <f t="shared" si="5"/>
        <v>-1.9449700000000181E-3</v>
      </c>
      <c r="V25" s="15">
        <f t="shared" si="6"/>
        <v>2.5399600000000078E-3</v>
      </c>
      <c r="W25" s="15"/>
      <c r="X25" s="15"/>
      <c r="Y25" s="16">
        <f t="shared" si="0"/>
        <v>2.745935E-2</v>
      </c>
      <c r="Z25" s="16">
        <f t="shared" si="1"/>
        <v>5.8350000000000003E-4</v>
      </c>
      <c r="AA25" s="16">
        <f t="shared" si="2"/>
        <v>2.4454340000000001E-2</v>
      </c>
      <c r="AB25" s="16">
        <f t="shared" si="3"/>
        <v>7.9295700000000004E-3</v>
      </c>
      <c r="AC25" s="17">
        <f t="shared" si="10"/>
        <v>1.5738579494728686</v>
      </c>
      <c r="AD25" s="17">
        <f t="shared" si="11"/>
        <v>1.4731127878856309</v>
      </c>
      <c r="AE25" s="17">
        <f t="shared" si="12"/>
        <v>1.217328766925357</v>
      </c>
      <c r="AF25" s="17">
        <f t="shared" si="4"/>
        <v>0.7870288669253569</v>
      </c>
    </row>
    <row r="26" spans="1:32" x14ac:dyDescent="0.25">
      <c r="A26" s="14">
        <v>24</v>
      </c>
      <c r="B26" s="14"/>
      <c r="C26" s="14">
        <v>115</v>
      </c>
      <c r="D26" s="14"/>
      <c r="E26" s="15">
        <v>-0.42745504000000001</v>
      </c>
      <c r="F26" s="15">
        <v>-0.43275752000000001</v>
      </c>
      <c r="G26" s="15">
        <v>5.30249E-3</v>
      </c>
      <c r="H26" s="15">
        <v>0.71467495999999997</v>
      </c>
      <c r="I26" s="15">
        <v>0.71479992000000003</v>
      </c>
      <c r="J26" s="15">
        <v>-1.2499000000000001E-4</v>
      </c>
      <c r="K26" s="18">
        <v>22.21</v>
      </c>
      <c r="L26" s="18">
        <v>22.2</v>
      </c>
      <c r="M26" s="18">
        <v>0.01</v>
      </c>
      <c r="N26" s="15">
        <v>2.6172480000000001E-2</v>
      </c>
      <c r="O26" s="15">
        <v>2.36023E-2</v>
      </c>
      <c r="P26" s="15">
        <v>2.57019E-3</v>
      </c>
      <c r="Q26" s="15">
        <v>3.5645000000000002E-4</v>
      </c>
      <c r="R26" s="15">
        <v>7.8746300000000005E-3</v>
      </c>
      <c r="S26" s="15">
        <v>-7.5181900000000001E-3</v>
      </c>
      <c r="T26" s="14"/>
      <c r="U26" s="15">
        <f t="shared" si="5"/>
        <v>-2.6512399999999992E-3</v>
      </c>
      <c r="V26" s="15">
        <f t="shared" si="6"/>
        <v>-6.2480000000031399E-5</v>
      </c>
      <c r="W26" s="15"/>
      <c r="X26" s="15"/>
      <c r="Y26" s="16">
        <f t="shared" si="0"/>
        <v>2.6172480000000001E-2</v>
      </c>
      <c r="Z26" s="16">
        <f t="shared" si="1"/>
        <v>3.5645000000000002E-4</v>
      </c>
      <c r="AA26" s="16">
        <f t="shared" si="2"/>
        <v>2.36023E-2</v>
      </c>
      <c r="AB26" s="16">
        <f t="shared" si="3"/>
        <v>7.8746300000000005E-3</v>
      </c>
      <c r="AC26" s="17">
        <f t="shared" si="10"/>
        <v>1.4998830119796949</v>
      </c>
      <c r="AD26" s="17">
        <f t="shared" si="11"/>
        <v>1.4257397752690804</v>
      </c>
      <c r="AE26" s="17">
        <f t="shared" si="12"/>
        <v>0.78027829333408827</v>
      </c>
      <c r="AF26" s="17">
        <f t="shared" si="4"/>
        <v>0.34752077333408826</v>
      </c>
    </row>
    <row r="27" spans="1:32" x14ac:dyDescent="0.25">
      <c r="A27" s="14">
        <v>25</v>
      </c>
      <c r="B27" s="14"/>
      <c r="C27" s="14">
        <v>120</v>
      </c>
      <c r="D27" s="14"/>
      <c r="E27" s="15">
        <v>-0.42762749999999999</v>
      </c>
      <c r="F27" s="15">
        <v>-0.42877999999999999</v>
      </c>
      <c r="G27" s="15">
        <v>1.1524899999999999E-3</v>
      </c>
      <c r="H27" s="15">
        <v>0.71470750000000005</v>
      </c>
      <c r="I27" s="15">
        <v>0.71073248</v>
      </c>
      <c r="J27" s="15">
        <v>3.9750300000000001E-3</v>
      </c>
      <c r="K27" s="18">
        <v>22.26</v>
      </c>
      <c r="L27" s="18">
        <v>22.27</v>
      </c>
      <c r="M27" s="18">
        <v>-0.01</v>
      </c>
      <c r="N27" s="15">
        <v>2.683435E-2</v>
      </c>
      <c r="O27" s="15">
        <v>2.5067989999999998E-2</v>
      </c>
      <c r="P27" s="15">
        <v>1.76636E-3</v>
      </c>
      <c r="Q27" s="15">
        <v>1.7822000000000001E-4</v>
      </c>
      <c r="R27" s="15">
        <v>8.3126199999999997E-3</v>
      </c>
      <c r="S27" s="15">
        <v>-8.1344E-3</v>
      </c>
      <c r="T27" s="14"/>
      <c r="U27" s="15">
        <f t="shared" si="5"/>
        <v>-5.7625000000000037E-4</v>
      </c>
      <c r="V27" s="15">
        <f t="shared" si="6"/>
        <v>1.9875100000000256E-3</v>
      </c>
      <c r="W27" s="15"/>
      <c r="X27" s="15"/>
      <c r="Y27" s="16">
        <f t="shared" si="0"/>
        <v>2.683435E-2</v>
      </c>
      <c r="Z27" s="16">
        <f t="shared" si="1"/>
        <v>1.7822000000000001E-4</v>
      </c>
      <c r="AA27" s="16">
        <f t="shared" si="2"/>
        <v>2.5067989999999998E-2</v>
      </c>
      <c r="AB27" s="16">
        <f t="shared" si="3"/>
        <v>8.3126199999999997E-3</v>
      </c>
      <c r="AC27" s="17">
        <f t="shared" si="10"/>
        <v>1.5377135020923896</v>
      </c>
      <c r="AD27" s="17">
        <f t="shared" si="11"/>
        <v>1.5133745044195779</v>
      </c>
      <c r="AE27" s="17">
        <f t="shared" si="12"/>
        <v>0.38052360841673444</v>
      </c>
      <c r="AF27" s="17">
        <f t="shared" si="4"/>
        <v>359.95174360841673</v>
      </c>
    </row>
    <row r="28" spans="1:32" x14ac:dyDescent="0.25">
      <c r="A28" s="14">
        <v>26</v>
      </c>
      <c r="B28" s="14"/>
      <c r="C28" s="14">
        <v>125</v>
      </c>
      <c r="D28" s="14"/>
      <c r="E28" s="15">
        <v>-0.42600250000000001</v>
      </c>
      <c r="F28" s="15">
        <v>-0.43202496000000001</v>
      </c>
      <c r="G28" s="15">
        <v>6.0224500000000004E-3</v>
      </c>
      <c r="H28" s="15">
        <v>0.71354260000000003</v>
      </c>
      <c r="I28" s="15">
        <v>0.71327247999999999</v>
      </c>
      <c r="J28" s="15">
        <v>2.7012999999999999E-4</v>
      </c>
      <c r="K28" s="18">
        <v>22.22</v>
      </c>
      <c r="L28" s="18">
        <v>22.23</v>
      </c>
      <c r="M28" s="18">
        <v>-0.01</v>
      </c>
      <c r="N28" s="15">
        <v>2.5672360000000002E-2</v>
      </c>
      <c r="O28" s="15">
        <v>2.4540650000000001E-2</v>
      </c>
      <c r="P28" s="15">
        <v>1.13171E-3</v>
      </c>
      <c r="Q28" s="15">
        <v>1.5343999999999999E-4</v>
      </c>
      <c r="R28" s="15">
        <v>8.1270700000000001E-3</v>
      </c>
      <c r="S28" s="15">
        <v>-7.9736300000000006E-3</v>
      </c>
      <c r="T28" s="14"/>
      <c r="U28" s="15">
        <f t="shared" si="5"/>
        <v>-3.0112300000000036E-3</v>
      </c>
      <c r="V28" s="15">
        <f t="shared" si="6"/>
        <v>1.3506000000002016E-4</v>
      </c>
      <c r="W28" s="15"/>
      <c r="X28" s="15"/>
      <c r="Y28" s="16">
        <f t="shared" si="0"/>
        <v>2.5672360000000002E-2</v>
      </c>
      <c r="Z28" s="16">
        <f t="shared" si="1"/>
        <v>1.5343999999999999E-4</v>
      </c>
      <c r="AA28" s="16">
        <f t="shared" si="2"/>
        <v>2.4540650000000001E-2</v>
      </c>
      <c r="AB28" s="16">
        <f t="shared" si="3"/>
        <v>8.1270700000000001E-3</v>
      </c>
      <c r="AC28" s="17">
        <f t="shared" si="10"/>
        <v>1.4711057801559133</v>
      </c>
      <c r="AD28" s="17">
        <f t="shared" si="11"/>
        <v>1.4813387991222902</v>
      </c>
      <c r="AE28" s="17">
        <f t="shared" si="12"/>
        <v>0.3424445483572835</v>
      </c>
      <c r="AF28" s="17">
        <f t="shared" si="4"/>
        <v>359.91041958835729</v>
      </c>
    </row>
    <row r="29" spans="1:32" x14ac:dyDescent="0.25">
      <c r="A29" s="14">
        <v>27</v>
      </c>
      <c r="B29" s="14"/>
      <c r="C29" s="14">
        <v>130</v>
      </c>
      <c r="D29" s="14"/>
      <c r="E29" s="15">
        <v>-0.42659999999999998</v>
      </c>
      <c r="F29" s="15">
        <v>-0.43261500000000003</v>
      </c>
      <c r="G29" s="15">
        <v>6.0150000000000004E-3</v>
      </c>
      <c r="H29" s="15">
        <v>0.71693750000000001</v>
      </c>
      <c r="I29" s="15">
        <v>0.71114739999999999</v>
      </c>
      <c r="J29" s="15">
        <v>5.7900499999999997E-3</v>
      </c>
      <c r="K29" s="18">
        <v>22.23</v>
      </c>
      <c r="L29" s="18">
        <v>22.22</v>
      </c>
      <c r="M29" s="18">
        <v>0.01</v>
      </c>
      <c r="N29" s="15">
        <v>2.5138310000000001E-2</v>
      </c>
      <c r="O29" s="15">
        <v>2.4939940000000001E-2</v>
      </c>
      <c r="P29" s="15">
        <v>1.9837000000000001E-4</v>
      </c>
      <c r="Q29" s="15">
        <v>1.5259E-4</v>
      </c>
      <c r="R29" s="15">
        <v>8.0527299999999993E-3</v>
      </c>
      <c r="S29" s="15">
        <v>-7.9001499999999999E-3</v>
      </c>
      <c r="T29" s="14"/>
      <c r="U29" s="15">
        <f t="shared" si="5"/>
        <v>-3.007500000000024E-3</v>
      </c>
      <c r="V29" s="15">
        <f t="shared" si="6"/>
        <v>2.8950500000000101E-3</v>
      </c>
      <c r="W29" s="15"/>
      <c r="X29" s="15"/>
      <c r="Y29" s="16">
        <f t="shared" si="0"/>
        <v>2.5138310000000001E-2</v>
      </c>
      <c r="Z29" s="16">
        <f t="shared" si="1"/>
        <v>1.5259E-4</v>
      </c>
      <c r="AA29" s="16">
        <f t="shared" si="2"/>
        <v>2.4939940000000001E-2</v>
      </c>
      <c r="AB29" s="16">
        <f t="shared" si="3"/>
        <v>8.0527299999999993E-3</v>
      </c>
      <c r="AC29" s="17">
        <f t="shared" si="10"/>
        <v>1.4404973506712344</v>
      </c>
      <c r="AD29" s="17">
        <f t="shared" si="11"/>
        <v>1.5017664050742163</v>
      </c>
      <c r="AE29" s="17">
        <f t="shared" si="12"/>
        <v>0.34778215489507852</v>
      </c>
      <c r="AF29" s="17">
        <f t="shared" si="4"/>
        <v>359.91516715489507</v>
      </c>
    </row>
    <row r="30" spans="1:32" x14ac:dyDescent="0.25">
      <c r="A30" s="14">
        <v>28</v>
      </c>
      <c r="B30" s="14"/>
      <c r="C30" s="14">
        <v>135</v>
      </c>
      <c r="D30" s="14"/>
      <c r="E30" s="15">
        <v>-0.42675247999999999</v>
      </c>
      <c r="F30" s="15">
        <v>-0.43150495999999999</v>
      </c>
      <c r="G30" s="15">
        <v>4.7524899999999998E-3</v>
      </c>
      <c r="H30" s="15">
        <v>0.71447749999999999</v>
      </c>
      <c r="I30" s="15">
        <v>0.71526999999999996</v>
      </c>
      <c r="J30" s="15">
        <v>-7.9255999999999999E-4</v>
      </c>
      <c r="K30" s="18">
        <v>22.2</v>
      </c>
      <c r="L30" s="18">
        <v>22.2</v>
      </c>
      <c r="M30" s="18">
        <v>-0.01</v>
      </c>
      <c r="N30" s="15">
        <v>2.496228E-2</v>
      </c>
      <c r="O30" s="15">
        <v>2.5365970000000002E-2</v>
      </c>
      <c r="P30" s="15">
        <v>-4.0369000000000001E-4</v>
      </c>
      <c r="Q30" s="15">
        <v>1.5833000000000001E-4</v>
      </c>
      <c r="R30" s="15">
        <v>8.1204799999999994E-3</v>
      </c>
      <c r="S30" s="15">
        <v>-7.9621599999999994E-3</v>
      </c>
      <c r="T30" s="14"/>
      <c r="U30" s="15">
        <f t="shared" si="5"/>
        <v>-2.3762400000000017E-3</v>
      </c>
      <c r="V30" s="15">
        <f t="shared" si="6"/>
        <v>-3.9624999999998689E-4</v>
      </c>
      <c r="W30" s="15"/>
      <c r="X30" s="15"/>
      <c r="Y30" s="16">
        <f t="shared" si="0"/>
        <v>2.496228E-2</v>
      </c>
      <c r="Z30" s="16">
        <f t="shared" si="1"/>
        <v>1.5833000000000001E-4</v>
      </c>
      <c r="AA30" s="16">
        <f t="shared" si="2"/>
        <v>2.5365970000000002E-2</v>
      </c>
      <c r="AB30" s="16">
        <f t="shared" si="3"/>
        <v>8.1204799999999994E-3</v>
      </c>
      <c r="AC30" s="17">
        <f t="shared" si="10"/>
        <v>1.430410644435649</v>
      </c>
      <c r="AD30" s="17">
        <f t="shared" si="11"/>
        <v>1.5262012960851485</v>
      </c>
      <c r="AE30" s="17">
        <f t="shared" si="12"/>
        <v>0.3634090764277077</v>
      </c>
      <c r="AF30" s="17">
        <f t="shared" si="4"/>
        <v>359.93190411642769</v>
      </c>
    </row>
    <row r="31" spans="1:32" x14ac:dyDescent="0.25">
      <c r="A31" s="14">
        <v>29</v>
      </c>
      <c r="B31" s="14"/>
      <c r="C31" s="14">
        <v>140</v>
      </c>
      <c r="D31" s="14"/>
      <c r="E31" s="15">
        <v>-0.42628495999999999</v>
      </c>
      <c r="F31" s="15">
        <v>-0.43026249999999999</v>
      </c>
      <c r="G31" s="15">
        <v>3.9775399999999999E-3</v>
      </c>
      <c r="H31" s="15">
        <v>0.71712240000000005</v>
      </c>
      <c r="I31" s="15">
        <v>0.71517489999999995</v>
      </c>
      <c r="J31" s="15">
        <v>1.9475199999999999E-3</v>
      </c>
      <c r="K31" s="18">
        <v>22.24</v>
      </c>
      <c r="L31" s="18">
        <v>22.22</v>
      </c>
      <c r="M31" s="18">
        <v>0.01</v>
      </c>
      <c r="N31" s="15">
        <v>2.4617070000000001E-2</v>
      </c>
      <c r="O31" s="15">
        <v>2.5733059999999999E-2</v>
      </c>
      <c r="P31" s="15">
        <v>-1.116E-3</v>
      </c>
      <c r="Q31" s="15">
        <v>2.0493E-4</v>
      </c>
      <c r="R31" s="15">
        <v>8.1068400000000006E-3</v>
      </c>
      <c r="S31" s="15">
        <v>-7.9019199999999998E-3</v>
      </c>
      <c r="T31" s="14"/>
      <c r="U31" s="15">
        <f t="shared" si="5"/>
        <v>-1.9887700000000008E-3</v>
      </c>
      <c r="V31" s="15">
        <f t="shared" si="6"/>
        <v>9.7375000000005096E-4</v>
      </c>
      <c r="W31" s="15"/>
      <c r="X31" s="15"/>
      <c r="Y31" s="16">
        <f t="shared" si="0"/>
        <v>2.4617070000000001E-2</v>
      </c>
      <c r="Z31" s="16">
        <f t="shared" si="1"/>
        <v>2.0493E-4</v>
      </c>
      <c r="AA31" s="16">
        <f t="shared" si="2"/>
        <v>2.5733059999999999E-2</v>
      </c>
      <c r="AB31" s="16">
        <f t="shared" si="3"/>
        <v>8.1068400000000006E-3</v>
      </c>
      <c r="AC31" s="17">
        <f t="shared" si="10"/>
        <v>1.4106455965313638</v>
      </c>
      <c r="AD31" s="17">
        <f t="shared" si="11"/>
        <v>1.5460179955461257</v>
      </c>
      <c r="AE31" s="17">
        <f t="shared" si="12"/>
        <v>0.47695980359062007</v>
      </c>
      <c r="AF31" s="17">
        <f t="shared" si="4"/>
        <v>4.6697303590620076E-2</v>
      </c>
    </row>
    <row r="32" spans="1:32" x14ac:dyDescent="0.25">
      <c r="A32" s="14">
        <v>30</v>
      </c>
      <c r="B32" s="14"/>
      <c r="C32" s="14">
        <v>145</v>
      </c>
      <c r="D32" s="14"/>
      <c r="E32" s="15">
        <v>-0.42597000000000002</v>
      </c>
      <c r="F32" s="15">
        <v>-0.43107496000000001</v>
      </c>
      <c r="G32" s="15">
        <v>5.1049600000000004E-3</v>
      </c>
      <c r="H32" s="15">
        <v>0.71401499999999996</v>
      </c>
      <c r="I32" s="15">
        <v>0.71426500000000004</v>
      </c>
      <c r="J32" s="15">
        <v>-2.4998000000000002E-4</v>
      </c>
      <c r="K32" s="18">
        <v>22.23</v>
      </c>
      <c r="L32" s="18">
        <v>22.24</v>
      </c>
      <c r="M32" s="18">
        <v>-0.01</v>
      </c>
      <c r="N32" s="15">
        <v>2.4020380000000001E-2</v>
      </c>
      <c r="O32" s="15">
        <v>2.567529E-2</v>
      </c>
      <c r="P32" s="15">
        <v>-1.6549100000000001E-3</v>
      </c>
      <c r="Q32" s="15">
        <v>2.9712E-4</v>
      </c>
      <c r="R32" s="15">
        <v>7.9993900000000003E-3</v>
      </c>
      <c r="S32" s="15">
        <v>-7.7022699999999998E-3</v>
      </c>
      <c r="T32" s="14"/>
      <c r="U32" s="15">
        <f t="shared" si="5"/>
        <v>-2.5524799999999959E-3</v>
      </c>
      <c r="V32" s="15">
        <f t="shared" si="6"/>
        <v>-1.2500000000004174E-4</v>
      </c>
      <c r="W32" s="15"/>
      <c r="X32" s="15"/>
      <c r="Y32" s="16">
        <f t="shared" si="0"/>
        <v>2.4020380000000001E-2</v>
      </c>
      <c r="Z32" s="16">
        <f t="shared" si="1"/>
        <v>2.9712E-4</v>
      </c>
      <c r="AA32" s="16">
        <f t="shared" si="2"/>
        <v>2.567529E-2</v>
      </c>
      <c r="AB32" s="16">
        <f t="shared" si="3"/>
        <v>7.9993900000000003E-3</v>
      </c>
      <c r="AC32" s="17">
        <f t="shared" si="10"/>
        <v>1.3765040905246479</v>
      </c>
      <c r="AD32" s="17">
        <f t="shared" si="11"/>
        <v>1.5410170102087193</v>
      </c>
      <c r="AE32" s="17">
        <f t="shared" si="12"/>
        <v>0.708683786585528</v>
      </c>
      <c r="AF32" s="17">
        <f t="shared" si="4"/>
        <v>0.27760882658552799</v>
      </c>
    </row>
    <row r="33" spans="1:32" x14ac:dyDescent="0.25">
      <c r="A33" s="14">
        <v>31</v>
      </c>
      <c r="B33" s="14"/>
      <c r="C33" s="14">
        <v>150</v>
      </c>
      <c r="D33" s="14"/>
      <c r="E33" s="15">
        <v>-0.42661252</v>
      </c>
      <c r="F33" s="15">
        <v>-0.43142000000000003</v>
      </c>
      <c r="G33" s="15">
        <v>4.8074700000000003E-3</v>
      </c>
      <c r="H33" s="15">
        <v>0.71532240000000002</v>
      </c>
      <c r="I33" s="15">
        <v>0.71434249999999999</v>
      </c>
      <c r="J33" s="15">
        <v>9.7989999999999991E-4</v>
      </c>
      <c r="K33" s="18">
        <v>22.23</v>
      </c>
      <c r="L33" s="18">
        <v>22.23</v>
      </c>
      <c r="M33" s="18">
        <v>0</v>
      </c>
      <c r="N33" s="15">
        <v>2.4608519999999998E-2</v>
      </c>
      <c r="O33" s="15">
        <v>2.7456910000000001E-2</v>
      </c>
      <c r="P33" s="15">
        <v>-2.8483900000000001E-3</v>
      </c>
      <c r="Q33" s="15">
        <v>3.7032999999999999E-4</v>
      </c>
      <c r="R33" s="15">
        <v>8.2274199999999992E-3</v>
      </c>
      <c r="S33" s="15">
        <v>-7.8570900000000006E-3</v>
      </c>
      <c r="T33" s="14"/>
      <c r="U33" s="15">
        <f t="shared" si="5"/>
        <v>-2.4037400000000153E-3</v>
      </c>
      <c r="V33" s="15">
        <f t="shared" si="6"/>
        <v>4.8995000000001676E-4</v>
      </c>
      <c r="W33" s="15"/>
      <c r="X33" s="15"/>
      <c r="Y33" s="16">
        <f t="shared" si="0"/>
        <v>2.4608519999999998E-2</v>
      </c>
      <c r="Z33" s="16">
        <f t="shared" si="1"/>
        <v>3.7032999999999999E-4</v>
      </c>
      <c r="AA33" s="16">
        <f t="shared" si="2"/>
        <v>2.7456910000000001E-2</v>
      </c>
      <c r="AB33" s="16">
        <f t="shared" si="3"/>
        <v>8.2274199999999992E-3</v>
      </c>
      <c r="AC33" s="17">
        <f t="shared" si="10"/>
        <v>1.4102663775970832</v>
      </c>
      <c r="AD33" s="17">
        <f t="shared" si="11"/>
        <v>1.642498660884252</v>
      </c>
      <c r="AE33" s="17">
        <f t="shared" si="12"/>
        <v>0.8621706825953942</v>
      </c>
      <c r="AF33" s="17">
        <f t="shared" si="4"/>
        <v>0.43075068259539417</v>
      </c>
    </row>
    <row r="34" spans="1:32" x14ac:dyDescent="0.25">
      <c r="A34" s="14">
        <v>32</v>
      </c>
      <c r="B34" s="14"/>
      <c r="C34" s="14">
        <v>155</v>
      </c>
      <c r="D34" s="14"/>
      <c r="E34" s="15">
        <v>-0.42409748000000003</v>
      </c>
      <c r="F34" s="15">
        <v>-0.42856748</v>
      </c>
      <c r="G34" s="15">
        <v>4.4699900000000001E-3</v>
      </c>
      <c r="H34" s="15">
        <v>0.7152174</v>
      </c>
      <c r="I34" s="15">
        <v>0.71497999999999995</v>
      </c>
      <c r="J34" s="15">
        <v>2.3740999999999999E-4</v>
      </c>
      <c r="K34" s="18">
        <v>22.22</v>
      </c>
      <c r="L34" s="18">
        <v>22.21</v>
      </c>
      <c r="M34" s="18">
        <v>0</v>
      </c>
      <c r="N34" s="15">
        <v>2.3603030000000001E-2</v>
      </c>
      <c r="O34" s="15">
        <v>2.672217E-2</v>
      </c>
      <c r="P34" s="15">
        <v>-3.1191399999999998E-3</v>
      </c>
      <c r="Q34" s="15">
        <v>3.8402999999999999E-4</v>
      </c>
      <c r="R34" s="15">
        <v>7.7078900000000002E-3</v>
      </c>
      <c r="S34" s="15">
        <v>-7.3238499999999998E-3</v>
      </c>
      <c r="T34" s="14"/>
      <c r="U34" s="15">
        <f t="shared" si="5"/>
        <v>-2.234999999999987E-3</v>
      </c>
      <c r="V34" s="15">
        <f t="shared" si="6"/>
        <v>1.1870000000002712E-4</v>
      </c>
      <c r="W34" s="15"/>
      <c r="X34" s="15"/>
      <c r="Y34" s="16">
        <f t="shared" si="0"/>
        <v>2.3603030000000001E-2</v>
      </c>
      <c r="Z34" s="16">
        <f t="shared" si="1"/>
        <v>3.8402999999999999E-4</v>
      </c>
      <c r="AA34" s="16">
        <f t="shared" si="2"/>
        <v>2.672217E-2</v>
      </c>
      <c r="AB34" s="16">
        <f t="shared" si="3"/>
        <v>7.7078900000000002E-3</v>
      </c>
      <c r="AC34" s="17">
        <f t="shared" si="10"/>
        <v>1.3526586398883944</v>
      </c>
      <c r="AD34" s="17">
        <f t="shared" si="11"/>
        <v>1.5936936650446971</v>
      </c>
      <c r="AE34" s="17">
        <f t="shared" si="12"/>
        <v>0.93214120847179593</v>
      </c>
      <c r="AF34" s="17">
        <f t="shared" si="4"/>
        <v>0.50357372847179593</v>
      </c>
    </row>
    <row r="35" spans="1:32" x14ac:dyDescent="0.25">
      <c r="A35" s="14">
        <v>33</v>
      </c>
      <c r="C35">
        <v>160</v>
      </c>
      <c r="E35">
        <v>-0.42420750000000002</v>
      </c>
      <c r="F35">
        <v>-0.43188248000000001</v>
      </c>
      <c r="G35">
        <v>7.6749599999999998E-3</v>
      </c>
      <c r="H35">
        <v>0.71311250000000004</v>
      </c>
      <c r="I35">
        <v>0.71569490000000002</v>
      </c>
      <c r="J35">
        <v>-2.5824300000000001E-3</v>
      </c>
      <c r="K35">
        <v>22.23</v>
      </c>
      <c r="L35">
        <v>22.22</v>
      </c>
      <c r="M35">
        <v>0.01</v>
      </c>
      <c r="N35">
        <v>2.4030269999999999E-2</v>
      </c>
      <c r="O35">
        <v>2.7745969999999998E-2</v>
      </c>
      <c r="P35">
        <v>-3.7157000000000002E-3</v>
      </c>
      <c r="Q35">
        <v>5.8887000000000002E-4</v>
      </c>
      <c r="R35">
        <v>7.9724099999999992E-3</v>
      </c>
      <c r="S35">
        <v>-7.3835400000000001E-3</v>
      </c>
      <c r="U35" s="15">
        <f t="shared" si="5"/>
        <v>-3.837489999999999E-3</v>
      </c>
      <c r="V35" s="15">
        <f t="shared" ref="V35:V74" si="13">(H35-I35)/2</f>
        <v>-1.2911999999999924E-3</v>
      </c>
      <c r="Y35" s="16">
        <f t="shared" ref="Y35:Y74" si="14">N35</f>
        <v>2.4030269999999999E-2</v>
      </c>
      <c r="Z35" s="16">
        <f t="shared" ref="Z35:Z74" si="15">Q35</f>
        <v>5.8887000000000002E-4</v>
      </c>
      <c r="AA35" s="16">
        <f t="shared" ref="AA35:AA74" si="16">O35</f>
        <v>2.7745969999999998E-2</v>
      </c>
      <c r="AB35" s="16">
        <f t="shared" ref="AB35:AB74" si="17">R35</f>
        <v>7.9724099999999992E-3</v>
      </c>
      <c r="AC35" s="17">
        <f t="shared" ref="AC35:AC74" si="18">IF(Y35="","",DEGREES(ASIN(SQRT(Y35^2+Z35^2))))</f>
        <v>1.3773790552466354</v>
      </c>
      <c r="AD35" s="17">
        <f t="shared" ref="AD35:AD74" si="19">IF(AA35="","",DEGREES(ASIN(SQRT(AA35^2+AB35^2))))</f>
        <v>1.6542808642232607</v>
      </c>
      <c r="AE35" s="17">
        <f t="shared" ref="AE35:AE74" si="20">IF(Y35="","",MOD(DEGREES(ATAN2(Y35,Z35)),360))</f>
        <v>1.4037717597386536</v>
      </c>
      <c r="AF35" s="17">
        <f t="shared" ref="AF35:AF74" si="21">IF(Y35="","",MOD(F35+AE35,360))</f>
        <v>0.97188927973865358</v>
      </c>
    </row>
    <row r="36" spans="1:32" x14ac:dyDescent="0.25">
      <c r="A36" s="14">
        <v>34</v>
      </c>
      <c r="C36">
        <v>165</v>
      </c>
      <c r="E36">
        <v>-0.42692750000000002</v>
      </c>
      <c r="F36">
        <v>-0.43040008000000002</v>
      </c>
      <c r="G36">
        <v>3.4725699999999999E-3</v>
      </c>
      <c r="H36">
        <v>0.71547247999999997</v>
      </c>
      <c r="I36">
        <v>0.71458732000000003</v>
      </c>
      <c r="J36">
        <v>8.8513000000000003E-4</v>
      </c>
      <c r="K36">
        <v>22.19</v>
      </c>
      <c r="L36">
        <v>22.21</v>
      </c>
      <c r="M36">
        <v>-0.01</v>
      </c>
      <c r="N36">
        <v>2.294568E-2</v>
      </c>
      <c r="O36">
        <v>2.6889280000000002E-2</v>
      </c>
      <c r="P36">
        <v>-3.9436000000000002E-3</v>
      </c>
      <c r="Q36">
        <v>6.8285999999999998E-4</v>
      </c>
      <c r="R36">
        <v>7.6110800000000001E-3</v>
      </c>
      <c r="S36">
        <v>-6.9282199999999997E-3</v>
      </c>
      <c r="U36" s="15">
        <f t="shared" si="5"/>
        <v>-1.7362900000000014E-3</v>
      </c>
      <c r="V36" s="15">
        <f t="shared" si="13"/>
        <v>4.4257999999997022E-4</v>
      </c>
      <c r="Y36" s="16">
        <f t="shared" si="14"/>
        <v>2.294568E-2</v>
      </c>
      <c r="Z36" s="16">
        <f t="shared" si="15"/>
        <v>6.8285999999999998E-4</v>
      </c>
      <c r="AA36" s="16">
        <f t="shared" si="16"/>
        <v>2.6889280000000002E-2</v>
      </c>
      <c r="AB36" s="16">
        <f t="shared" si="17"/>
        <v>7.6110800000000001E-3</v>
      </c>
      <c r="AC36" s="17">
        <f t="shared" si="18"/>
        <v>1.3153882159486825</v>
      </c>
      <c r="AD36" s="17">
        <f t="shared" si="19"/>
        <v>1.6013789110646728</v>
      </c>
      <c r="AE36" s="17">
        <f t="shared" si="20"/>
        <v>1.7046107066076148</v>
      </c>
      <c r="AF36" s="17">
        <f t="shared" si="21"/>
        <v>1.2742106266076147</v>
      </c>
    </row>
    <row r="37" spans="1:32" x14ac:dyDescent="0.25">
      <c r="A37" s="14">
        <v>35</v>
      </c>
      <c r="C37">
        <v>170</v>
      </c>
      <c r="E37">
        <v>-0.42633500000000002</v>
      </c>
      <c r="F37">
        <v>-0.43002748000000002</v>
      </c>
      <c r="G37">
        <v>3.6924800000000002E-3</v>
      </c>
      <c r="H37">
        <v>0.70974749999999998</v>
      </c>
      <c r="I37">
        <v>0.71043000000000001</v>
      </c>
      <c r="J37">
        <v>-6.8252999999999999E-4</v>
      </c>
      <c r="K37">
        <v>22.28</v>
      </c>
      <c r="L37">
        <v>22.28</v>
      </c>
      <c r="M37">
        <v>-0.01</v>
      </c>
      <c r="N37">
        <v>2.265234E-2</v>
      </c>
      <c r="O37">
        <v>2.7283330000000001E-2</v>
      </c>
      <c r="P37">
        <v>-4.6309799999999998E-3</v>
      </c>
      <c r="Q37">
        <v>8.6706999999999995E-4</v>
      </c>
      <c r="R37">
        <v>7.2847900000000002E-3</v>
      </c>
      <c r="S37">
        <v>-6.41772E-3</v>
      </c>
      <c r="U37" s="15">
        <f t="shared" si="5"/>
        <v>-1.846239999999999E-3</v>
      </c>
      <c r="V37" s="15">
        <f t="shared" si="13"/>
        <v>-3.4125000000001515E-4</v>
      </c>
      <c r="Y37" s="16">
        <f t="shared" si="14"/>
        <v>2.265234E-2</v>
      </c>
      <c r="Z37" s="16">
        <f t="shared" si="15"/>
        <v>8.6706999999999995E-4</v>
      </c>
      <c r="AA37" s="16">
        <f t="shared" si="16"/>
        <v>2.7283330000000001E-2</v>
      </c>
      <c r="AB37" s="16">
        <f t="shared" si="17"/>
        <v>7.2847900000000002E-3</v>
      </c>
      <c r="AC37" s="17">
        <f t="shared" si="18"/>
        <v>1.2989451938636178</v>
      </c>
      <c r="AD37" s="17">
        <f t="shared" si="19"/>
        <v>1.6181978814029712</v>
      </c>
      <c r="AE37" s="17">
        <f t="shared" si="20"/>
        <v>2.192056548157522</v>
      </c>
      <c r="AF37" s="17">
        <f t="shared" si="21"/>
        <v>1.7620290681575219</v>
      </c>
    </row>
    <row r="38" spans="1:32" x14ac:dyDescent="0.25">
      <c r="A38" s="14">
        <v>36</v>
      </c>
      <c r="C38">
        <v>175</v>
      </c>
      <c r="E38">
        <v>-0.42490992</v>
      </c>
      <c r="F38">
        <v>-0.42893004000000001</v>
      </c>
      <c r="G38">
        <v>4.0201200000000003E-3</v>
      </c>
      <c r="H38">
        <v>0.71077259999999998</v>
      </c>
      <c r="I38">
        <v>0.71389239999999998</v>
      </c>
      <c r="J38">
        <v>-3.1198300000000001E-3</v>
      </c>
      <c r="K38">
        <v>22.25</v>
      </c>
      <c r="L38">
        <v>22.26</v>
      </c>
      <c r="M38">
        <v>-0.01</v>
      </c>
      <c r="N38">
        <v>2.322571E-2</v>
      </c>
      <c r="O38">
        <v>2.853052E-2</v>
      </c>
      <c r="P38">
        <v>-5.3048100000000001E-3</v>
      </c>
      <c r="Q38">
        <v>1.1549100000000001E-3</v>
      </c>
      <c r="R38">
        <v>7.4245600000000002E-3</v>
      </c>
      <c r="S38">
        <v>-6.2696499999999999E-3</v>
      </c>
      <c r="U38" s="15">
        <f t="shared" si="5"/>
        <v>-2.010060000000008E-3</v>
      </c>
      <c r="V38" s="15">
        <f t="shared" si="13"/>
        <v>-1.559900000000003E-3</v>
      </c>
      <c r="Y38" s="16">
        <f t="shared" si="14"/>
        <v>2.322571E-2</v>
      </c>
      <c r="Z38" s="16">
        <f t="shared" si="15"/>
        <v>1.1549100000000001E-3</v>
      </c>
      <c r="AA38" s="16">
        <f t="shared" si="16"/>
        <v>2.853052E-2</v>
      </c>
      <c r="AB38" s="16">
        <f t="shared" si="17"/>
        <v>7.4245600000000002E-3</v>
      </c>
      <c r="AC38" s="17">
        <f t="shared" si="18"/>
        <v>1.33249946186873</v>
      </c>
      <c r="AD38" s="17">
        <f t="shared" si="19"/>
        <v>1.6893673620695424</v>
      </c>
      <c r="AE38" s="17">
        <f t="shared" si="20"/>
        <v>2.8467164365694866</v>
      </c>
      <c r="AF38" s="17">
        <f t="shared" si="21"/>
        <v>2.4177863965694866</v>
      </c>
    </row>
    <row r="39" spans="1:32" x14ac:dyDescent="0.25">
      <c r="A39" s="14">
        <v>37</v>
      </c>
      <c r="C39">
        <v>180</v>
      </c>
      <c r="E39">
        <v>-0.42583500000000002</v>
      </c>
      <c r="F39">
        <v>-0.4312125</v>
      </c>
      <c r="G39">
        <v>5.3775300000000002E-3</v>
      </c>
      <c r="H39">
        <v>0.71002500000000002</v>
      </c>
      <c r="I39">
        <v>0.71432240000000002</v>
      </c>
      <c r="J39">
        <v>-4.2974399999999996E-3</v>
      </c>
      <c r="K39">
        <v>22.22</v>
      </c>
      <c r="L39">
        <v>22.21</v>
      </c>
      <c r="M39">
        <v>0.01</v>
      </c>
      <c r="N39">
        <v>2.2074949999999999E-2</v>
      </c>
      <c r="O39">
        <v>2.7825570000000001E-2</v>
      </c>
      <c r="P39">
        <v>-5.7506099999999997E-3</v>
      </c>
      <c r="Q39">
        <v>1.3945299999999999E-3</v>
      </c>
      <c r="R39">
        <v>6.9362800000000004E-3</v>
      </c>
      <c r="S39">
        <v>-5.5417499999999998E-3</v>
      </c>
      <c r="U39" s="15">
        <f t="shared" si="5"/>
        <v>-2.6887499999999898E-3</v>
      </c>
      <c r="V39" s="15">
        <f t="shared" si="13"/>
        <v>-2.1487000000000034E-3</v>
      </c>
      <c r="Y39" s="16">
        <f t="shared" si="14"/>
        <v>2.2074949999999999E-2</v>
      </c>
      <c r="Z39" s="16">
        <f t="shared" si="15"/>
        <v>1.3945299999999999E-3</v>
      </c>
      <c r="AA39" s="16">
        <f t="shared" si="16"/>
        <v>2.7825570000000001E-2</v>
      </c>
      <c r="AB39" s="16">
        <f t="shared" si="17"/>
        <v>6.9362800000000004E-3</v>
      </c>
      <c r="AC39" s="17">
        <f t="shared" si="18"/>
        <v>1.2674260803681077</v>
      </c>
      <c r="AD39" s="17">
        <f t="shared" si="19"/>
        <v>1.6433003492704403</v>
      </c>
      <c r="AE39" s="17">
        <f t="shared" si="20"/>
        <v>3.6147148180811373</v>
      </c>
      <c r="AF39" s="17">
        <f t="shared" si="21"/>
        <v>3.1835023180811373</v>
      </c>
    </row>
    <row r="40" spans="1:32" x14ac:dyDescent="0.25">
      <c r="A40" s="14">
        <v>38</v>
      </c>
      <c r="C40">
        <v>185</v>
      </c>
      <c r="E40">
        <v>-0.42606250000000001</v>
      </c>
      <c r="F40">
        <v>-0.42953752000000001</v>
      </c>
      <c r="G40">
        <v>3.47504E-3</v>
      </c>
      <c r="H40">
        <v>0.71234240000000004</v>
      </c>
      <c r="I40">
        <v>0.71357250000000005</v>
      </c>
      <c r="J40">
        <v>-1.2300600000000001E-3</v>
      </c>
      <c r="K40">
        <v>22.25</v>
      </c>
      <c r="L40">
        <v>22.26</v>
      </c>
      <c r="M40">
        <v>-0.01</v>
      </c>
      <c r="N40">
        <v>2.174133E-2</v>
      </c>
      <c r="O40">
        <v>2.7832639999999999E-2</v>
      </c>
      <c r="P40">
        <v>-6.09131E-3</v>
      </c>
      <c r="Q40">
        <v>1.5549299999999999E-3</v>
      </c>
      <c r="R40">
        <v>6.6594200000000001E-3</v>
      </c>
      <c r="S40">
        <v>-5.1044899999999997E-3</v>
      </c>
      <c r="U40" s="15">
        <f t="shared" si="5"/>
        <v>-1.7375099999999977E-3</v>
      </c>
      <c r="V40" s="15">
        <f t="shared" si="13"/>
        <v>-6.1505000000000587E-4</v>
      </c>
      <c r="Y40" s="16">
        <f t="shared" si="14"/>
        <v>2.174133E-2</v>
      </c>
      <c r="Z40" s="16">
        <f t="shared" si="15"/>
        <v>1.5549299999999999E-3</v>
      </c>
      <c r="AA40" s="16">
        <f t="shared" si="16"/>
        <v>2.7832639999999999E-2</v>
      </c>
      <c r="AB40" s="16">
        <f t="shared" si="17"/>
        <v>6.6594200000000001E-3</v>
      </c>
      <c r="AC40" s="17">
        <f t="shared" si="18"/>
        <v>1.2489671689934814</v>
      </c>
      <c r="AD40" s="17">
        <f t="shared" si="19"/>
        <v>1.6399283357690702</v>
      </c>
      <c r="AE40" s="17">
        <f t="shared" si="20"/>
        <v>4.0908026124224293</v>
      </c>
      <c r="AF40" s="17">
        <f t="shared" si="21"/>
        <v>3.661265092422429</v>
      </c>
    </row>
    <row r="41" spans="1:32" x14ac:dyDescent="0.25">
      <c r="A41" s="14">
        <v>39</v>
      </c>
      <c r="C41">
        <v>190</v>
      </c>
      <c r="E41">
        <v>-0.42751</v>
      </c>
      <c r="F41">
        <v>-0.42739504</v>
      </c>
      <c r="G41">
        <v>-1.1498E-4</v>
      </c>
      <c r="H41">
        <v>0.71140252000000004</v>
      </c>
      <c r="I41">
        <v>0.72021747999999997</v>
      </c>
      <c r="J41">
        <v>-8.8149300000000003E-3</v>
      </c>
      <c r="K41">
        <v>22.23</v>
      </c>
      <c r="L41">
        <v>22.22</v>
      </c>
      <c r="M41">
        <v>0.01</v>
      </c>
      <c r="N41">
        <v>2.1482540000000001E-2</v>
      </c>
      <c r="O41">
        <v>2.8296020000000002E-2</v>
      </c>
      <c r="P41">
        <v>-6.8134800000000002E-3</v>
      </c>
      <c r="Q41">
        <v>1.92688E-3</v>
      </c>
      <c r="R41">
        <v>6.3668199999999996E-3</v>
      </c>
      <c r="S41">
        <v>-4.4399399999999999E-3</v>
      </c>
      <c r="U41" s="15">
        <f t="shared" si="5"/>
        <v>5.7479999999998643E-5</v>
      </c>
      <c r="V41" s="15">
        <f t="shared" si="13"/>
        <v>-4.4074799999999636E-3</v>
      </c>
      <c r="Y41" s="16">
        <f t="shared" si="14"/>
        <v>2.1482540000000001E-2</v>
      </c>
      <c r="Z41" s="16">
        <f t="shared" si="15"/>
        <v>1.92688E-3</v>
      </c>
      <c r="AA41" s="16">
        <f t="shared" si="16"/>
        <v>2.8296020000000002E-2</v>
      </c>
      <c r="AB41" s="16">
        <f t="shared" si="17"/>
        <v>6.3668199999999996E-3</v>
      </c>
      <c r="AC41" s="17">
        <f t="shared" si="18"/>
        <v>1.2358960618856085</v>
      </c>
      <c r="AD41" s="17">
        <f t="shared" si="19"/>
        <v>1.6620093660976256</v>
      </c>
      <c r="AE41" s="17">
        <f t="shared" si="20"/>
        <v>5.1254387434597799</v>
      </c>
      <c r="AF41" s="17">
        <f t="shared" si="21"/>
        <v>4.6980437034597795</v>
      </c>
    </row>
    <row r="42" spans="1:32" x14ac:dyDescent="0.25">
      <c r="A42" s="14">
        <v>40</v>
      </c>
      <c r="C42">
        <v>195</v>
      </c>
      <c r="E42">
        <v>-0.42553995999999999</v>
      </c>
      <c r="F42">
        <v>-0.42687249999999999</v>
      </c>
      <c r="G42">
        <v>1.33252E-3</v>
      </c>
      <c r="H42">
        <v>0.70980240000000006</v>
      </c>
      <c r="I42">
        <v>0.71643999999999997</v>
      </c>
      <c r="J42">
        <v>-6.6375100000000001E-3</v>
      </c>
      <c r="K42">
        <v>22.19</v>
      </c>
      <c r="L42">
        <v>22.19</v>
      </c>
      <c r="M42">
        <v>0</v>
      </c>
      <c r="N42">
        <v>2.1235110000000001E-2</v>
      </c>
      <c r="O42">
        <v>2.8329960000000001E-2</v>
      </c>
      <c r="P42">
        <v>-7.0948499999999998E-3</v>
      </c>
      <c r="Q42">
        <v>2.1666300000000001E-3</v>
      </c>
      <c r="R42">
        <v>6.0248999999999997E-3</v>
      </c>
      <c r="S42">
        <v>-3.85828E-3</v>
      </c>
      <c r="U42" s="15">
        <f t="shared" si="5"/>
        <v>-6.6626999999999659E-4</v>
      </c>
      <c r="V42" s="15">
        <f t="shared" si="13"/>
        <v>-3.3187999999999551E-3</v>
      </c>
      <c r="Y42" s="16">
        <f t="shared" si="14"/>
        <v>2.1235110000000001E-2</v>
      </c>
      <c r="Z42" s="16">
        <f t="shared" si="15"/>
        <v>2.1666300000000001E-3</v>
      </c>
      <c r="AA42" s="16">
        <f t="shared" si="16"/>
        <v>2.8329960000000001E-2</v>
      </c>
      <c r="AB42" s="16">
        <f t="shared" si="17"/>
        <v>6.0248999999999997E-3</v>
      </c>
      <c r="AC42" s="17">
        <f t="shared" si="18"/>
        <v>1.2230916469997439</v>
      </c>
      <c r="AD42" s="17">
        <f t="shared" si="19"/>
        <v>1.6597201203865812</v>
      </c>
      <c r="AE42" s="17">
        <f t="shared" si="20"/>
        <v>5.8257599999131306</v>
      </c>
      <c r="AF42" s="17">
        <f t="shared" si="21"/>
        <v>5.3988874999131307</v>
      </c>
    </row>
    <row r="43" spans="1:32" x14ac:dyDescent="0.25">
      <c r="A43" s="14">
        <v>41</v>
      </c>
      <c r="C43">
        <v>200</v>
      </c>
      <c r="E43">
        <v>-0.42595751999999998</v>
      </c>
      <c r="F43">
        <v>-0.42725244000000001</v>
      </c>
      <c r="G43">
        <v>1.29491E-3</v>
      </c>
      <c r="H43">
        <v>0.70881735999999995</v>
      </c>
      <c r="I43">
        <v>0.71795496000000003</v>
      </c>
      <c r="J43">
        <v>-9.1375699999999994E-3</v>
      </c>
      <c r="K43">
        <v>22.24</v>
      </c>
      <c r="L43">
        <v>22.25</v>
      </c>
      <c r="M43">
        <v>0</v>
      </c>
      <c r="N43">
        <v>2.096435E-2</v>
      </c>
      <c r="O43">
        <v>2.8387699999999998E-2</v>
      </c>
      <c r="P43">
        <v>-7.4233399999999996E-3</v>
      </c>
      <c r="Q43">
        <v>2.5227000000000001E-3</v>
      </c>
      <c r="R43">
        <v>5.7252199999999996E-3</v>
      </c>
      <c r="S43">
        <v>-3.20251E-3</v>
      </c>
      <c r="U43" s="15">
        <f t="shared" si="5"/>
        <v>-6.4746000000001636E-4</v>
      </c>
      <c r="V43" s="15">
        <f t="shared" si="13"/>
        <v>-4.5688000000000395E-3</v>
      </c>
      <c r="Y43" s="16">
        <f t="shared" si="14"/>
        <v>2.096435E-2</v>
      </c>
      <c r="Z43" s="16">
        <f t="shared" si="15"/>
        <v>2.5227000000000001E-3</v>
      </c>
      <c r="AA43" s="16">
        <f t="shared" si="16"/>
        <v>2.8387699999999998E-2</v>
      </c>
      <c r="AB43" s="16">
        <f t="shared" si="17"/>
        <v>5.7252199999999996E-3</v>
      </c>
      <c r="AC43" s="17">
        <f t="shared" si="18"/>
        <v>1.2099239012770215</v>
      </c>
      <c r="AD43" s="17">
        <f t="shared" si="19"/>
        <v>1.6594762871436251</v>
      </c>
      <c r="AE43" s="17">
        <f t="shared" si="20"/>
        <v>6.8615728927613393</v>
      </c>
      <c r="AF43" s="17">
        <f t="shared" si="21"/>
        <v>6.4343204527613391</v>
      </c>
    </row>
    <row r="44" spans="1:32" x14ac:dyDescent="0.25">
      <c r="A44" s="14">
        <v>42</v>
      </c>
      <c r="C44">
        <v>205</v>
      </c>
      <c r="E44">
        <v>-0.42531503999999998</v>
      </c>
      <c r="F44">
        <v>-0.4263575</v>
      </c>
      <c r="G44">
        <v>1.04246E-3</v>
      </c>
      <c r="H44">
        <v>0.71199999999999997</v>
      </c>
      <c r="I44">
        <v>0.715615</v>
      </c>
      <c r="J44">
        <v>-3.61496E-3</v>
      </c>
      <c r="K44">
        <v>22.2</v>
      </c>
      <c r="L44">
        <v>22.2</v>
      </c>
      <c r="M44">
        <v>0</v>
      </c>
      <c r="N44">
        <v>2.12865E-2</v>
      </c>
      <c r="O44">
        <v>2.8437259999999999E-2</v>
      </c>
      <c r="P44">
        <v>-7.1507599999999999E-3</v>
      </c>
      <c r="Q44">
        <v>2.8279999999999998E-3</v>
      </c>
      <c r="R44">
        <v>5.4588600000000003E-3</v>
      </c>
      <c r="S44">
        <v>-2.6308600000000001E-3</v>
      </c>
      <c r="U44" s="15">
        <f t="shared" si="5"/>
        <v>-5.2123000000001141E-4</v>
      </c>
      <c r="V44" s="15">
        <f t="shared" si="13"/>
        <v>-1.8075000000000174E-3</v>
      </c>
      <c r="Y44" s="16">
        <f t="shared" si="14"/>
        <v>2.12865E-2</v>
      </c>
      <c r="Z44" s="16">
        <f t="shared" si="15"/>
        <v>2.8279999999999998E-3</v>
      </c>
      <c r="AA44" s="16">
        <f t="shared" si="16"/>
        <v>2.8437259999999999E-2</v>
      </c>
      <c r="AB44" s="16">
        <f t="shared" si="17"/>
        <v>5.4588600000000003E-3</v>
      </c>
      <c r="AC44" s="17">
        <f t="shared" si="18"/>
        <v>1.2304374485741025</v>
      </c>
      <c r="AD44" s="17">
        <f t="shared" si="19"/>
        <v>1.6593152151928003</v>
      </c>
      <c r="AE44" s="17">
        <f t="shared" si="20"/>
        <v>7.5676664207582514</v>
      </c>
      <c r="AF44" s="17">
        <f t="shared" si="21"/>
        <v>7.1413089207582514</v>
      </c>
    </row>
    <row r="45" spans="1:32" x14ac:dyDescent="0.25">
      <c r="A45" s="14">
        <v>43</v>
      </c>
      <c r="C45">
        <v>210</v>
      </c>
      <c r="E45">
        <v>-0.42617255999999998</v>
      </c>
      <c r="F45">
        <v>-0.42830496000000001</v>
      </c>
      <c r="G45">
        <v>2.1324199999999999E-3</v>
      </c>
      <c r="H45">
        <v>0.70859989999999995</v>
      </c>
      <c r="I45">
        <v>0.71847992000000005</v>
      </c>
      <c r="J45">
        <v>-9.8800099999999998E-3</v>
      </c>
      <c r="K45">
        <v>22.23</v>
      </c>
      <c r="L45">
        <v>22.23</v>
      </c>
      <c r="M45">
        <v>0</v>
      </c>
      <c r="N45">
        <v>2.1015869999999999E-2</v>
      </c>
      <c r="O45">
        <v>2.857202E-2</v>
      </c>
      <c r="P45">
        <v>-7.5561500000000002E-3</v>
      </c>
      <c r="Q45">
        <v>3.1336699999999999E-3</v>
      </c>
      <c r="R45">
        <v>5.1541699999999996E-3</v>
      </c>
      <c r="S45">
        <v>-2.0205100000000001E-3</v>
      </c>
      <c r="U45" s="15">
        <f t="shared" si="5"/>
        <v>-1.0662000000000171E-3</v>
      </c>
      <c r="V45" s="15">
        <f t="shared" si="13"/>
        <v>-4.9400100000000502E-3</v>
      </c>
      <c r="Y45" s="16">
        <f t="shared" si="14"/>
        <v>2.1015869999999999E-2</v>
      </c>
      <c r="Z45" s="16">
        <f t="shared" si="15"/>
        <v>3.1336699999999999E-3</v>
      </c>
      <c r="AA45" s="16">
        <f t="shared" si="16"/>
        <v>2.857202E-2</v>
      </c>
      <c r="AB45" s="16">
        <f t="shared" si="17"/>
        <v>5.1541699999999996E-3</v>
      </c>
      <c r="AC45" s="17">
        <f t="shared" si="18"/>
        <v>1.2175247218066654</v>
      </c>
      <c r="AD45" s="17">
        <f t="shared" si="19"/>
        <v>1.6637127177319193</v>
      </c>
      <c r="AE45" s="17">
        <f t="shared" si="20"/>
        <v>8.4808709632844312</v>
      </c>
      <c r="AF45" s="17">
        <f t="shared" si="21"/>
        <v>8.0525660032844311</v>
      </c>
    </row>
    <row r="46" spans="1:32" x14ac:dyDescent="0.25">
      <c r="A46" s="14">
        <v>44</v>
      </c>
      <c r="C46">
        <v>215</v>
      </c>
      <c r="E46">
        <v>-0.42795499999999997</v>
      </c>
      <c r="F46">
        <v>-0.42681750000000002</v>
      </c>
      <c r="G46">
        <v>-1.1375000000000001E-3</v>
      </c>
      <c r="H46">
        <v>0.71230492000000001</v>
      </c>
      <c r="I46">
        <v>0.71573489999999995</v>
      </c>
      <c r="J46">
        <v>-3.4299500000000002E-3</v>
      </c>
      <c r="K46">
        <v>22.17</v>
      </c>
      <c r="L46">
        <v>22.17</v>
      </c>
      <c r="M46">
        <v>0</v>
      </c>
      <c r="N46">
        <v>2.1172730000000001E-2</v>
      </c>
      <c r="O46">
        <v>2.8661619999999999E-2</v>
      </c>
      <c r="P46">
        <v>-7.4888899999999998E-3</v>
      </c>
      <c r="Q46">
        <v>3.4682599999999999E-3</v>
      </c>
      <c r="R46">
        <v>4.7745399999999999E-3</v>
      </c>
      <c r="S46">
        <v>-1.30627E-3</v>
      </c>
      <c r="U46" s="15">
        <f t="shared" si="5"/>
        <v>5.6874999999997899E-4</v>
      </c>
      <c r="V46" s="15">
        <f t="shared" si="13"/>
        <v>-1.7149899999999718E-3</v>
      </c>
      <c r="Y46" s="16">
        <f t="shared" si="14"/>
        <v>2.1172730000000001E-2</v>
      </c>
      <c r="Z46" s="16">
        <f t="shared" si="15"/>
        <v>3.4682599999999999E-3</v>
      </c>
      <c r="AA46" s="16">
        <f t="shared" si="16"/>
        <v>2.8661619999999999E-2</v>
      </c>
      <c r="AB46" s="16">
        <f t="shared" si="17"/>
        <v>4.7745399999999999E-3</v>
      </c>
      <c r="AC46" s="17">
        <f t="shared" si="18"/>
        <v>1.2293703346656033</v>
      </c>
      <c r="AD46" s="17">
        <f t="shared" si="19"/>
        <v>1.6650536077234339</v>
      </c>
      <c r="AE46" s="17">
        <f t="shared" si="20"/>
        <v>9.3028791833713171</v>
      </c>
      <c r="AF46" s="17">
        <f t="shared" si="21"/>
        <v>8.8760616833713168</v>
      </c>
    </row>
    <row r="47" spans="1:32" x14ac:dyDescent="0.25">
      <c r="A47" s="14">
        <v>45</v>
      </c>
      <c r="C47">
        <v>220</v>
      </c>
      <c r="E47">
        <v>-0.427205</v>
      </c>
      <c r="F47">
        <v>-0.42747750000000001</v>
      </c>
      <c r="G47">
        <v>2.7251E-4</v>
      </c>
      <c r="H47">
        <v>0.71308000000000005</v>
      </c>
      <c r="I47">
        <v>0.71923760000000003</v>
      </c>
      <c r="J47">
        <v>-6.1575199999999997E-3</v>
      </c>
      <c r="K47">
        <v>22.2</v>
      </c>
      <c r="L47">
        <v>22.19</v>
      </c>
      <c r="M47">
        <v>0.01</v>
      </c>
      <c r="N47">
        <v>2.154822E-2</v>
      </c>
      <c r="O47">
        <v>2.8771479999999999E-2</v>
      </c>
      <c r="P47">
        <v>-7.2232700000000004E-3</v>
      </c>
      <c r="Q47">
        <v>3.9100300000000001E-3</v>
      </c>
      <c r="R47">
        <v>4.3981899999999997E-3</v>
      </c>
      <c r="S47">
        <v>-4.8816000000000002E-4</v>
      </c>
      <c r="U47" s="15">
        <f t="shared" si="5"/>
        <v>-1.3625000000000442E-4</v>
      </c>
      <c r="V47" s="15">
        <f t="shared" si="13"/>
        <v>-3.0787999999999927E-3</v>
      </c>
      <c r="Y47" s="16">
        <f t="shared" si="14"/>
        <v>2.154822E-2</v>
      </c>
      <c r="Z47" s="16">
        <f t="shared" si="15"/>
        <v>3.9100300000000001E-3</v>
      </c>
      <c r="AA47" s="16">
        <f t="shared" si="16"/>
        <v>2.8771479999999999E-2</v>
      </c>
      <c r="AB47" s="16">
        <f t="shared" si="17"/>
        <v>4.3981899999999997E-3</v>
      </c>
      <c r="AC47" s="17">
        <f t="shared" si="18"/>
        <v>1.2548832840806636</v>
      </c>
      <c r="AD47" s="17">
        <f t="shared" si="19"/>
        <v>1.6678696718821768</v>
      </c>
      <c r="AE47" s="17">
        <f t="shared" si="20"/>
        <v>10.284696459787217</v>
      </c>
      <c r="AF47" s="17">
        <f t="shared" si="21"/>
        <v>9.8572189597872164</v>
      </c>
    </row>
    <row r="48" spans="1:32" x14ac:dyDescent="0.25">
      <c r="A48" s="14">
        <v>46</v>
      </c>
      <c r="C48">
        <v>225</v>
      </c>
      <c r="E48">
        <v>-0.42498491999999999</v>
      </c>
      <c r="F48">
        <v>-0.43080995999999999</v>
      </c>
      <c r="G48">
        <v>5.8250400000000001E-3</v>
      </c>
      <c r="H48">
        <v>0.71249499999999999</v>
      </c>
      <c r="I48">
        <v>0.71607739999999998</v>
      </c>
      <c r="J48">
        <v>-3.5823600000000001E-3</v>
      </c>
      <c r="K48">
        <v>22.23</v>
      </c>
      <c r="L48">
        <v>22.24</v>
      </c>
      <c r="M48">
        <v>-0.01</v>
      </c>
      <c r="N48">
        <v>2.182104E-2</v>
      </c>
      <c r="O48">
        <v>3.0011840000000001E-2</v>
      </c>
      <c r="P48">
        <v>-8.1907899999999999E-3</v>
      </c>
      <c r="Q48">
        <v>4.2801499999999999E-3</v>
      </c>
      <c r="R48">
        <v>4.2351100000000003E-3</v>
      </c>
      <c r="S48">
        <v>4.5040000000000002E-5</v>
      </c>
      <c r="U48" s="15">
        <f t="shared" si="5"/>
        <v>-2.9125200000000018E-3</v>
      </c>
      <c r="V48" s="15">
        <f>(H48-I48)/2</f>
        <v>-1.7911999999999928E-3</v>
      </c>
      <c r="Y48" s="16">
        <f t="shared" si="14"/>
        <v>2.182104E-2</v>
      </c>
      <c r="Z48" s="16">
        <f t="shared" si="15"/>
        <v>4.2801499999999999E-3</v>
      </c>
      <c r="AA48" s="16">
        <f t="shared" si="16"/>
        <v>3.0011840000000001E-2</v>
      </c>
      <c r="AB48" s="16">
        <f t="shared" si="17"/>
        <v>4.2351100000000003E-3</v>
      </c>
      <c r="AC48" s="17">
        <f t="shared" si="18"/>
        <v>1.2741826434173378</v>
      </c>
      <c r="AD48" s="17">
        <f t="shared" si="19"/>
        <v>1.7368543776022347</v>
      </c>
      <c r="AE48" s="17">
        <f t="shared" si="20"/>
        <v>11.097552895151885</v>
      </c>
      <c r="AF48" s="17">
        <f t="shared" si="21"/>
        <v>10.666742935151886</v>
      </c>
    </row>
    <row r="49" spans="1:32" x14ac:dyDescent="0.25">
      <c r="A49" s="14">
        <v>47</v>
      </c>
      <c r="C49">
        <v>230</v>
      </c>
      <c r="E49">
        <v>-0.42822004000000002</v>
      </c>
      <c r="F49">
        <v>-0.42687496000000003</v>
      </c>
      <c r="G49">
        <v>-1.3450700000000001E-3</v>
      </c>
      <c r="H49">
        <v>0.70927750000000001</v>
      </c>
      <c r="I49">
        <v>0.71541239999999995</v>
      </c>
      <c r="J49">
        <v>-6.1348699999999997E-3</v>
      </c>
      <c r="K49">
        <v>22.23</v>
      </c>
      <c r="L49">
        <v>22.24</v>
      </c>
      <c r="M49">
        <v>-0.01</v>
      </c>
      <c r="N49">
        <v>2.078955E-2</v>
      </c>
      <c r="O49">
        <v>2.8634280000000002E-2</v>
      </c>
      <c r="P49">
        <v>-7.8447299999999994E-3</v>
      </c>
      <c r="Q49">
        <v>4.5541999999999996E-3</v>
      </c>
      <c r="R49">
        <v>3.6564900000000001E-3</v>
      </c>
      <c r="S49">
        <v>8.9769999999999997E-4</v>
      </c>
      <c r="U49" s="15">
        <f t="shared" si="5"/>
        <v>6.7253999999999925E-4</v>
      </c>
      <c r="V49" s="15">
        <f t="shared" si="13"/>
        <v>-3.0674499999999716E-3</v>
      </c>
      <c r="Y49" s="16">
        <f t="shared" si="14"/>
        <v>2.078955E-2</v>
      </c>
      <c r="Z49" s="16">
        <f t="shared" si="15"/>
        <v>4.5541999999999996E-3</v>
      </c>
      <c r="AA49" s="16">
        <f t="shared" si="16"/>
        <v>2.8634280000000002E-2</v>
      </c>
      <c r="AB49" s="16">
        <f t="shared" si="17"/>
        <v>3.6564900000000001E-3</v>
      </c>
      <c r="AC49" s="17">
        <f t="shared" si="18"/>
        <v>1.2194912775645868</v>
      </c>
      <c r="AD49" s="17">
        <f t="shared" si="19"/>
        <v>1.6541753672282791</v>
      </c>
      <c r="AE49" s="17">
        <f t="shared" si="20"/>
        <v>12.356145047781046</v>
      </c>
      <c r="AF49" s="17">
        <f t="shared" si="21"/>
        <v>11.929270087781047</v>
      </c>
    </row>
    <row r="50" spans="1:32" x14ac:dyDescent="0.25">
      <c r="A50" s="14">
        <v>48</v>
      </c>
      <c r="C50">
        <v>235</v>
      </c>
      <c r="E50">
        <v>-0.42646504000000002</v>
      </c>
      <c r="F50">
        <v>-0.42538996000000001</v>
      </c>
      <c r="G50">
        <v>-1.0750899999999999E-3</v>
      </c>
      <c r="H50">
        <v>0.7065825</v>
      </c>
      <c r="I50">
        <v>0.71279749999999997</v>
      </c>
      <c r="J50">
        <v>-6.2150399999999998E-3</v>
      </c>
      <c r="K50">
        <v>22.24</v>
      </c>
      <c r="L50">
        <v>22.25</v>
      </c>
      <c r="M50">
        <v>-0.01</v>
      </c>
      <c r="N50">
        <v>2.1632209999999999E-2</v>
      </c>
      <c r="O50">
        <v>2.9666140000000001E-2</v>
      </c>
      <c r="P50">
        <v>-8.0339299999999999E-3</v>
      </c>
      <c r="Q50">
        <v>4.9783900000000001E-3</v>
      </c>
      <c r="R50">
        <v>3.4737499999999998E-3</v>
      </c>
      <c r="S50">
        <v>1.50464E-3</v>
      </c>
      <c r="U50" s="15">
        <f t="shared" si="5"/>
        <v>5.3754000000000302E-4</v>
      </c>
      <c r="V50" s="15">
        <f t="shared" si="13"/>
        <v>-3.1074999999999853E-3</v>
      </c>
      <c r="Y50" s="16">
        <f t="shared" si="14"/>
        <v>2.1632209999999999E-2</v>
      </c>
      <c r="Z50" s="16">
        <f t="shared" si="15"/>
        <v>4.9783900000000001E-3</v>
      </c>
      <c r="AA50" s="16">
        <f t="shared" si="16"/>
        <v>2.9666140000000001E-2</v>
      </c>
      <c r="AB50" s="16">
        <f t="shared" si="17"/>
        <v>3.4737499999999998E-3</v>
      </c>
      <c r="AC50" s="17">
        <f t="shared" si="18"/>
        <v>1.2719376926302817</v>
      </c>
      <c r="AD50" s="17">
        <f t="shared" si="19"/>
        <v>1.7116122682556316</v>
      </c>
      <c r="AE50" s="17">
        <f t="shared" si="20"/>
        <v>12.960264931646059</v>
      </c>
      <c r="AF50" s="17">
        <f t="shared" si="21"/>
        <v>12.534874971646058</v>
      </c>
    </row>
    <row r="51" spans="1:32" x14ac:dyDescent="0.25">
      <c r="A51" s="14">
        <v>49</v>
      </c>
      <c r="C51">
        <v>240</v>
      </c>
      <c r="E51">
        <v>-0.42654500000000001</v>
      </c>
      <c r="F51">
        <v>-0.42825508000000001</v>
      </c>
      <c r="G51">
        <v>1.71009E-3</v>
      </c>
      <c r="H51">
        <v>0.70934240000000004</v>
      </c>
      <c r="I51">
        <v>0.71636750000000005</v>
      </c>
      <c r="J51">
        <v>-7.0250599999999996E-3</v>
      </c>
      <c r="K51">
        <v>22.25</v>
      </c>
      <c r="L51">
        <v>22.26</v>
      </c>
      <c r="M51">
        <v>-0.01</v>
      </c>
      <c r="N51">
        <v>2.1986240000000001E-2</v>
      </c>
      <c r="O51">
        <v>3.0072020000000001E-2</v>
      </c>
      <c r="P51">
        <v>-8.0857800000000007E-3</v>
      </c>
      <c r="Q51">
        <v>5.3725600000000002E-3</v>
      </c>
      <c r="R51">
        <v>3.12598E-3</v>
      </c>
      <c r="S51">
        <v>2.2465800000000002E-3</v>
      </c>
      <c r="U51" s="15">
        <f t="shared" si="5"/>
        <v>-8.5504000000000135E-4</v>
      </c>
      <c r="V51" s="15">
        <f t="shared" si="13"/>
        <v>-3.5125500000000032E-3</v>
      </c>
      <c r="Y51" s="16">
        <f t="shared" si="14"/>
        <v>2.1986240000000001E-2</v>
      </c>
      <c r="Z51" s="16">
        <f t="shared" si="15"/>
        <v>5.3725600000000002E-3</v>
      </c>
      <c r="AA51" s="16">
        <f t="shared" si="16"/>
        <v>3.0072020000000001E-2</v>
      </c>
      <c r="AB51" s="16">
        <f t="shared" si="17"/>
        <v>3.12598E-3</v>
      </c>
      <c r="AC51" s="17">
        <f t="shared" si="18"/>
        <v>1.2968942965248376</v>
      </c>
      <c r="AD51" s="17">
        <f t="shared" si="19"/>
        <v>1.7325478237389003</v>
      </c>
      <c r="AE51" s="17">
        <f t="shared" si="20"/>
        <v>13.731708595781107</v>
      </c>
      <c r="AF51" s="17">
        <f t="shared" si="21"/>
        <v>13.303453515781108</v>
      </c>
    </row>
    <row r="52" spans="1:32" x14ac:dyDescent="0.25">
      <c r="A52" s="14">
        <v>50</v>
      </c>
      <c r="C52">
        <v>245</v>
      </c>
      <c r="E52">
        <v>-0.42885250000000003</v>
      </c>
      <c r="F52">
        <v>-0.42777999999999999</v>
      </c>
      <c r="G52">
        <v>-1.0725000000000001E-3</v>
      </c>
      <c r="H52">
        <v>0.71108000000000005</v>
      </c>
      <c r="I52">
        <v>0.71781240000000002</v>
      </c>
      <c r="J52">
        <v>-6.7324000000000004E-3</v>
      </c>
      <c r="K52">
        <v>22.23</v>
      </c>
      <c r="L52">
        <v>22.22</v>
      </c>
      <c r="M52">
        <v>0</v>
      </c>
      <c r="N52">
        <v>2.162476E-2</v>
      </c>
      <c r="O52">
        <v>3.0251219999999999E-2</v>
      </c>
      <c r="P52">
        <v>-8.6264600000000007E-3</v>
      </c>
      <c r="Q52">
        <v>5.7291299999999998E-3</v>
      </c>
      <c r="R52">
        <v>2.79883E-3</v>
      </c>
      <c r="S52">
        <v>2.9302999999999998E-3</v>
      </c>
      <c r="U52" s="15">
        <f t="shared" si="5"/>
        <v>5.3625000000001588E-4</v>
      </c>
      <c r="V52" s="15">
        <f t="shared" si="13"/>
        <v>-3.3661999999999859E-3</v>
      </c>
      <c r="Y52" s="16">
        <f t="shared" si="14"/>
        <v>2.162476E-2</v>
      </c>
      <c r="Z52" s="16">
        <f t="shared" si="15"/>
        <v>5.7291299999999998E-3</v>
      </c>
      <c r="AA52" s="16">
        <f t="shared" si="16"/>
        <v>3.0251219999999999E-2</v>
      </c>
      <c r="AB52" s="16">
        <f t="shared" si="17"/>
        <v>2.79883E-3</v>
      </c>
      <c r="AC52" s="17">
        <f t="shared" si="18"/>
        <v>1.2818599764719414</v>
      </c>
      <c r="AD52" s="17">
        <f t="shared" si="19"/>
        <v>1.7409375718780047</v>
      </c>
      <c r="AE52" s="17">
        <f t="shared" si="20"/>
        <v>14.838683297313308</v>
      </c>
      <c r="AF52" s="17">
        <f t="shared" si="21"/>
        <v>14.410903297313308</v>
      </c>
    </row>
    <row r="53" spans="1:32" x14ac:dyDescent="0.25">
      <c r="A53" s="14">
        <v>51</v>
      </c>
      <c r="C53">
        <v>250</v>
      </c>
      <c r="E53">
        <v>-0.42630750000000001</v>
      </c>
      <c r="F53">
        <v>-0.42949251999999999</v>
      </c>
      <c r="G53">
        <v>3.1850300000000002E-3</v>
      </c>
      <c r="H53">
        <v>0.71018250000000005</v>
      </c>
      <c r="I53">
        <v>0.71479499999999996</v>
      </c>
      <c r="J53">
        <v>-4.6125100000000002E-3</v>
      </c>
      <c r="K53">
        <v>22.24</v>
      </c>
      <c r="L53">
        <v>22.25</v>
      </c>
      <c r="M53">
        <v>-0.01</v>
      </c>
      <c r="N53">
        <v>2.1222930000000001E-2</v>
      </c>
      <c r="O53">
        <v>2.8823359999999999E-2</v>
      </c>
      <c r="P53">
        <v>-7.60043E-3</v>
      </c>
      <c r="Q53">
        <v>5.8309299999999998E-3</v>
      </c>
      <c r="R53">
        <v>2.3565700000000001E-3</v>
      </c>
      <c r="S53">
        <v>3.4743700000000001E-3</v>
      </c>
      <c r="U53" s="15">
        <f t="shared" si="5"/>
        <v>-1.5925099999999914E-3</v>
      </c>
      <c r="V53" s="15">
        <f t="shared" si="13"/>
        <v>-2.3062499999999542E-3</v>
      </c>
      <c r="Y53" s="16">
        <f t="shared" si="14"/>
        <v>2.1222930000000001E-2</v>
      </c>
      <c r="Z53" s="16">
        <f t="shared" si="15"/>
        <v>5.8309299999999998E-3</v>
      </c>
      <c r="AA53" s="16">
        <f t="shared" si="16"/>
        <v>2.8823359999999999E-2</v>
      </c>
      <c r="AB53" s="16">
        <f t="shared" si="17"/>
        <v>2.3565700000000001E-3</v>
      </c>
      <c r="AC53" s="17">
        <f t="shared" si="18"/>
        <v>1.2611460191370998</v>
      </c>
      <c r="AD53" s="17">
        <f t="shared" si="19"/>
        <v>1.6571983517287008</v>
      </c>
      <c r="AE53" s="17">
        <f t="shared" si="20"/>
        <v>15.362757780796551</v>
      </c>
      <c r="AF53" s="17">
        <f t="shared" si="21"/>
        <v>14.933265260796551</v>
      </c>
    </row>
    <row r="54" spans="1:32" x14ac:dyDescent="0.25">
      <c r="A54" s="14">
        <v>52</v>
      </c>
      <c r="C54">
        <v>255</v>
      </c>
      <c r="E54">
        <v>-0.42883251999999999</v>
      </c>
      <c r="F54">
        <v>-0.42802247999999998</v>
      </c>
      <c r="G54">
        <v>-8.1006000000000003E-4</v>
      </c>
      <c r="H54">
        <v>0.71196000000000004</v>
      </c>
      <c r="I54">
        <v>0.72023747999999999</v>
      </c>
      <c r="J54">
        <v>-8.2774800000000003E-3</v>
      </c>
      <c r="K54">
        <v>22.22</v>
      </c>
      <c r="L54">
        <v>22.22</v>
      </c>
      <c r="M54">
        <v>-0.01</v>
      </c>
      <c r="N54">
        <v>2.2612549999999999E-2</v>
      </c>
      <c r="O54">
        <v>2.9787230000000001E-2</v>
      </c>
      <c r="P54">
        <v>-7.1746800000000001E-3</v>
      </c>
      <c r="Q54">
        <v>6.31665E-3</v>
      </c>
      <c r="R54">
        <v>2.1964100000000002E-3</v>
      </c>
      <c r="S54">
        <v>4.1202399999999998E-3</v>
      </c>
      <c r="U54" s="15">
        <f t="shared" si="5"/>
        <v>4.0502000000000593E-4</v>
      </c>
      <c r="V54" s="15">
        <f t="shared" si="13"/>
        <v>-4.1387399999999741E-3</v>
      </c>
      <c r="Y54" s="16">
        <f t="shared" si="14"/>
        <v>2.2612549999999999E-2</v>
      </c>
      <c r="Z54" s="16">
        <f t="shared" si="15"/>
        <v>6.31665E-3</v>
      </c>
      <c r="AA54" s="16">
        <f t="shared" si="16"/>
        <v>2.9787230000000001E-2</v>
      </c>
      <c r="AB54" s="16">
        <f t="shared" si="17"/>
        <v>2.1964100000000002E-3</v>
      </c>
      <c r="AC54" s="17">
        <f t="shared" si="18"/>
        <v>1.3453273506527372</v>
      </c>
      <c r="AD54" s="17">
        <f t="shared" si="19"/>
        <v>1.7115705142057132</v>
      </c>
      <c r="AE54" s="17">
        <f t="shared" si="20"/>
        <v>15.607316103411245</v>
      </c>
      <c r="AF54" s="17">
        <f t="shared" si="21"/>
        <v>15.179293623411246</v>
      </c>
    </row>
    <row r="55" spans="1:32" x14ac:dyDescent="0.25">
      <c r="A55" s="14">
        <v>53</v>
      </c>
      <c r="C55">
        <v>260</v>
      </c>
      <c r="E55">
        <v>-0.42933996000000002</v>
      </c>
      <c r="F55">
        <v>-0.42507252000000001</v>
      </c>
      <c r="G55">
        <v>-4.2674200000000001E-3</v>
      </c>
      <c r="H55">
        <v>0.71085255999999997</v>
      </c>
      <c r="I55">
        <v>0.71879499999999996</v>
      </c>
      <c r="J55">
        <v>-7.9424400000000003E-3</v>
      </c>
      <c r="K55">
        <v>22.2</v>
      </c>
      <c r="L55">
        <v>22.2</v>
      </c>
      <c r="M55">
        <v>0</v>
      </c>
      <c r="N55">
        <v>2.239758E-2</v>
      </c>
      <c r="O55">
        <v>2.9583379999999999E-2</v>
      </c>
      <c r="P55">
        <v>-7.1857900000000001E-3</v>
      </c>
      <c r="Q55">
        <v>6.67273E-3</v>
      </c>
      <c r="R55">
        <v>1.9337200000000001E-3</v>
      </c>
      <c r="S55">
        <v>4.7390100000000001E-3</v>
      </c>
      <c r="U55" s="15">
        <f t="shared" si="5"/>
        <v>2.1337200000000056E-3</v>
      </c>
      <c r="V55" s="15">
        <f t="shared" si="13"/>
        <v>-3.9712199999999975E-3</v>
      </c>
      <c r="Y55" s="16">
        <f t="shared" si="14"/>
        <v>2.239758E-2</v>
      </c>
      <c r="Z55" s="16">
        <f t="shared" si="15"/>
        <v>6.67273E-3</v>
      </c>
      <c r="AA55" s="16">
        <f t="shared" si="16"/>
        <v>2.9583379999999999E-2</v>
      </c>
      <c r="AB55" s="16">
        <f t="shared" si="17"/>
        <v>1.9337200000000001E-3</v>
      </c>
      <c r="AC55" s="17">
        <f t="shared" si="18"/>
        <v>1.3391488237141753</v>
      </c>
      <c r="AD55" s="17">
        <f t="shared" si="19"/>
        <v>1.6988689097521426</v>
      </c>
      <c r="AE55" s="17">
        <f t="shared" si="20"/>
        <v>16.589947626853327</v>
      </c>
      <c r="AF55" s="17">
        <f t="shared" si="21"/>
        <v>16.164875106853327</v>
      </c>
    </row>
    <row r="56" spans="1:32" x14ac:dyDescent="0.25">
      <c r="A56" s="14">
        <v>54</v>
      </c>
      <c r="C56">
        <v>265</v>
      </c>
      <c r="E56">
        <v>-0.42752499999999999</v>
      </c>
      <c r="F56">
        <v>-0.42743744</v>
      </c>
      <c r="G56">
        <v>-8.7529999999999997E-5</v>
      </c>
      <c r="H56">
        <v>0.71195249999999999</v>
      </c>
      <c r="I56">
        <v>0.71977990000000003</v>
      </c>
      <c r="J56">
        <v>-7.8274E-3</v>
      </c>
      <c r="K56">
        <v>22.18</v>
      </c>
      <c r="L56">
        <v>22.19</v>
      </c>
      <c r="M56">
        <v>-0.01</v>
      </c>
      <c r="N56">
        <v>2.2070679999999999E-2</v>
      </c>
      <c r="O56">
        <v>2.8172240000000001E-2</v>
      </c>
      <c r="P56">
        <v>-6.1015599999999998E-3</v>
      </c>
      <c r="Q56">
        <v>6.7120399999999998E-3</v>
      </c>
      <c r="R56">
        <v>1.5710399999999999E-3</v>
      </c>
      <c r="S56">
        <v>5.1409899999999998E-3</v>
      </c>
      <c r="U56" s="15">
        <f t="shared" si="5"/>
        <v>4.3779999999993269E-5</v>
      </c>
      <c r="V56" s="15">
        <f t="shared" si="13"/>
        <v>-3.9137000000000199E-3</v>
      </c>
      <c r="Y56" s="16">
        <f t="shared" si="14"/>
        <v>2.2070679999999999E-2</v>
      </c>
      <c r="Z56" s="16">
        <f t="shared" si="15"/>
        <v>6.7120399999999998E-3</v>
      </c>
      <c r="AA56" s="16">
        <f t="shared" si="16"/>
        <v>2.8172240000000001E-2</v>
      </c>
      <c r="AB56" s="16">
        <f t="shared" si="17"/>
        <v>1.5710399999999999E-3</v>
      </c>
      <c r="AC56" s="17">
        <f t="shared" si="18"/>
        <v>1.3218582420897149</v>
      </c>
      <c r="AD56" s="17">
        <f t="shared" si="19"/>
        <v>1.6168729336558763</v>
      </c>
      <c r="AE56" s="17">
        <f t="shared" si="20"/>
        <v>16.915339220310607</v>
      </c>
      <c r="AF56" s="17">
        <f t="shared" si="21"/>
        <v>16.487901780310608</v>
      </c>
    </row>
    <row r="57" spans="1:32" x14ac:dyDescent="0.25">
      <c r="A57" s="14">
        <v>55</v>
      </c>
      <c r="C57">
        <v>270</v>
      </c>
      <c r="E57">
        <v>-0.42766999999999999</v>
      </c>
      <c r="F57">
        <v>-0.42925000000000002</v>
      </c>
      <c r="G57">
        <v>1.58E-3</v>
      </c>
      <c r="H57">
        <v>0.71098240000000001</v>
      </c>
      <c r="I57">
        <v>0.71953</v>
      </c>
      <c r="J57">
        <v>-8.5476000000000007E-3</v>
      </c>
      <c r="K57">
        <v>22.24</v>
      </c>
      <c r="L57">
        <v>22.22</v>
      </c>
      <c r="M57">
        <v>0.02</v>
      </c>
      <c r="N57">
        <v>2.225918E-2</v>
      </c>
      <c r="O57">
        <v>2.7875489999999999E-2</v>
      </c>
      <c r="P57">
        <v>-5.6163000000000003E-3</v>
      </c>
      <c r="Q57">
        <v>6.97754E-3</v>
      </c>
      <c r="R57">
        <v>1.29419E-3</v>
      </c>
      <c r="S57">
        <v>5.6833500000000002E-3</v>
      </c>
      <c r="U57" s="15">
        <f t="shared" si="5"/>
        <v>-7.9000000000001291E-4</v>
      </c>
      <c r="V57" s="15">
        <f t="shared" si="13"/>
        <v>-4.2737999999999943E-3</v>
      </c>
      <c r="Y57" s="16">
        <f t="shared" si="14"/>
        <v>2.225918E-2</v>
      </c>
      <c r="Z57" s="16">
        <f t="shared" si="15"/>
        <v>6.97754E-3</v>
      </c>
      <c r="AA57" s="16">
        <f t="shared" si="16"/>
        <v>2.7875489999999999E-2</v>
      </c>
      <c r="AB57" s="16">
        <f t="shared" si="17"/>
        <v>1.29419E-3</v>
      </c>
      <c r="AC57" s="17">
        <f t="shared" si="18"/>
        <v>1.3366700007084913</v>
      </c>
      <c r="AD57" s="17">
        <f t="shared" si="19"/>
        <v>1.5990759244375821</v>
      </c>
      <c r="AE57" s="17">
        <f t="shared" si="20"/>
        <v>17.404537155926413</v>
      </c>
      <c r="AF57" s="17">
        <f t="shared" si="21"/>
        <v>16.975287155926413</v>
      </c>
    </row>
    <row r="58" spans="1:32" x14ac:dyDescent="0.25">
      <c r="A58" s="14">
        <v>56</v>
      </c>
      <c r="C58">
        <v>275</v>
      </c>
      <c r="E58">
        <v>-0.42994004000000002</v>
      </c>
      <c r="F58">
        <v>-0.42886000000000002</v>
      </c>
      <c r="G58">
        <v>-1.08004E-3</v>
      </c>
      <c r="H58">
        <v>0.70813499999999996</v>
      </c>
      <c r="I58">
        <v>0.71451509999999996</v>
      </c>
      <c r="J58">
        <v>-6.3800799999999998E-3</v>
      </c>
      <c r="K58">
        <v>22.21</v>
      </c>
      <c r="L58">
        <v>22.22</v>
      </c>
      <c r="M58">
        <v>0</v>
      </c>
      <c r="N58">
        <v>2.2995479999999999E-2</v>
      </c>
      <c r="O58">
        <v>2.8901489999999998E-2</v>
      </c>
      <c r="P58">
        <v>-5.9060099999999997E-3</v>
      </c>
      <c r="Q58">
        <v>7.5487100000000001E-3</v>
      </c>
      <c r="R58">
        <v>1.1187700000000001E-3</v>
      </c>
      <c r="S58">
        <v>6.4299300000000004E-3</v>
      </c>
      <c r="U58" s="15">
        <f t="shared" si="5"/>
        <v>5.4002000000000216E-4</v>
      </c>
      <c r="V58" s="15">
        <f t="shared" si="13"/>
        <v>-3.1900499999999998E-3</v>
      </c>
      <c r="Y58" s="16">
        <f t="shared" si="14"/>
        <v>2.2995479999999999E-2</v>
      </c>
      <c r="Z58" s="16">
        <f t="shared" si="15"/>
        <v>7.5487100000000001E-3</v>
      </c>
      <c r="AA58" s="16">
        <f t="shared" si="16"/>
        <v>2.8901489999999998E-2</v>
      </c>
      <c r="AB58" s="16">
        <f t="shared" si="17"/>
        <v>1.1187700000000001E-3</v>
      </c>
      <c r="AC58" s="17">
        <f t="shared" si="18"/>
        <v>1.3868532331505383</v>
      </c>
      <c r="AD58" s="17">
        <f t="shared" si="19"/>
        <v>1.6574047356191686</v>
      </c>
      <c r="AE58" s="17">
        <f t="shared" si="20"/>
        <v>18.173420080120735</v>
      </c>
      <c r="AF58" s="17">
        <f t="shared" si="21"/>
        <v>17.744560080120735</v>
      </c>
    </row>
    <row r="59" spans="1:32" x14ac:dyDescent="0.25">
      <c r="A59" s="14">
        <v>57</v>
      </c>
      <c r="C59">
        <v>280</v>
      </c>
      <c r="E59">
        <v>-0.42904249999999999</v>
      </c>
      <c r="F59">
        <v>-0.42708748000000002</v>
      </c>
      <c r="G59">
        <v>-1.95503E-3</v>
      </c>
      <c r="H59">
        <v>0.7117</v>
      </c>
      <c r="I59">
        <v>0.71867740000000002</v>
      </c>
      <c r="J59">
        <v>-6.9774399999999997E-3</v>
      </c>
      <c r="K59">
        <v>22.19</v>
      </c>
      <c r="L59">
        <v>22.19</v>
      </c>
      <c r="M59">
        <v>0</v>
      </c>
      <c r="N59">
        <v>2.271484E-2</v>
      </c>
      <c r="O59">
        <v>2.7779789999999999E-2</v>
      </c>
      <c r="P59">
        <v>-5.0649400000000004E-3</v>
      </c>
      <c r="Q59">
        <v>7.3154300000000004E-3</v>
      </c>
      <c r="R59">
        <v>7.6977999999999997E-4</v>
      </c>
      <c r="S59">
        <v>6.5456500000000001E-3</v>
      </c>
      <c r="U59" s="15">
        <f t="shared" si="5"/>
        <v>9.77509999999987E-4</v>
      </c>
      <c r="V59" s="15">
        <f t="shared" si="13"/>
        <v>-3.4887000000000112E-3</v>
      </c>
      <c r="Y59" s="16">
        <f t="shared" si="14"/>
        <v>2.271484E-2</v>
      </c>
      <c r="Z59" s="16">
        <f t="shared" si="15"/>
        <v>7.3154300000000004E-3</v>
      </c>
      <c r="AA59" s="16">
        <f t="shared" si="16"/>
        <v>2.7779789999999999E-2</v>
      </c>
      <c r="AB59" s="16">
        <f t="shared" si="17"/>
        <v>7.6977999999999997E-4</v>
      </c>
      <c r="AC59" s="17">
        <f t="shared" si="18"/>
        <v>1.367423056193573</v>
      </c>
      <c r="AD59" s="17">
        <f t="shared" si="19"/>
        <v>1.5924807100372427</v>
      </c>
      <c r="AE59" s="17">
        <f t="shared" si="20"/>
        <v>17.851418767000027</v>
      </c>
      <c r="AF59" s="17">
        <f t="shared" si="21"/>
        <v>17.424331287000026</v>
      </c>
    </row>
    <row r="60" spans="1:32" x14ac:dyDescent="0.25">
      <c r="A60" s="14">
        <v>58</v>
      </c>
      <c r="C60">
        <v>285</v>
      </c>
      <c r="E60">
        <v>-0.43054239999999999</v>
      </c>
      <c r="F60">
        <v>-0.42842000000000002</v>
      </c>
      <c r="G60">
        <v>-2.1224E-3</v>
      </c>
      <c r="H60">
        <v>0.71228009999999997</v>
      </c>
      <c r="I60">
        <v>0.71841250000000001</v>
      </c>
      <c r="J60">
        <v>-6.1324200000000004E-3</v>
      </c>
      <c r="K60">
        <v>22.21</v>
      </c>
      <c r="L60">
        <v>22.21</v>
      </c>
      <c r="M60">
        <v>0</v>
      </c>
      <c r="N60">
        <v>2.396473E-2</v>
      </c>
      <c r="O60">
        <v>2.8440670000000001E-2</v>
      </c>
      <c r="P60">
        <v>-4.4759500000000002E-3</v>
      </c>
      <c r="Q60">
        <v>7.9049099999999994E-3</v>
      </c>
      <c r="R60">
        <v>6.4709000000000001E-4</v>
      </c>
      <c r="S60">
        <v>7.25781E-3</v>
      </c>
      <c r="U60" s="15">
        <f t="shared" si="5"/>
        <v>1.0611999999999844E-3</v>
      </c>
      <c r="V60" s="15">
        <f t="shared" si="13"/>
        <v>-3.0662000000000189E-3</v>
      </c>
      <c r="Y60" s="16">
        <f t="shared" si="14"/>
        <v>2.396473E-2</v>
      </c>
      <c r="Z60" s="16">
        <f t="shared" si="15"/>
        <v>7.9049099999999994E-3</v>
      </c>
      <c r="AA60" s="16">
        <f t="shared" si="16"/>
        <v>2.8440670000000001E-2</v>
      </c>
      <c r="AB60" s="16">
        <f t="shared" si="17"/>
        <v>6.4709000000000001E-4</v>
      </c>
      <c r="AC60" s="17">
        <f t="shared" si="18"/>
        <v>1.4460018897269726</v>
      </c>
      <c r="AD60" s="17">
        <f t="shared" si="19"/>
        <v>1.6301720101460784</v>
      </c>
      <c r="AE60" s="17">
        <f t="shared" si="20"/>
        <v>18.255449329618823</v>
      </c>
      <c r="AF60" s="17">
        <f t="shared" si="21"/>
        <v>17.827029329618824</v>
      </c>
    </row>
    <row r="61" spans="1:32" x14ac:dyDescent="0.25">
      <c r="A61" s="14">
        <v>59</v>
      </c>
      <c r="C61">
        <v>290</v>
      </c>
      <c r="E61">
        <v>-0.43200748</v>
      </c>
      <c r="F61">
        <v>-0.42754491999999999</v>
      </c>
      <c r="G61">
        <v>-4.4625400000000001E-3</v>
      </c>
      <c r="H61">
        <v>0.71129500000000001</v>
      </c>
      <c r="I61">
        <v>0.71711009999999997</v>
      </c>
      <c r="J61">
        <v>-5.8150900000000002E-3</v>
      </c>
      <c r="K61">
        <v>22.2</v>
      </c>
      <c r="L61">
        <v>22.21</v>
      </c>
      <c r="M61">
        <v>0</v>
      </c>
      <c r="N61">
        <v>2.3296020000000001E-2</v>
      </c>
      <c r="O61">
        <v>2.6979739999999999E-2</v>
      </c>
      <c r="P61">
        <v>-3.6837100000000002E-3</v>
      </c>
      <c r="Q61">
        <v>7.6983599999999996E-3</v>
      </c>
      <c r="R61">
        <v>4.9731000000000005E-4</v>
      </c>
      <c r="S61">
        <v>7.2010499999999996E-3</v>
      </c>
      <c r="U61" s="15">
        <f t="shared" si="5"/>
        <v>2.2312800000000022E-3</v>
      </c>
      <c r="V61" s="15">
        <f t="shared" si="13"/>
        <v>-2.907549999999981E-3</v>
      </c>
      <c r="Y61" s="16">
        <f t="shared" si="14"/>
        <v>2.3296020000000001E-2</v>
      </c>
      <c r="Z61" s="16">
        <f t="shared" si="15"/>
        <v>7.6983599999999996E-3</v>
      </c>
      <c r="AA61" s="16">
        <f t="shared" si="16"/>
        <v>2.6979739999999999E-2</v>
      </c>
      <c r="AB61" s="16">
        <f t="shared" si="17"/>
        <v>4.9731000000000005E-4</v>
      </c>
      <c r="AC61" s="17">
        <f t="shared" si="18"/>
        <v>1.4058966095984049</v>
      </c>
      <c r="AD61" s="17">
        <f t="shared" si="19"/>
        <v>1.5462755139483064</v>
      </c>
      <c r="AE61" s="17">
        <f t="shared" si="20"/>
        <v>18.286559604883063</v>
      </c>
      <c r="AF61" s="17">
        <f t="shared" si="21"/>
        <v>17.859014684883064</v>
      </c>
    </row>
    <row r="62" spans="1:32" x14ac:dyDescent="0.25">
      <c r="A62" s="14">
        <v>60</v>
      </c>
      <c r="C62">
        <v>295</v>
      </c>
      <c r="E62">
        <v>-0.42937750000000002</v>
      </c>
      <c r="F62">
        <v>-0.42501496</v>
      </c>
      <c r="G62">
        <v>-4.3625199999999999E-3</v>
      </c>
      <c r="H62">
        <v>0.71727247999999999</v>
      </c>
      <c r="I62">
        <v>0.71991740000000004</v>
      </c>
      <c r="J62">
        <v>-2.64496E-3</v>
      </c>
      <c r="K62">
        <v>22.17</v>
      </c>
      <c r="L62">
        <v>22.17</v>
      </c>
      <c r="M62">
        <v>0</v>
      </c>
      <c r="N62">
        <v>2.349414E-2</v>
      </c>
      <c r="O62">
        <v>2.665344E-2</v>
      </c>
      <c r="P62">
        <v>-3.1592999999999999E-3</v>
      </c>
      <c r="Q62">
        <v>7.8673100000000006E-3</v>
      </c>
      <c r="R62">
        <v>3.6999999999999999E-4</v>
      </c>
      <c r="S62">
        <v>7.4973100000000001E-3</v>
      </c>
      <c r="U62" s="15">
        <f t="shared" si="5"/>
        <v>2.1812700000000129E-3</v>
      </c>
      <c r="V62" s="15">
        <f t="shared" si="13"/>
        <v>-1.3224600000000253E-3</v>
      </c>
      <c r="Y62" s="16">
        <f t="shared" si="14"/>
        <v>2.349414E-2</v>
      </c>
      <c r="Z62" s="16">
        <f t="shared" si="15"/>
        <v>7.8673100000000006E-3</v>
      </c>
      <c r="AA62" s="16">
        <f t="shared" si="16"/>
        <v>2.665344E-2</v>
      </c>
      <c r="AB62" s="16">
        <f t="shared" si="17"/>
        <v>3.6999999999999999E-4</v>
      </c>
      <c r="AC62" s="17">
        <f t="shared" si="18"/>
        <v>1.4197274878036563</v>
      </c>
      <c r="AD62" s="17">
        <f t="shared" si="19"/>
        <v>1.5274576822679344</v>
      </c>
      <c r="AE62" s="17">
        <f t="shared" si="20"/>
        <v>18.513773704352175</v>
      </c>
      <c r="AF62" s="17">
        <f t="shared" si="21"/>
        <v>18.088758744352177</v>
      </c>
    </row>
    <row r="63" spans="1:32" x14ac:dyDescent="0.25">
      <c r="A63" s="14">
        <v>61</v>
      </c>
      <c r="C63">
        <v>300</v>
      </c>
      <c r="E63">
        <v>-0.42934243999999999</v>
      </c>
      <c r="F63">
        <v>-0.42588004000000002</v>
      </c>
      <c r="G63">
        <v>-3.4624E-3</v>
      </c>
      <c r="H63">
        <v>0.71280750000000004</v>
      </c>
      <c r="I63">
        <v>0.71456752000000001</v>
      </c>
      <c r="J63">
        <v>-1.7600700000000001E-3</v>
      </c>
      <c r="K63">
        <v>22.2</v>
      </c>
      <c r="L63">
        <v>22.21</v>
      </c>
      <c r="M63">
        <v>-0.01</v>
      </c>
      <c r="N63">
        <v>2.4022580000000002E-2</v>
      </c>
      <c r="O63">
        <v>2.6620359999999999E-2</v>
      </c>
      <c r="P63">
        <v>-2.5977800000000001E-3</v>
      </c>
      <c r="Q63">
        <v>8.0638399999999992E-3</v>
      </c>
      <c r="R63">
        <v>2.5036999999999998E-4</v>
      </c>
      <c r="S63">
        <v>7.8134799999999994E-3</v>
      </c>
      <c r="U63" s="15">
        <f t="shared" si="5"/>
        <v>1.7311999999999883E-3</v>
      </c>
      <c r="V63" s="15">
        <f t="shared" si="13"/>
        <v>-8.8000999999998664E-4</v>
      </c>
      <c r="Y63" s="16">
        <f t="shared" si="14"/>
        <v>2.4022580000000002E-2</v>
      </c>
      <c r="Z63" s="16">
        <f t="shared" si="15"/>
        <v>8.0638399999999992E-3</v>
      </c>
      <c r="AA63" s="16">
        <f t="shared" si="16"/>
        <v>2.6620359999999999E-2</v>
      </c>
      <c r="AB63" s="16">
        <f t="shared" si="17"/>
        <v>2.5036999999999998E-4</v>
      </c>
      <c r="AC63" s="17">
        <f t="shared" si="18"/>
        <v>1.4520239910883144</v>
      </c>
      <c r="AD63" s="17">
        <f t="shared" si="19"/>
        <v>1.5254819577820229</v>
      </c>
      <c r="AE63" s="17">
        <f t="shared" si="20"/>
        <v>18.555744327635406</v>
      </c>
      <c r="AF63" s="17">
        <f t="shared" si="21"/>
        <v>18.129864287635407</v>
      </c>
    </row>
    <row r="64" spans="1:32" x14ac:dyDescent="0.25">
      <c r="A64" s="14">
        <v>62</v>
      </c>
      <c r="C64">
        <v>305</v>
      </c>
      <c r="E64">
        <v>-0.43201499999999998</v>
      </c>
      <c r="F64">
        <v>-0.4261375</v>
      </c>
      <c r="G64">
        <v>-5.87749E-3</v>
      </c>
      <c r="H64">
        <v>0.71583739999999996</v>
      </c>
      <c r="I64">
        <v>0.71738000000000002</v>
      </c>
      <c r="J64">
        <v>-1.5425700000000001E-3</v>
      </c>
      <c r="K64">
        <v>22.22</v>
      </c>
      <c r="L64">
        <v>22.23</v>
      </c>
      <c r="M64">
        <v>-0.01</v>
      </c>
      <c r="N64">
        <v>2.5255619999999999E-2</v>
      </c>
      <c r="O64">
        <v>2.715503E-2</v>
      </c>
      <c r="P64">
        <v>-1.89942E-3</v>
      </c>
      <c r="Q64">
        <v>8.3045700000000007E-3</v>
      </c>
      <c r="R64">
        <v>9.6069999999999993E-5</v>
      </c>
      <c r="S64">
        <v>8.2085000000000005E-3</v>
      </c>
      <c r="U64" s="15">
        <f t="shared" si="5"/>
        <v>2.93874999999999E-3</v>
      </c>
      <c r="V64" s="15">
        <f t="shared" si="13"/>
        <v>-7.7130000000003029E-4</v>
      </c>
      <c r="Y64" s="16">
        <f t="shared" si="14"/>
        <v>2.5255619999999999E-2</v>
      </c>
      <c r="Z64" s="16">
        <f t="shared" si="15"/>
        <v>8.3045700000000007E-3</v>
      </c>
      <c r="AA64" s="16">
        <f t="shared" si="16"/>
        <v>2.715503E-2</v>
      </c>
      <c r="AB64" s="16">
        <f t="shared" si="17"/>
        <v>9.6069999999999993E-5</v>
      </c>
      <c r="AC64" s="17">
        <f t="shared" si="18"/>
        <v>1.5234416771174095</v>
      </c>
      <c r="AD64" s="17">
        <f t="shared" si="19"/>
        <v>1.556069630554199</v>
      </c>
      <c r="AE64" s="17">
        <f t="shared" si="20"/>
        <v>18.20193396912007</v>
      </c>
      <c r="AF64" s="17">
        <f t="shared" si="21"/>
        <v>17.77579646912007</v>
      </c>
    </row>
    <row r="65" spans="1:32" x14ac:dyDescent="0.25">
      <c r="A65" s="14">
        <v>63</v>
      </c>
      <c r="C65">
        <v>310</v>
      </c>
      <c r="E65">
        <v>-0.43030247999999999</v>
      </c>
      <c r="F65">
        <v>-0.42514748000000002</v>
      </c>
      <c r="G65">
        <v>-5.1549999999999999E-3</v>
      </c>
      <c r="H65">
        <v>0.71263010000000004</v>
      </c>
      <c r="I65">
        <v>0.71667499999999995</v>
      </c>
      <c r="J65">
        <v>-4.0448899999999998E-3</v>
      </c>
      <c r="K65">
        <v>22.15</v>
      </c>
      <c r="L65">
        <v>22.16</v>
      </c>
      <c r="M65">
        <v>0</v>
      </c>
      <c r="N65">
        <v>2.4882810000000002E-2</v>
      </c>
      <c r="O65">
        <v>2.595312E-2</v>
      </c>
      <c r="P65">
        <v>-1.0703100000000001E-3</v>
      </c>
      <c r="Q65">
        <v>8.0533400000000008E-3</v>
      </c>
      <c r="R65">
        <v>1.9275E-4</v>
      </c>
      <c r="S65">
        <v>7.8606000000000006E-3</v>
      </c>
      <c r="U65" s="15">
        <f t="shared" si="5"/>
        <v>2.5774999999999826E-3</v>
      </c>
      <c r="V65" s="15">
        <f t="shared" si="13"/>
        <v>-2.0224499999999535E-3</v>
      </c>
      <c r="Y65" s="16">
        <f t="shared" si="14"/>
        <v>2.4882810000000002E-2</v>
      </c>
      <c r="Z65" s="16">
        <f t="shared" si="15"/>
        <v>8.0533400000000008E-3</v>
      </c>
      <c r="AA65" s="16">
        <f t="shared" si="16"/>
        <v>2.595312E-2</v>
      </c>
      <c r="AB65" s="16">
        <f t="shared" si="17"/>
        <v>1.9275E-4</v>
      </c>
      <c r="AC65" s="17">
        <f t="shared" si="18"/>
        <v>1.4986614817631481</v>
      </c>
      <c r="AD65" s="17">
        <f t="shared" si="19"/>
        <v>1.4872122474588978</v>
      </c>
      <c r="AE65" s="17">
        <f t="shared" si="20"/>
        <v>17.934212718775296</v>
      </c>
      <c r="AF65" s="17">
        <f t="shared" si="21"/>
        <v>17.509065238775296</v>
      </c>
    </row>
    <row r="66" spans="1:32" x14ac:dyDescent="0.25">
      <c r="A66" s="14">
        <v>64</v>
      </c>
      <c r="C66">
        <v>315</v>
      </c>
      <c r="E66">
        <v>-0.43314248</v>
      </c>
      <c r="F66">
        <v>-0.42353496000000002</v>
      </c>
      <c r="G66">
        <v>-9.6075199999999996E-3</v>
      </c>
      <c r="H66">
        <v>0.71081496</v>
      </c>
      <c r="I66">
        <v>0.71655749999999996</v>
      </c>
      <c r="J66">
        <v>-5.7425499999999999E-3</v>
      </c>
      <c r="K66">
        <v>22.2</v>
      </c>
      <c r="L66">
        <v>22.21</v>
      </c>
      <c r="M66">
        <v>-0.01</v>
      </c>
      <c r="N66">
        <v>2.5039189999999999E-2</v>
      </c>
      <c r="O66">
        <v>2.5466180000000001E-2</v>
      </c>
      <c r="P66">
        <v>-4.2700000000000002E-4</v>
      </c>
      <c r="Q66">
        <v>8.0711700000000008E-3</v>
      </c>
      <c r="R66">
        <v>3.05E-6</v>
      </c>
      <c r="S66">
        <v>8.0681199999999998E-3</v>
      </c>
      <c r="U66" s="15">
        <f t="shared" si="5"/>
        <v>4.8037599999999903E-3</v>
      </c>
      <c r="V66" s="15">
        <f t="shared" si="13"/>
        <v>-2.8712699999999813E-3</v>
      </c>
      <c r="Y66" s="16">
        <f t="shared" si="14"/>
        <v>2.5039189999999999E-2</v>
      </c>
      <c r="Z66" s="16">
        <f t="shared" si="15"/>
        <v>8.0711700000000008E-3</v>
      </c>
      <c r="AA66" s="16">
        <f t="shared" si="16"/>
        <v>2.5466180000000001E-2</v>
      </c>
      <c r="AB66" s="16">
        <f t="shared" si="17"/>
        <v>3.05E-6</v>
      </c>
      <c r="AC66" s="17">
        <f t="shared" si="18"/>
        <v>1.5075047129573196</v>
      </c>
      <c r="AD66" s="17">
        <f t="shared" si="19"/>
        <v>1.4592624021264327</v>
      </c>
      <c r="AE66" s="17">
        <f t="shared" si="20"/>
        <v>17.866285012972089</v>
      </c>
      <c r="AF66" s="17">
        <f t="shared" si="21"/>
        <v>17.442750052972087</v>
      </c>
    </row>
    <row r="67" spans="1:32" x14ac:dyDescent="0.25">
      <c r="A67" s="14">
        <v>65</v>
      </c>
      <c r="C67">
        <v>320</v>
      </c>
      <c r="E67">
        <v>-0.43314996</v>
      </c>
      <c r="F67">
        <v>-0.42463250000000002</v>
      </c>
      <c r="G67">
        <v>-8.5174699999999992E-3</v>
      </c>
      <c r="H67">
        <v>0.71187750000000005</v>
      </c>
      <c r="I67">
        <v>0.71454240000000002</v>
      </c>
      <c r="J67">
        <v>-2.6648599999999998E-3</v>
      </c>
      <c r="K67">
        <v>22.25</v>
      </c>
      <c r="L67">
        <v>22.25</v>
      </c>
      <c r="M67">
        <v>0</v>
      </c>
      <c r="N67">
        <v>2.52146E-2</v>
      </c>
      <c r="O67">
        <v>2.5102780000000002E-2</v>
      </c>
      <c r="P67">
        <v>1.1181E-4</v>
      </c>
      <c r="Q67">
        <v>7.9818100000000006E-3</v>
      </c>
      <c r="R67">
        <v>8.1299999999999997E-5</v>
      </c>
      <c r="S67">
        <v>7.9005099999999995E-3</v>
      </c>
      <c r="U67" s="15">
        <f t="shared" si="5"/>
        <v>4.2587299999999884E-3</v>
      </c>
      <c r="V67" s="15">
        <f t="shared" si="13"/>
        <v>-1.332449999999985E-3</v>
      </c>
      <c r="Y67" s="16">
        <f t="shared" si="14"/>
        <v>2.52146E-2</v>
      </c>
      <c r="Z67" s="16">
        <f t="shared" si="15"/>
        <v>7.9818100000000006E-3</v>
      </c>
      <c r="AA67" s="16">
        <f t="shared" si="16"/>
        <v>2.5102780000000002E-2</v>
      </c>
      <c r="AB67" s="16">
        <f t="shared" si="17"/>
        <v>8.1299999999999997E-5</v>
      </c>
      <c r="AC67" s="17">
        <f t="shared" si="18"/>
        <v>1.5155231877215507</v>
      </c>
      <c r="AD67" s="17">
        <f t="shared" si="19"/>
        <v>1.4384419919934457</v>
      </c>
      <c r="AE67" s="17">
        <f t="shared" si="20"/>
        <v>17.56544841426614</v>
      </c>
      <c r="AF67" s="17">
        <f t="shared" si="21"/>
        <v>17.140815914266138</v>
      </c>
    </row>
    <row r="68" spans="1:32" x14ac:dyDescent="0.25">
      <c r="A68" s="14">
        <v>66</v>
      </c>
      <c r="C68">
        <v>325</v>
      </c>
      <c r="E68">
        <v>-0.43132749999999997</v>
      </c>
      <c r="F68">
        <v>-0.42441255999999999</v>
      </c>
      <c r="G68">
        <v>-6.9149399999999996E-3</v>
      </c>
      <c r="H68">
        <v>0.71279000000000003</v>
      </c>
      <c r="I68">
        <v>0.71384250000000005</v>
      </c>
      <c r="J68">
        <v>-1.0525599999999999E-3</v>
      </c>
      <c r="K68">
        <v>22.26</v>
      </c>
      <c r="L68">
        <v>22.26</v>
      </c>
      <c r="M68">
        <v>0.01</v>
      </c>
      <c r="N68">
        <v>2.55354E-2</v>
      </c>
      <c r="O68">
        <v>2.444458E-2</v>
      </c>
      <c r="P68">
        <v>1.0908199999999999E-3</v>
      </c>
      <c r="Q68">
        <v>7.9922199999999995E-3</v>
      </c>
      <c r="R68">
        <v>8.6059999999999999E-5</v>
      </c>
      <c r="S68">
        <v>7.9061600000000006E-3</v>
      </c>
      <c r="U68" s="15">
        <f t="shared" ref="U68:U74" si="22">(F68-E68)/2</f>
        <v>3.4574699999999903E-3</v>
      </c>
      <c r="V68" s="15">
        <f t="shared" si="13"/>
        <v>-5.2625000000000588E-4</v>
      </c>
      <c r="Y68" s="16">
        <f t="shared" si="14"/>
        <v>2.55354E-2</v>
      </c>
      <c r="Z68" s="16">
        <f t="shared" si="15"/>
        <v>7.9922199999999995E-3</v>
      </c>
      <c r="AA68" s="16">
        <f t="shared" si="16"/>
        <v>2.444458E-2</v>
      </c>
      <c r="AB68" s="16">
        <f t="shared" si="17"/>
        <v>8.6059999999999999E-5</v>
      </c>
      <c r="AC68" s="17">
        <f t="shared" si="18"/>
        <v>1.5332410033853572</v>
      </c>
      <c r="AD68" s="17">
        <f t="shared" si="19"/>
        <v>1.4007194682236477</v>
      </c>
      <c r="AE68" s="17">
        <f t="shared" si="20"/>
        <v>17.37938396741983</v>
      </c>
      <c r="AF68" s="17">
        <f t="shared" si="21"/>
        <v>16.95497140741983</v>
      </c>
    </row>
    <row r="69" spans="1:32" x14ac:dyDescent="0.25">
      <c r="A69" s="14">
        <v>67</v>
      </c>
      <c r="C69">
        <v>330</v>
      </c>
      <c r="E69">
        <v>-0.43098495999999997</v>
      </c>
      <c r="F69">
        <v>-0.42617243999999999</v>
      </c>
      <c r="G69">
        <v>-4.8125399999999997E-3</v>
      </c>
      <c r="H69">
        <v>0.71350491999999999</v>
      </c>
      <c r="I69">
        <v>0.71612743999999995</v>
      </c>
      <c r="J69">
        <v>-2.6224899999999999E-3</v>
      </c>
      <c r="K69">
        <v>22.18</v>
      </c>
      <c r="L69">
        <v>22.18</v>
      </c>
      <c r="M69">
        <v>0</v>
      </c>
      <c r="N69">
        <v>2.5704709999999999E-2</v>
      </c>
      <c r="O69">
        <v>2.4409429999999999E-2</v>
      </c>
      <c r="P69">
        <v>1.2952899999999999E-3</v>
      </c>
      <c r="Q69">
        <v>7.9456800000000001E-3</v>
      </c>
      <c r="R69">
        <v>1.3464E-4</v>
      </c>
      <c r="S69">
        <v>7.81104E-3</v>
      </c>
      <c r="U69" s="15">
        <f t="shared" si="22"/>
        <v>2.4062599999999934E-3</v>
      </c>
      <c r="V69" s="15">
        <f t="shared" si="13"/>
        <v>-1.3112599999999808E-3</v>
      </c>
      <c r="Y69" s="16">
        <f t="shared" si="14"/>
        <v>2.5704709999999999E-2</v>
      </c>
      <c r="Z69" s="16">
        <f t="shared" si="15"/>
        <v>7.9456800000000001E-3</v>
      </c>
      <c r="AA69" s="16">
        <f t="shared" si="16"/>
        <v>2.4409429999999999E-2</v>
      </c>
      <c r="AB69" s="16">
        <f t="shared" si="17"/>
        <v>1.3464E-4</v>
      </c>
      <c r="AC69" s="17">
        <f t="shared" si="18"/>
        <v>1.5417150597218239</v>
      </c>
      <c r="AD69" s="17">
        <f t="shared" si="19"/>
        <v>1.3987175198845796</v>
      </c>
      <c r="AE69" s="17">
        <f t="shared" si="20"/>
        <v>17.177099593253608</v>
      </c>
      <c r="AF69" s="17">
        <f t="shared" si="21"/>
        <v>16.75092715325361</v>
      </c>
    </row>
    <row r="70" spans="1:32" x14ac:dyDescent="0.25">
      <c r="A70" s="14">
        <v>68</v>
      </c>
      <c r="C70">
        <v>335</v>
      </c>
      <c r="E70">
        <v>-0.43298999999999999</v>
      </c>
      <c r="F70">
        <v>-0.42615999999999998</v>
      </c>
      <c r="G70">
        <v>-6.8299800000000003E-3</v>
      </c>
      <c r="H70">
        <v>0.71207500000000001</v>
      </c>
      <c r="I70">
        <v>0.71303000000000005</v>
      </c>
      <c r="J70">
        <v>-9.5498999999999996E-4</v>
      </c>
      <c r="K70">
        <v>22.23</v>
      </c>
      <c r="L70">
        <v>22.23</v>
      </c>
      <c r="M70">
        <v>0</v>
      </c>
      <c r="N70">
        <v>2.6433470000000001E-2</v>
      </c>
      <c r="O70">
        <v>2.3844359999999998E-2</v>
      </c>
      <c r="P70">
        <v>2.5891099999999999E-3</v>
      </c>
      <c r="Q70">
        <v>7.7816200000000004E-3</v>
      </c>
      <c r="R70">
        <v>2.8577000000000002E-4</v>
      </c>
      <c r="S70">
        <v>7.4958500000000001E-3</v>
      </c>
      <c r="U70" s="15">
        <f t="shared" si="22"/>
        <v>3.4150000000000014E-3</v>
      </c>
      <c r="V70" s="15">
        <f t="shared" si="13"/>
        <v>-4.7750000000001958E-4</v>
      </c>
      <c r="Y70" s="16">
        <f t="shared" si="14"/>
        <v>2.6433470000000001E-2</v>
      </c>
      <c r="Z70" s="16">
        <f t="shared" si="15"/>
        <v>7.7816200000000004E-3</v>
      </c>
      <c r="AA70" s="16">
        <f t="shared" si="16"/>
        <v>2.3844359999999998E-2</v>
      </c>
      <c r="AB70" s="16">
        <f t="shared" si="17"/>
        <v>2.8577000000000002E-4</v>
      </c>
      <c r="AC70" s="17">
        <f t="shared" si="18"/>
        <v>1.5789891403885914</v>
      </c>
      <c r="AD70" s="17">
        <f t="shared" si="19"/>
        <v>1.3664088246469377</v>
      </c>
      <c r="AE70" s="17">
        <f t="shared" si="20"/>
        <v>16.403643759613473</v>
      </c>
      <c r="AF70" s="17">
        <f t="shared" si="21"/>
        <v>15.977483759613474</v>
      </c>
    </row>
    <row r="71" spans="1:32" x14ac:dyDescent="0.25">
      <c r="A71" s="14">
        <v>69</v>
      </c>
      <c r="C71">
        <v>340</v>
      </c>
      <c r="E71">
        <v>-0.43170999999999998</v>
      </c>
      <c r="F71">
        <v>-0.42339747999999999</v>
      </c>
      <c r="G71">
        <v>-8.3125200000000003E-3</v>
      </c>
      <c r="H71">
        <v>0.71381249999999996</v>
      </c>
      <c r="I71">
        <v>0.71462992000000003</v>
      </c>
      <c r="J71">
        <v>-8.1747999999999999E-4</v>
      </c>
      <c r="K71">
        <v>22.25</v>
      </c>
      <c r="L71">
        <v>22.24</v>
      </c>
      <c r="M71">
        <v>0.01</v>
      </c>
      <c r="N71">
        <v>2.6356439999999998E-2</v>
      </c>
      <c r="O71">
        <v>2.3761600000000001E-2</v>
      </c>
      <c r="P71">
        <v>2.5948500000000001E-3</v>
      </c>
      <c r="Q71">
        <v>7.7263200000000001E-3</v>
      </c>
      <c r="R71">
        <v>3.8232000000000001E-4</v>
      </c>
      <c r="S71">
        <v>7.3439899999999999E-3</v>
      </c>
      <c r="U71" s="15">
        <f t="shared" si="22"/>
        <v>4.156259999999995E-3</v>
      </c>
      <c r="V71" s="15">
        <f t="shared" si="13"/>
        <v>-4.0871000000003432E-4</v>
      </c>
      <c r="Y71" s="16">
        <f t="shared" si="14"/>
        <v>2.6356439999999998E-2</v>
      </c>
      <c r="Z71" s="16">
        <f t="shared" si="15"/>
        <v>7.7263200000000001E-3</v>
      </c>
      <c r="AA71" s="16">
        <f t="shared" si="16"/>
        <v>2.3761600000000001E-2</v>
      </c>
      <c r="AB71" s="16">
        <f t="shared" si="17"/>
        <v>3.8232000000000001E-4</v>
      </c>
      <c r="AC71" s="17">
        <f t="shared" si="18"/>
        <v>1.5738595934599267</v>
      </c>
      <c r="AD71" s="17">
        <f t="shared" si="19"/>
        <v>1.3617438063596137</v>
      </c>
      <c r="AE71" s="17">
        <f t="shared" si="20"/>
        <v>16.338358162224207</v>
      </c>
      <c r="AF71" s="17">
        <f t="shared" si="21"/>
        <v>15.914960682224207</v>
      </c>
    </row>
    <row r="72" spans="1:32" x14ac:dyDescent="0.25">
      <c r="A72" s="14">
        <v>70</v>
      </c>
      <c r="C72">
        <v>345</v>
      </c>
      <c r="E72">
        <v>-0.43246000000000001</v>
      </c>
      <c r="F72">
        <v>-0.42565249999999999</v>
      </c>
      <c r="G72">
        <v>-6.8074800000000003E-3</v>
      </c>
      <c r="H72">
        <v>0.71231</v>
      </c>
      <c r="I72">
        <v>0.71209248000000003</v>
      </c>
      <c r="J72">
        <v>2.1756E-4</v>
      </c>
      <c r="K72">
        <v>22.24</v>
      </c>
      <c r="L72">
        <v>22.23</v>
      </c>
      <c r="M72">
        <v>0.01</v>
      </c>
      <c r="N72">
        <v>2.669299E-2</v>
      </c>
      <c r="O72">
        <v>2.3260739999999999E-2</v>
      </c>
      <c r="P72">
        <v>3.43225E-3</v>
      </c>
      <c r="Q72">
        <v>7.5419900000000002E-3</v>
      </c>
      <c r="R72">
        <v>5.1672000000000003E-4</v>
      </c>
      <c r="S72">
        <v>7.0252700000000001E-3</v>
      </c>
      <c r="U72" s="15">
        <f t="shared" si="22"/>
        <v>3.4037500000000109E-3</v>
      </c>
      <c r="V72" s="15">
        <f t="shared" si="13"/>
        <v>1.0875999999998553E-4</v>
      </c>
      <c r="Y72" s="16">
        <f t="shared" si="14"/>
        <v>2.669299E-2</v>
      </c>
      <c r="Z72" s="16">
        <f t="shared" si="15"/>
        <v>7.5419900000000002E-3</v>
      </c>
      <c r="AA72" s="16">
        <f t="shared" si="16"/>
        <v>2.3260739999999999E-2</v>
      </c>
      <c r="AB72" s="16">
        <f t="shared" si="17"/>
        <v>5.1672000000000003E-4</v>
      </c>
      <c r="AC72" s="17">
        <f t="shared" si="18"/>
        <v>1.5894749062888911</v>
      </c>
      <c r="AD72" s="17">
        <f t="shared" si="19"/>
        <v>1.3331913269978972</v>
      </c>
      <c r="AE72" s="17">
        <f t="shared" si="20"/>
        <v>15.777411726893568</v>
      </c>
      <c r="AF72" s="17">
        <f t="shared" si="21"/>
        <v>15.351759226893568</v>
      </c>
    </row>
    <row r="73" spans="1:32" x14ac:dyDescent="0.25">
      <c r="A73" s="14">
        <v>71</v>
      </c>
      <c r="C73">
        <v>350</v>
      </c>
      <c r="E73">
        <v>-0.43251000000000001</v>
      </c>
      <c r="F73">
        <v>-0.42540748</v>
      </c>
      <c r="G73">
        <v>-7.1025200000000002E-3</v>
      </c>
      <c r="H73">
        <v>0.71114239999999995</v>
      </c>
      <c r="I73">
        <v>0.71133999999999997</v>
      </c>
      <c r="J73">
        <v>-1.9759000000000001E-4</v>
      </c>
      <c r="K73">
        <v>22.3</v>
      </c>
      <c r="L73">
        <v>22.29</v>
      </c>
      <c r="M73">
        <v>0</v>
      </c>
      <c r="N73">
        <v>2.8301639999999999E-2</v>
      </c>
      <c r="O73">
        <v>2.392126E-2</v>
      </c>
      <c r="P73">
        <v>4.3803799999999997E-3</v>
      </c>
      <c r="Q73">
        <v>7.5561500000000002E-3</v>
      </c>
      <c r="R73">
        <v>6.0802999999999996E-4</v>
      </c>
      <c r="S73">
        <v>6.9481200000000003E-3</v>
      </c>
      <c r="U73" s="15">
        <f t="shared" si="22"/>
        <v>3.5512600000000005E-3</v>
      </c>
      <c r="V73" s="15">
        <f t="shared" si="13"/>
        <v>-9.8800000000009991E-5</v>
      </c>
      <c r="Y73" s="16">
        <f t="shared" si="14"/>
        <v>2.8301639999999999E-2</v>
      </c>
      <c r="Z73" s="16">
        <f t="shared" si="15"/>
        <v>7.5561500000000002E-3</v>
      </c>
      <c r="AA73" s="16">
        <f t="shared" si="16"/>
        <v>2.392126E-2</v>
      </c>
      <c r="AB73" s="16">
        <f t="shared" si="17"/>
        <v>6.0802999999999996E-4</v>
      </c>
      <c r="AC73" s="17">
        <f t="shared" si="18"/>
        <v>1.6786038060740636</v>
      </c>
      <c r="AD73" s="17">
        <f t="shared" si="19"/>
        <v>1.371160792030627</v>
      </c>
      <c r="AE73" s="17">
        <f t="shared" si="20"/>
        <v>14.948513335956857</v>
      </c>
      <c r="AF73" s="17">
        <f t="shared" si="21"/>
        <v>14.523105855956857</v>
      </c>
    </row>
    <row r="74" spans="1:32" x14ac:dyDescent="0.25">
      <c r="A74" s="14">
        <v>72</v>
      </c>
      <c r="C74">
        <v>355</v>
      </c>
      <c r="E74">
        <v>-0.43002496000000001</v>
      </c>
      <c r="F74">
        <v>-0.42801744000000003</v>
      </c>
      <c r="G74">
        <v>-2.0075100000000001E-3</v>
      </c>
      <c r="H74">
        <v>0.71089000000000002</v>
      </c>
      <c r="I74">
        <v>0.71033747999999997</v>
      </c>
      <c r="J74">
        <v>5.5254000000000002E-4</v>
      </c>
      <c r="K74">
        <v>22.26</v>
      </c>
      <c r="L74">
        <v>22.24</v>
      </c>
      <c r="M74">
        <v>0.01</v>
      </c>
      <c r="N74">
        <v>2.7401849999999998E-2</v>
      </c>
      <c r="O74">
        <v>2.302185E-2</v>
      </c>
      <c r="P74">
        <v>4.3800000000000002E-3</v>
      </c>
      <c r="Q74">
        <v>7.1110799999999997E-3</v>
      </c>
      <c r="R74">
        <v>8.3765E-4</v>
      </c>
      <c r="S74">
        <v>6.2734399999999999E-3</v>
      </c>
      <c r="U74" s="15">
        <f t="shared" si="22"/>
        <v>1.0037599999999924E-3</v>
      </c>
      <c r="V74" s="15">
        <f t="shared" si="13"/>
        <v>2.7626000000002815E-4</v>
      </c>
      <c r="Y74" s="16">
        <f t="shared" si="14"/>
        <v>2.7401849999999998E-2</v>
      </c>
      <c r="Z74" s="16">
        <f t="shared" si="15"/>
        <v>7.1110799999999997E-3</v>
      </c>
      <c r="AA74" s="16">
        <f t="shared" si="16"/>
        <v>2.302185E-2</v>
      </c>
      <c r="AB74" s="16">
        <f t="shared" si="17"/>
        <v>8.3765E-4</v>
      </c>
      <c r="AC74" s="17">
        <f t="shared" si="18"/>
        <v>1.6222326678693861</v>
      </c>
      <c r="AD74" s="17">
        <f t="shared" si="19"/>
        <v>1.3200444572539185</v>
      </c>
      <c r="AE74" s="17">
        <f t="shared" si="20"/>
        <v>14.547966573959796</v>
      </c>
      <c r="AF74" s="17">
        <f t="shared" si="21"/>
        <v>14.119949133959796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T18-2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2026-08-02T16:50:02Z</dcterms:modified>
</cp:coreProperties>
</file>